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nhicao\Desktop\"/>
    </mc:Choice>
  </mc:AlternateContent>
  <bookViews>
    <workbookView xWindow="21090" yWindow="0" windowWidth="23250" windowHeight="13170" tabRatio="858"/>
  </bookViews>
  <sheets>
    <sheet name="CustomPhases" sheetId="7" r:id="rId1"/>
    <sheet name="Toolchain_Management_Regression" sheetId="11" r:id="rId2"/>
  </sheets>
  <definedNames>
    <definedName name="_xlnm._FilterDatabase" localSheetId="0" hidden="1">CustomPhases!$B$14:$AJ$33</definedName>
    <definedName name="_xlnm._FilterDatabase" localSheetId="1" hidden="1">Toolchain_Management_Regression!$B$14:$AJ$47</definedName>
    <definedName name="Z_01C8568C_EDCC_4DE9_A78C_97196BA55141_.wvu.FilterData" localSheetId="1" hidden="1">Toolchain_Management_Regression!$B$13:$DV$47</definedName>
    <definedName name="Z_0243FE9A_05B0_42E8_BEBB_0D67D6BC9471_.wvu.FilterData" localSheetId="0" hidden="1">CustomPhases!$A$13:$Q$33</definedName>
    <definedName name="Z_0CED6330_E126_47DE_AA58_022D820722A4_.wvu.FilterData" localSheetId="0" hidden="1">CustomPhases!$A$13:$AJ$33</definedName>
    <definedName name="Z_0CED6330_E126_47DE_AA58_022D820722A4_.wvu.FilterData" localSheetId="1" hidden="1">Toolchain_Management_Regression!$A$12:$DV$47</definedName>
    <definedName name="Z_1C490E34_705F_4E78_AC0A_87EF4F7A2567_.wvu.FilterData" localSheetId="0" hidden="1">CustomPhases!$A$13:$Q$33</definedName>
    <definedName name="Z_2CC852D6_D8BE_4579_A36F_066BA6885CC1_.wvu.FilterData" localSheetId="0" hidden="1">CustomPhases!$A$13:$AJ$33</definedName>
    <definedName name="Z_2CC852D6_D8BE_4579_A36F_066BA6885CC1_.wvu.FilterData" localSheetId="1" hidden="1">Toolchain_Management_Regression!$A$12:$DV$47</definedName>
    <definedName name="Z_2E850209_E482_4B35_A196_759AA549C88F_.wvu.FilterData" localSheetId="1" hidden="1">Toolchain_Management_Regression!$B$13:$DV$47</definedName>
    <definedName name="Z_2EDC408A_8421_401D_AD49_ECDBE59E5BF7_.wvu.FilterData" localSheetId="0" hidden="1">CustomPhases!$A$13:$Q$33</definedName>
    <definedName name="Z_2EDC408A_8421_401D_AD49_ECDBE59E5BF7_.wvu.FilterData" localSheetId="1" hidden="1">Toolchain_Management_Regression!$B$13:$DV$47</definedName>
    <definedName name="Z_336C429F_98B1_4265_A074_C1BD66DB2975_.wvu.Cols" localSheetId="0" hidden="1">CustomPhases!$O:$R</definedName>
    <definedName name="Z_336C429F_98B1_4265_A074_C1BD66DB2975_.wvu.Cols" localSheetId="1" hidden="1">Toolchain_Management_Regression!$O:$R</definedName>
    <definedName name="Z_336C429F_98B1_4265_A074_C1BD66DB2975_.wvu.FilterData" localSheetId="0" hidden="1">CustomPhases!$A$13:$Q$33</definedName>
    <definedName name="Z_336C429F_98B1_4265_A074_C1BD66DB2975_.wvu.FilterData" localSheetId="1" hidden="1">Toolchain_Management_Regression!$B$13:$R$47</definedName>
    <definedName name="Z_33992E35_C68A_40E1_BE1F_5F01B2F60AFD_.wvu.FilterData" localSheetId="0" hidden="1">CustomPhases!$A$13:$Q$33</definedName>
    <definedName name="Z_33992E35_C68A_40E1_BE1F_5F01B2F60AFD_.wvu.FilterData" localSheetId="1" hidden="1">Toolchain_Management_Regression!$A$12:$DV$47</definedName>
    <definedName name="Z_36C9D949_1FC2_46BA_AA7F_0AFB75FF8233_.wvu.FilterData" localSheetId="1" hidden="1">Toolchain_Management_Regression!$A$12:$DV$47</definedName>
    <definedName name="Z_467B3A15_DA14_4346_BDC2_1160C116E8B0_.wvu.FilterData" localSheetId="0" hidden="1">CustomPhases!$A$13:$Q$33</definedName>
    <definedName name="Z_47157109_856D_489F_AFC3_4B5447A145F3_.wvu.FilterData" localSheetId="0" hidden="1">CustomPhases!$A$13:$Q$33</definedName>
    <definedName name="Z_47157109_856D_489F_AFC3_4B5447A145F3_.wvu.FilterData" localSheetId="1" hidden="1">Toolchain_Management_Regression!$B$13:$DV$47</definedName>
    <definedName name="Z_4C85B873_E4E9_4312_BF5B_D96A6E29BA31_.wvu.FilterData" localSheetId="0" hidden="1">CustomPhases!$A$13:$Q$33</definedName>
    <definedName name="Z_4DB68FB8_E22F_493D_9738_D2929A9FF882_.wvu.Cols" localSheetId="0" hidden="1">CustomPhases!$O:$R</definedName>
    <definedName name="Z_4DB68FB8_E22F_493D_9738_D2929A9FF882_.wvu.Cols" localSheetId="1" hidden="1">Toolchain_Management_Regression!#REF!</definedName>
    <definedName name="Z_4DB68FB8_E22F_493D_9738_D2929A9FF882_.wvu.FilterData" localSheetId="0" hidden="1">CustomPhases!$A$13:$Q$33</definedName>
    <definedName name="Z_4DB68FB8_E22F_493D_9738_D2929A9FF882_.wvu.FilterData" localSheetId="1" hidden="1">Toolchain_Management_Regression!$B$13:$DV$47</definedName>
    <definedName name="Z_4F59F6C9_A944_45E3_A0A2_274FC2127A78_.wvu.FilterData" localSheetId="1" hidden="1">Toolchain_Management_Regression!$B$13:$DV$47</definedName>
    <definedName name="Z_535D1494_F7A1_4372_8B70_2B747E7D5B17_.wvu.FilterData" localSheetId="0" hidden="1">CustomPhases!$A$13:$AJ$33</definedName>
    <definedName name="Z_535D1494_F7A1_4372_8B70_2B747E7D5B17_.wvu.FilterData" localSheetId="1" hidden="1">Toolchain_Management_Regression!$A$12:$DV$47</definedName>
    <definedName name="Z_58FC426B_0BEF_441D_8C31_7C721F225909_.wvu.FilterData" localSheetId="0" hidden="1">CustomPhases!$A$13:$Q$33</definedName>
    <definedName name="Z_5E319DC9_2506_4074_A8E3_52F1C51C0787_.wvu.Cols" localSheetId="0" hidden="1">CustomPhases!$O:$R</definedName>
    <definedName name="Z_5E319DC9_2506_4074_A8E3_52F1C51C0787_.wvu.Cols" localSheetId="1" hidden="1">Toolchain_Management_Regression!$O:$R</definedName>
    <definedName name="Z_5E319DC9_2506_4074_A8E3_52F1C51C0787_.wvu.FilterData" localSheetId="0" hidden="1">CustomPhases!$A$13:$Q$33</definedName>
    <definedName name="Z_5E319DC9_2506_4074_A8E3_52F1C51C0787_.wvu.FilterData" localSheetId="1" hidden="1">Toolchain_Management_Regression!$B$13:$DV$47</definedName>
    <definedName name="Z_674F19F5_A1B8_42D9_A115_AF265F9DC29E_.wvu.FilterData" localSheetId="0" hidden="1">CustomPhases!$A$13:$Q$33</definedName>
    <definedName name="Z_6921BBDC_7678_4764_9E82_8B2B8D30B844_.wvu.FilterData" localSheetId="1" hidden="1">Toolchain_Management_Regression!$B$13:$DV$47</definedName>
    <definedName name="Z_69800E05_0A9C_4101_9BAE_555D04E227D3_.wvu.FilterData" localSheetId="1" hidden="1">Toolchain_Management_Regression!$B$13:$DV$47</definedName>
    <definedName name="Z_745F5546_95E7_4495_B5B6_0193469C296E_.wvu.FilterData" localSheetId="0" hidden="1">CustomPhases!$A$13:$Q$33</definedName>
    <definedName name="Z_745F5546_95E7_4495_B5B6_0193469C296E_.wvu.FilterData" localSheetId="1" hidden="1">Toolchain_Management_Regression!$B$13:$DV$47</definedName>
    <definedName name="Z_76C3DF90_D4FB_4314_888D_D1C534253E1A_.wvu.FilterData" localSheetId="0" hidden="1">CustomPhases!$A$13:$Q$33</definedName>
    <definedName name="Z_76C3DF90_D4FB_4314_888D_D1C534253E1A_.wvu.FilterData" localSheetId="1" hidden="1">Toolchain_Management_Regression!$B$13:$DV$47</definedName>
    <definedName name="Z_83D04BB6_207F_4088_8768_8D9EA977EB8D_.wvu.Cols" localSheetId="0" hidden="1">CustomPhases!$O:$R</definedName>
    <definedName name="Z_83D04BB6_207F_4088_8768_8D9EA977EB8D_.wvu.Cols" localSheetId="1" hidden="1">Toolchain_Management_Regression!$O:$R</definedName>
    <definedName name="Z_83D04BB6_207F_4088_8768_8D9EA977EB8D_.wvu.FilterData" localSheetId="0" hidden="1">CustomPhases!$A$13:$Q$33</definedName>
    <definedName name="Z_83D04BB6_207F_4088_8768_8D9EA977EB8D_.wvu.FilterData" localSheetId="1" hidden="1">Toolchain_Management_Regression!$B$13:$R$47</definedName>
    <definedName name="Z_90AFCDE6_FD39_4799_A5E9_FD8EDB205CCF_.wvu.FilterData" localSheetId="0" hidden="1">CustomPhases!$A$13:$Q$33</definedName>
    <definedName name="Z_9F2E75DB_D5B1_4AEC_85FB_5302A8A04D41_.wvu.FilterData" localSheetId="1" hidden="1">Toolchain_Management_Regression!$B$13:$DV$47</definedName>
    <definedName name="Z_A41F28C8_6031_4F8E_8F66_F363B77122A3_.wvu.FilterData" localSheetId="0" hidden="1">CustomPhases!$A$13:$Q$33</definedName>
    <definedName name="Z_A60AF048_FCD6_41A2_BE35_F2E64B3C4363_.wvu.FilterData" localSheetId="0" hidden="1">CustomPhases!$A$13:$Q$33</definedName>
    <definedName name="Z_AA65C31E_5346_4934_BA3B_0180D39AA4DA_.wvu.FilterData" localSheetId="1" hidden="1">Toolchain_Management_Regression!$B$13:$DV$47</definedName>
    <definedName name="Z_AAF8D81E_F08D_431C_A124_EEAC4A969073_.wvu.FilterData" localSheetId="1" hidden="1">Toolchain_Management_Regression!$B$13:$DV$47</definedName>
    <definedName name="Z_ABD7AC12_46BD_4DEA_B7D0_01E98A32801C_.wvu.FilterData" localSheetId="0" hidden="1">CustomPhases!$A$13:$Q$33</definedName>
    <definedName name="Z_B4651AA6_FFC3_4091_9F40_774AAD147977_.wvu.FilterData" localSheetId="1" hidden="1">Toolchain_Management_Regression!$B$13:$DV$47</definedName>
    <definedName name="Z_B4E261AB_0BA0_4F19_8D1A_FD3346AC787E_.wvu.Cols" localSheetId="0" hidden="1">CustomPhases!$O:$R</definedName>
    <definedName name="Z_B4E261AB_0BA0_4F19_8D1A_FD3346AC787E_.wvu.Cols" localSheetId="1" hidden="1">Toolchain_Management_Regression!$O:$R</definedName>
    <definedName name="Z_B4E261AB_0BA0_4F19_8D1A_FD3346AC787E_.wvu.FilterData" localSheetId="0" hidden="1">CustomPhases!$A$13:$Q$33</definedName>
    <definedName name="Z_B4E261AB_0BA0_4F19_8D1A_FD3346AC787E_.wvu.FilterData" localSheetId="1" hidden="1">Toolchain_Management_Regression!$B$13:$DV$47</definedName>
    <definedName name="Z_C66DE955_705D_49DE_8933_360E54B2112C_.wvu.FilterData" localSheetId="1" hidden="1">Toolchain_Management_Regression!$S$13:$V$47</definedName>
    <definedName name="Z_CDEDFB69_6771_48B7_9121_1804B8680426_.wvu.FilterData" localSheetId="0" hidden="1">CustomPhases!$A$13:$Q$33</definedName>
    <definedName name="Z_CDEDFB69_6771_48B7_9121_1804B8680426_.wvu.FilterData" localSheetId="1" hidden="1">Toolchain_Management_Regression!$B$13:$DV$47</definedName>
    <definedName name="Z_D775420B_DDA5_49C5_8766_2290F03E9B0C_.wvu.Cols" localSheetId="1" hidden="1">Toolchain_Management_Regression!$S:$Z</definedName>
    <definedName name="Z_D775420B_DDA5_49C5_8766_2290F03E9B0C_.wvu.FilterData" localSheetId="0" hidden="1">CustomPhases!$A$13:$Q$33</definedName>
    <definedName name="Z_D775420B_DDA5_49C5_8766_2290F03E9B0C_.wvu.FilterData" localSheetId="1" hidden="1">Toolchain_Management_Regression!$A$12:$DV$47</definedName>
    <definedName name="Z_D977A640_F34F_4508_BF99_F2EF281F6263_.wvu.Cols" localSheetId="0" hidden="1">CustomPhases!$O:$R</definedName>
    <definedName name="Z_D977A640_F34F_4508_BF99_F2EF281F6263_.wvu.Cols" localSheetId="1" hidden="1">Toolchain_Management_Regression!$O:$R</definedName>
    <definedName name="Z_D977A640_F34F_4508_BF99_F2EF281F6263_.wvu.FilterData" localSheetId="0" hidden="1">CustomPhases!$A$13:$Q$33</definedName>
    <definedName name="Z_D977A640_F34F_4508_BF99_F2EF281F6263_.wvu.FilterData" localSheetId="1" hidden="1">Toolchain_Management_Regression!$B$13:$R$47</definedName>
    <definedName name="Z_DB5E4049_E4F1_480C_AEF7_92DF1022BBB3_.wvu.FilterData" localSheetId="1" hidden="1">Toolchain_Management_Regression!$B$13:$DV$47</definedName>
    <definedName name="Z_E48284F5_2395_44C2_8724_4AEA36E5E86B_.wvu.FilterData" localSheetId="1" hidden="1">Toolchain_Management_Regression!$B$13:$DV$47</definedName>
    <definedName name="Z_E6EF9DDD_39B7_432F_8D67_94F884284F92_.wvu.FilterData" localSheetId="0" hidden="1">CustomPhases!$A$13:$Q$33</definedName>
    <definedName name="Z_E6EF9DDD_39B7_432F_8D67_94F884284F92_.wvu.FilterData" localSheetId="1" hidden="1">Toolchain_Management_Regression!$B$13:$DV$47</definedName>
    <definedName name="Z_FB3F1E23_CFD7_4FED_8303_E5DFA6D4C22C_.wvu.FilterData" localSheetId="1" hidden="1">Toolchain_Management_Regression!$B$13:$DV$47</definedName>
  </definedNames>
  <calcPr calcId="152511"/>
</workbook>
</file>

<file path=xl/calcChain.xml><?xml version="1.0" encoding="utf-8"?>
<calcChain xmlns="http://schemas.openxmlformats.org/spreadsheetml/2006/main">
  <c r="AE12" i="11" l="1"/>
  <c r="AA12" i="11"/>
  <c r="W12" i="11"/>
  <c r="S12" i="11"/>
  <c r="AN2" i="11"/>
  <c r="AE12" i="7"/>
  <c r="AA12" i="7"/>
  <c r="W12" i="7"/>
  <c r="O12" i="7"/>
  <c r="AN2" i="7"/>
  <c r="S12" i="7" l="1"/>
  <c r="O12" i="11" l="1"/>
  <c r="AM12" i="11" l="1"/>
  <c r="AN14" i="11" s="1"/>
  <c r="AI12" i="11"/>
  <c r="AG10" i="11"/>
  <c r="AF10" i="11"/>
  <c r="AC10" i="11"/>
  <c r="AB10" i="11"/>
  <c r="Y10" i="11"/>
  <c r="X10" i="11"/>
  <c r="U10" i="11"/>
  <c r="T10" i="11"/>
  <c r="Q10" i="11"/>
  <c r="P10" i="11"/>
  <c r="AG9" i="11"/>
  <c r="AF9" i="11"/>
  <c r="AC9" i="11"/>
  <c r="AB9" i="11"/>
  <c r="Y9" i="11"/>
  <c r="X9" i="11"/>
  <c r="U9" i="11"/>
  <c r="T9" i="11"/>
  <c r="Q9" i="11"/>
  <c r="P9" i="11"/>
  <c r="AG8" i="11"/>
  <c r="AF8" i="11"/>
  <c r="AC8" i="11"/>
  <c r="AB8" i="11"/>
  <c r="Y8" i="11"/>
  <c r="X8" i="11"/>
  <c r="U8" i="11"/>
  <c r="T8" i="11"/>
  <c r="Q8" i="11"/>
  <c r="P8" i="11"/>
  <c r="AG7" i="11"/>
  <c r="AF7" i="11"/>
  <c r="AC7" i="11"/>
  <c r="AB7" i="11"/>
  <c r="Y7" i="11"/>
  <c r="X7" i="11"/>
  <c r="U7" i="11"/>
  <c r="T7" i="11"/>
  <c r="Q7" i="11"/>
  <c r="P7" i="11"/>
  <c r="N7" i="11"/>
  <c r="AG6" i="11"/>
  <c r="AF6" i="11"/>
  <c r="AC6" i="11"/>
  <c r="AB6" i="11"/>
  <c r="AD6" i="11" s="1"/>
  <c r="Y6" i="11"/>
  <c r="X6" i="11"/>
  <c r="U6" i="11"/>
  <c r="T6" i="11"/>
  <c r="Q6" i="11"/>
  <c r="P6" i="11"/>
  <c r="N6" i="11"/>
  <c r="C6" i="11"/>
  <c r="N5" i="11"/>
  <c r="AG4" i="11"/>
  <c r="AF4" i="11"/>
  <c r="AC4" i="11"/>
  <c r="AB4" i="11"/>
  <c r="Y4" i="11"/>
  <c r="X4" i="11"/>
  <c r="U4" i="11"/>
  <c r="T4" i="11"/>
  <c r="Q4" i="11"/>
  <c r="P4" i="11"/>
  <c r="N4" i="11"/>
  <c r="N3" i="11"/>
  <c r="E2" i="11"/>
  <c r="C2" i="11"/>
  <c r="AH1" i="11"/>
  <c r="AF1" i="11"/>
  <c r="AD1" i="11"/>
  <c r="AB1" i="11"/>
  <c r="Z1" i="11"/>
  <c r="X1" i="11"/>
  <c r="V1" i="11"/>
  <c r="T1" i="11"/>
  <c r="R1" i="11"/>
  <c r="P1" i="11"/>
  <c r="E1" i="11"/>
  <c r="C1" i="11"/>
  <c r="C3" i="11" s="1"/>
  <c r="AM12" i="7"/>
  <c r="AN14" i="7" s="1"/>
  <c r="AI12" i="7"/>
  <c r="AG10" i="7"/>
  <c r="AF10" i="7"/>
  <c r="AC10" i="7"/>
  <c r="AB10" i="7"/>
  <c r="Y10" i="7"/>
  <c r="X10" i="7"/>
  <c r="U10" i="7"/>
  <c r="T10" i="7"/>
  <c r="Q10" i="7"/>
  <c r="P10" i="7"/>
  <c r="AG9" i="7"/>
  <c r="AF9" i="7"/>
  <c r="AC9" i="7"/>
  <c r="AB9" i="7"/>
  <c r="Y9" i="7"/>
  <c r="X9" i="7"/>
  <c r="U9" i="7"/>
  <c r="T9" i="7"/>
  <c r="Q9" i="7"/>
  <c r="P9" i="7"/>
  <c r="AG8" i="7"/>
  <c r="AF8" i="7"/>
  <c r="AC8" i="7"/>
  <c r="AB8" i="7"/>
  <c r="Y8" i="7"/>
  <c r="X8" i="7"/>
  <c r="U8" i="7"/>
  <c r="T8" i="7"/>
  <c r="Q8" i="7"/>
  <c r="P8" i="7"/>
  <c r="AG7" i="7"/>
  <c r="AF7" i="7"/>
  <c r="AC7" i="7"/>
  <c r="AB7" i="7"/>
  <c r="Y7" i="7"/>
  <c r="X7" i="7"/>
  <c r="U7" i="7"/>
  <c r="T7" i="7"/>
  <c r="Q7" i="7"/>
  <c r="P7" i="7"/>
  <c r="N7" i="7"/>
  <c r="AG6" i="7"/>
  <c r="AF6" i="7"/>
  <c r="AC6" i="7"/>
  <c r="AB6" i="7"/>
  <c r="Y6" i="7"/>
  <c r="X6" i="7"/>
  <c r="U6" i="7"/>
  <c r="T6" i="7"/>
  <c r="Q6" i="7"/>
  <c r="P6" i="7"/>
  <c r="N6" i="7"/>
  <c r="C6" i="7"/>
  <c r="N5" i="7"/>
  <c r="AG4" i="7"/>
  <c r="AF4" i="7"/>
  <c r="AC4" i="7"/>
  <c r="AB4" i="7"/>
  <c r="Y4" i="7"/>
  <c r="X4" i="7"/>
  <c r="U4" i="7"/>
  <c r="T4" i="7"/>
  <c r="Q4" i="7"/>
  <c r="P4" i="7"/>
  <c r="N4" i="7"/>
  <c r="N3" i="7"/>
  <c r="E2" i="7"/>
  <c r="C2" i="7"/>
  <c r="AH1" i="7"/>
  <c r="AF1" i="7"/>
  <c r="AD1" i="7"/>
  <c r="AB1" i="7"/>
  <c r="Z1" i="7"/>
  <c r="X1" i="7"/>
  <c r="V1" i="7"/>
  <c r="T1" i="7"/>
  <c r="R1" i="7"/>
  <c r="P1" i="7"/>
  <c r="E1" i="7"/>
  <c r="C1" i="7"/>
  <c r="C3" i="7" s="1"/>
  <c r="AO4" i="11"/>
  <c r="AO7" i="11"/>
  <c r="AO5" i="11"/>
  <c r="AP6" i="11"/>
  <c r="AO7" i="7"/>
  <c r="AP7" i="11"/>
  <c r="AK9" i="11"/>
  <c r="AP4" i="11"/>
  <c r="AO6" i="11"/>
  <c r="AO5" i="7"/>
  <c r="AP7" i="7"/>
  <c r="AP5" i="11"/>
  <c r="AP3" i="7"/>
  <c r="AP4" i="7"/>
  <c r="AP5" i="7"/>
  <c r="AP6" i="7"/>
  <c r="AO3" i="7"/>
  <c r="AO6" i="7"/>
  <c r="AO3" i="11"/>
  <c r="AK3" i="7"/>
  <c r="AO4" i="7"/>
  <c r="AP3" i="11"/>
  <c r="Z4" i="11" l="1"/>
  <c r="AH4" i="11"/>
  <c r="Z4" i="7"/>
  <c r="T5" i="11"/>
  <c r="AD8" i="7"/>
  <c r="V10" i="7"/>
  <c r="AD6" i="7"/>
  <c r="AB5" i="11"/>
  <c r="Z6" i="11"/>
  <c r="V7" i="11"/>
  <c r="AH8" i="11"/>
  <c r="AH9" i="7"/>
  <c r="U5" i="7"/>
  <c r="U3" i="7" s="1"/>
  <c r="V7" i="7"/>
  <c r="AB5" i="7"/>
  <c r="AH8" i="7"/>
  <c r="V9" i="7"/>
  <c r="Z10" i="7"/>
  <c r="R9" i="7"/>
  <c r="AC5" i="7"/>
  <c r="AC3" i="7" s="1"/>
  <c r="AF5" i="7"/>
  <c r="Y5" i="7"/>
  <c r="Y3" i="7" s="1"/>
  <c r="AH6" i="7"/>
  <c r="Z7" i="7"/>
  <c r="AD10" i="7"/>
  <c r="R7" i="7"/>
  <c r="P5" i="7"/>
  <c r="R8" i="7"/>
  <c r="AH4" i="7"/>
  <c r="R6" i="7"/>
  <c r="Z8" i="7"/>
  <c r="Z9" i="7"/>
  <c r="V4" i="7"/>
  <c r="AD4" i="7"/>
  <c r="T5" i="7"/>
  <c r="AG5" i="7"/>
  <c r="AG3" i="7" s="1"/>
  <c r="V8" i="7"/>
  <c r="AD9" i="7"/>
  <c r="R10" i="7"/>
  <c r="R4" i="7"/>
  <c r="AH10" i="7"/>
  <c r="AH9" i="11"/>
  <c r="V10" i="11"/>
  <c r="V4" i="11"/>
  <c r="AD4" i="11"/>
  <c r="AC5" i="11"/>
  <c r="AC3" i="11" s="1"/>
  <c r="V9" i="11"/>
  <c r="AH6" i="11"/>
  <c r="AH7" i="11"/>
  <c r="AD8" i="11"/>
  <c r="AG5" i="11"/>
  <c r="AG3" i="11" s="1"/>
  <c r="R7" i="11"/>
  <c r="R9" i="11"/>
  <c r="R6" i="11"/>
  <c r="R10" i="11"/>
  <c r="R8" i="11"/>
  <c r="Y5" i="11"/>
  <c r="Y3" i="11" s="1"/>
  <c r="AD7" i="11"/>
  <c r="AD5" i="11" s="1"/>
  <c r="AD3" i="11" s="1"/>
  <c r="AB3" i="11" s="1"/>
  <c r="V8" i="11"/>
  <c r="Z9" i="11"/>
  <c r="Z10" i="11"/>
  <c r="AH10" i="11"/>
  <c r="R4" i="11"/>
  <c r="Q5" i="11"/>
  <c r="Q3" i="11" s="1"/>
  <c r="U5" i="11"/>
  <c r="U3" i="11" s="1"/>
  <c r="Z7" i="11"/>
  <c r="Z8" i="11"/>
  <c r="AD9" i="11"/>
  <c r="AD10" i="11"/>
  <c r="AQ4" i="11"/>
  <c r="AR4" i="11" s="1"/>
  <c r="AQ5" i="11"/>
  <c r="AR5" i="11" s="1"/>
  <c r="AQ7" i="11"/>
  <c r="AR7" i="11" s="1"/>
  <c r="AQ3" i="11"/>
  <c r="AR3" i="11" s="1"/>
  <c r="AQ6" i="11"/>
  <c r="AR6" i="11" s="1"/>
  <c r="P5" i="11"/>
  <c r="AF5" i="11"/>
  <c r="X5" i="11"/>
  <c r="V6" i="11"/>
  <c r="AN12" i="11"/>
  <c r="AQ7" i="7"/>
  <c r="AR7" i="7" s="1"/>
  <c r="AQ6" i="7"/>
  <c r="AR6" i="7" s="1"/>
  <c r="AQ3" i="7"/>
  <c r="AR3" i="7" s="1"/>
  <c r="AQ4" i="7"/>
  <c r="AR4" i="7" s="1"/>
  <c r="AQ5" i="7"/>
  <c r="AR5" i="7" s="1"/>
  <c r="AH7" i="7"/>
  <c r="X5" i="7"/>
  <c r="V6" i="7"/>
  <c r="AD7" i="7"/>
  <c r="AN12" i="7"/>
  <c r="Q5" i="7"/>
  <c r="Q3" i="7" s="1"/>
  <c r="Z6" i="7"/>
  <c r="Z5" i="11" l="1"/>
  <c r="Z3" i="11" s="1"/>
  <c r="X3" i="11" s="1"/>
  <c r="AH5" i="11"/>
  <c r="AH3" i="11" s="1"/>
  <c r="AF3" i="11" s="1"/>
  <c r="AH5" i="7"/>
  <c r="AH3" i="7" s="1"/>
  <c r="AF3" i="7" s="1"/>
  <c r="Z5" i="7"/>
  <c r="Z3" i="7" s="1"/>
  <c r="X3" i="7" s="1"/>
  <c r="V5" i="7"/>
  <c r="V3" i="7" s="1"/>
  <c r="T3" i="7" s="1"/>
  <c r="R5" i="7"/>
  <c r="R3" i="7" s="1"/>
  <c r="P3" i="7" s="1"/>
  <c r="AD5" i="7"/>
  <c r="AD3" i="7" s="1"/>
  <c r="AB3" i="7" s="1"/>
  <c r="V5" i="11"/>
  <c r="V3" i="11" s="1"/>
  <c r="T3" i="11" s="1"/>
  <c r="R5" i="11"/>
  <c r="R3" i="11" s="1"/>
  <c r="P3" i="11" s="1"/>
  <c r="AJ16" i="7" l="1"/>
  <c r="AN16" i="7"/>
  <c r="AJ17" i="7"/>
  <c r="AN17" i="7"/>
  <c r="AJ18" i="7"/>
  <c r="AN18" i="7"/>
  <c r="AJ19" i="7"/>
  <c r="AN19" i="7"/>
  <c r="AJ20" i="7"/>
  <c r="AN20" i="7"/>
  <c r="AJ21" i="7"/>
  <c r="AN21" i="7"/>
  <c r="AJ22" i="7"/>
  <c r="AN22" i="7"/>
  <c r="AJ23" i="7"/>
  <c r="AN23" i="7"/>
  <c r="AJ24" i="7"/>
  <c r="AN24" i="7"/>
  <c r="AJ25" i="7"/>
  <c r="AN25" i="7"/>
  <c r="AJ26" i="7"/>
  <c r="AN26" i="7"/>
  <c r="AJ27" i="7"/>
  <c r="AN27" i="7"/>
  <c r="AJ28" i="7"/>
  <c r="AN28" i="7"/>
  <c r="AJ29" i="7"/>
  <c r="AN29" i="7"/>
  <c r="AJ30" i="7"/>
  <c r="AN30" i="7"/>
  <c r="AJ31" i="7"/>
  <c r="AN31" i="7"/>
  <c r="AJ32" i="7"/>
  <c r="AN32" i="7"/>
  <c r="AJ33" i="7"/>
  <c r="AN33" i="7"/>
  <c r="AJ15" i="7"/>
  <c r="AK8" i="11"/>
  <c r="AK7" i="7"/>
  <c r="J5" i="7"/>
  <c r="AI5" i="7"/>
  <c r="AI3" i="11"/>
  <c r="AK6" i="11"/>
  <c r="I6" i="7"/>
  <c r="AI8" i="11"/>
  <c r="AI4" i="11"/>
  <c r="AI3" i="7"/>
  <c r="AI4" i="7"/>
  <c r="AK7" i="11"/>
  <c r="AI9" i="7"/>
  <c r="AK9" i="7"/>
  <c r="I4" i="11"/>
  <c r="AI8" i="7"/>
  <c r="AK5" i="11"/>
  <c r="J6" i="7"/>
  <c r="I8" i="11"/>
  <c r="AI6" i="11"/>
  <c r="AI7" i="11"/>
  <c r="AI5" i="11"/>
  <c r="I6" i="11"/>
  <c r="AK4" i="7"/>
  <c r="I5" i="7"/>
  <c r="AI6" i="7"/>
  <c r="I5" i="11"/>
  <c r="AI9" i="11"/>
  <c r="J8" i="11"/>
  <c r="AK8" i="7"/>
  <c r="AK3" i="11"/>
  <c r="AK4" i="11"/>
  <c r="J8" i="7"/>
  <c r="AI7" i="7"/>
  <c r="AK5" i="7"/>
  <c r="I4" i="7"/>
  <c r="AK6" i="7"/>
  <c r="I8" i="7"/>
  <c r="J4" i="7"/>
  <c r="AK10" i="7" l="1"/>
  <c r="AI10" i="7"/>
  <c r="AJ10" i="7" s="1"/>
  <c r="AJ12" i="7" s="1"/>
  <c r="AI10" i="11"/>
  <c r="AJ10" i="11" s="1"/>
  <c r="AJ12" i="11" s="1"/>
  <c r="AK10" i="11"/>
  <c r="AJ16" i="11"/>
  <c r="AJ17" i="11"/>
  <c r="AJ18" i="11"/>
  <c r="AJ19" i="11"/>
  <c r="AJ20" i="11"/>
  <c r="AJ21" i="11"/>
  <c r="AJ22" i="11"/>
  <c r="AJ23" i="11"/>
  <c r="AJ24" i="11"/>
  <c r="AJ25" i="11"/>
  <c r="AJ26" i="11"/>
  <c r="AJ27" i="11"/>
  <c r="AJ28" i="11"/>
  <c r="AJ29" i="11"/>
  <c r="AJ30" i="11"/>
  <c r="AJ31" i="11"/>
  <c r="AJ32" i="11"/>
  <c r="AJ33" i="11"/>
  <c r="AJ34" i="11"/>
  <c r="AJ35" i="11"/>
  <c r="AJ36" i="11"/>
  <c r="AJ37" i="11"/>
  <c r="AJ38" i="11"/>
  <c r="AJ39" i="11"/>
  <c r="AJ40" i="11"/>
  <c r="AJ41" i="11"/>
  <c r="AJ42" i="11"/>
  <c r="AJ43" i="11"/>
  <c r="AJ44" i="11"/>
  <c r="AJ45" i="11"/>
  <c r="AJ46" i="11"/>
  <c r="AJ47" i="11"/>
  <c r="AJ15" i="11"/>
  <c r="J6" i="11"/>
  <c r="J4" i="11"/>
  <c r="J5" i="11"/>
  <c r="AN47" i="11" l="1"/>
  <c r="AN46" i="11"/>
  <c r="AN45" i="11"/>
  <c r="AN44" i="11"/>
  <c r="AN43" i="11"/>
  <c r="AN42" i="11"/>
  <c r="AN41" i="11"/>
  <c r="AN40" i="11"/>
  <c r="AN39" i="11"/>
  <c r="AN38" i="11"/>
  <c r="AN37" i="11"/>
  <c r="AN36" i="11"/>
  <c r="AN35" i="11"/>
  <c r="AN34" i="11"/>
  <c r="AN33" i="11"/>
  <c r="AN32" i="11"/>
  <c r="AN31" i="11"/>
  <c r="AN30" i="11"/>
  <c r="AN29" i="11"/>
  <c r="AN28" i="11"/>
  <c r="AN27" i="11"/>
  <c r="AN26" i="11"/>
  <c r="AN25" i="11"/>
  <c r="AN24" i="11"/>
  <c r="AN23" i="11"/>
  <c r="AN22" i="11"/>
  <c r="AN21" i="11"/>
  <c r="AN20" i="11"/>
  <c r="AN19" i="11"/>
  <c r="AN18" i="11"/>
  <c r="AN17" i="11"/>
  <c r="AN16" i="11"/>
  <c r="AN15" i="11"/>
  <c r="AN15" i="7"/>
</calcChain>
</file>

<file path=xl/sharedStrings.xml><?xml version="1.0" encoding="utf-8"?>
<sst xmlns="http://schemas.openxmlformats.org/spreadsheetml/2006/main" count="967" uniqueCount="224">
  <si>
    <t>Pass</t>
  </si>
  <si>
    <t>Fail (Known)</t>
  </si>
  <si>
    <t>GCS/MuoiN</t>
  </si>
  <si>
    <t>Manual/SIM</t>
  </si>
  <si>
    <t>Date</t>
  </si>
  <si>
    <t>-</t>
  </si>
  <si>
    <t>Fail (Existing)</t>
  </si>
  <si>
    <t>Remark</t>
  </si>
  <si>
    <t>Tester</t>
  </si>
  <si>
    <t>Result</t>
  </si>
  <si>
    <t>Auto</t>
  </si>
  <si>
    <t>PCL notes</t>
  </si>
  <si>
    <t>PCL creator</t>
  </si>
  <si>
    <t>Expected result</t>
  </si>
  <si>
    <t>Test cases</t>
  </si>
  <si>
    <t>Test items</t>
  </si>
  <si>
    <t>ID</t>
  </si>
  <si>
    <t>Level of manual TC</t>
  </si>
  <si>
    <t>Fail (Degrade)</t>
  </si>
  <si>
    <t>Fail (New)</t>
  </si>
  <si>
    <t>Fail</t>
  </si>
  <si>
    <t>Executed TCs</t>
  </si>
  <si>
    <t>Manual</t>
  </si>
  <si>
    <t>Total</t>
  </si>
  <si>
    <t>Total test cases</t>
  </si>
  <si>
    <t>GCS</t>
  </si>
  <si>
    <t>NA-NA</t>
  </si>
  <si>
    <t>#4799, #4811 
Command failed as with above error regarding mangled command-line._x000D_
_x000D_
_x000D_
Additional issue noticed: when disabling a custom build step for a project file (e.g. C file) and clicking Apply on the dialog throws an unknown exception.</t>
  </si>
  <si>
    <t>With the custom phase overriding the normal build phase, the custom phase should have executed with the correct command-line as given in the Properties._x000D_
_x000D_
The main C source file should not have been executed by the usual build phase (e.g. Compiler) since the custom tool has overriden it._x000D_
_x000D_
(note the project may not successfully build since we only did a file copy to create the .obj file, but this should not detract from the above results).</t>
  </si>
  <si>
    <t>Continuing from above tests._x000D_
1. Open the properties dialog for the main C source file (e.g. Main.c)._x000D_
2. On the "Build steps" tab set the Custom Build Step Applicability combo-box to "Apply Custom Build Step Overriding Other Tools"._x000D_
_x000D_
3. Set the edit fields for the build step to be:_x000D_
 * Additional input file names: empty_x000D_
 * Output file names: src/MyFile1.c_x000D_
 * Command: FileCopy.exe src/MyFile1.xyz &lt;config&gt;/MyFile1.c_x000D_
_x000D_
(where &lt;config&gt; should be the name of the debug configuration, and FileCopy.exe should be its fully qualified path to the executable)._x000D_
_x000D_
4. Click OK and perform a clean and a build on the project._x000D_
5. Examine the build ouput in Console window.</t>
  </si>
  <si>
    <t>Replace the existing build phase (compiler) with a custom phase for this source file</t>
  </si>
  <si>
    <t>1.2.5 Custom build step overriding other tools</t>
  </si>
  <si>
    <t>#4799
Command failed as with above error regarding mangled command-line.</t>
  </si>
  <si>
    <t>The custom phase should execute after the other build phases (e.g. Compiler). The outputted "main2.obj" should have been input into the remaining build phases (e.g. Linker).</t>
  </si>
  <si>
    <t>Executing custom build phase before the other build phases</t>
  </si>
  <si>
    <t>1.2.4 Custom build step after other tools</t>
  </si>
  <si>
    <t xml:space="preserve">#4799
Command failed as with above error regarding mangled command-line. The command line output appears as:_x000D_
_x000D_
"FileCopy.exe" .../src/MyFile.xyz @"src/MyFile1.sub" </t>
  </si>
  <si>
    <t>The custom phase should execute prior to the other build phases. The resulting file of the custom phase (e.g. "MyFile.c") should then have been input into the remaining build phases (e.g. Compiler).</t>
  </si>
  <si>
    <t>Continuing from above tests._x000D_
1. On the "Build steps" tab for the "MyFile1.xyz" source file, on the Custom Build Step Applicability combo-box select "Apply Custom Build Step Before Other Tools"._x000D_
2. Set the edit fields for the build step to be:_x000D_
 * Additional input file names: empty_x000D_
 * Output file names: src/MyFile1.c_x000D_
 * Command: FileCopy.exe src/MyFile1.xyz &lt;config&gt;/MyFile1.c_x000D_
_x000D_
(where &lt;config&gt; should be the name of the debug configuration, and FileCopy.exe should be its fully qualified path to the executable)._x000D_
_x000D_
3. Click OK and perform a clean and a build on the project._x000D_
4. Examine the build ouput in Console window.</t>
  </si>
  <si>
    <t>1.2.3 Custom build step before other tools</t>
  </si>
  <si>
    <t>With no custom build steps specified, the build operation should be performed as normal. No additional phases should have been executed.</t>
  </si>
  <si>
    <t>Continuing from above tests._x000D_
1. On the "Build steps" tab for the ".xyz" source file, on the Custom Build Step Applicability combo-box select "Disable Custom Build Step"._x000D_
2. Click OK and perform a clean and a build on the project._x000D_
3. Examine the build ouput in Console window.</t>
  </si>
  <si>
    <t>Without an custom build step, build should proceed as normal.</t>
  </si>
  <si>
    <t>1.2.2 Custom build Disable custom build step</t>
  </si>
  <si>
    <t>#4803
Additional issue noticed:_x000D_
On properties dialog of source file with unusual extension type (e.g. ".xyz") the [C/C++ Build-&gt;Settings-&gt;Tool Settings] tab throws an exception and is empty).</t>
  </si>
  <si>
    <t xml:space="preserve">The "Custom Build Step Applicability" combo-box should contain four build-step entries:_x000D_
_x000D_
 * Disable Custom Build Step_x000D_
 * Apply Custom Build Step Overriding Other Tools_x000D_
 * Apply Custom Build Step Before Other Tools_x000D_
 * Apply Custom Build Step After Other Tools_x000D_
_x000D_
 _x000D_
</t>
  </si>
  <si>
    <t xml:space="preserve">Continuing from the above tests._x000D_
1. Right click on a source file with extension of ".xyz" (e.g. MyFile1.xyz")._x000D_
2. On the Properties dialog, open the [C/C++ Build-&gt;Settings] page and focus the [Build Steps] tab._x000D_
3. Examine the contents of the "Custom Build Step Applicability" combo-box._x000D_
_x000D_
</t>
  </si>
  <si>
    <t>Existence of additional build steps for individual resources (source files)</t>
  </si>
  <si>
    <t>1.2.1 Custom build step UI</t>
  </si>
  <si>
    <t>1.2 Individual source file custom build steps</t>
  </si>
  <si>
    <t>#4799
A fix by KPIT trac #4026 seems to break the custom tools feature, causing an incorrect command-line during execution._x000D_
_x000D_
The command in this test ends up as:_x000D_
_x000D_
FileCopy.exe @"src/xyz.sub"</t>
  </si>
  <si>
    <t xml:space="preserve">Now that we have added the tool into the Toolchain's used tools list, it should automatically be included in the build._x000D_
_x000D_
The command-line for the custom tool should be exactly as specified by the "command-pattern" field when defining the custom tool._x000D_
_x000D_
e.g.  FileCopy.exe  "MyFile1.xyz"  "MyFile1.c"_x000D_
</t>
  </si>
  <si>
    <t>Continuing from the above tests._x000D_
1. Build the project._x000D_
2. Examine the build output in the Console window.</t>
  </si>
  <si>
    <t>Custom Tool being included in the Build</t>
  </si>
  <si>
    <t xml:space="preserve">The new custom tool should be present and selectable on the Tool Chain Editor's "Select Tools" dialog.  _x000D_
_x000D_
It should be possible to add the custom tool as part of the Tool Chain used tools list._x000D_
_x000D_
 </t>
  </si>
  <si>
    <t>Continuing from the above tests._x000D_
1. In e2studio open the Properies dialog for the project and view the [C++ Build-&gt;Toolchain Editor] tab._x000D_
2. Click the "Select Tools..." button on this tab._x000D_
3. When the Select Tools dialog opens examine the "Available Tools" list box for the new custom tool ("FileCopy Tool")._x000D_
4. Add the custom tool to the "Used Tools" list, and click OK._x000D_
(The custom tool should then appear in the "Used Tools" list on the [C++ Build-&gt;Toolchain Editor] tab)._x000D_
5. Click OK to close the Properties dialog.</t>
  </si>
  <si>
    <t>Adding the custom tool to the Toolchain set</t>
  </si>
  <si>
    <t>The custom tool should have been correctly persisted when e2studio is reopened.</t>
  </si>
  <si>
    <t xml:space="preserve">Test #3:_x000D_
Specify a new tool_x000D_
</t>
  </si>
  <si>
    <t>This should display help related to this dialog and custom build steps.</t>
  </si>
  <si>
    <t>Click the Help icon on the Custom Tool Settings dialog</t>
  </si>
  <si>
    <t xml:space="preserve">Test #2:_x000D_
Help button should display Help_x000D_
</t>
  </si>
  <si>
    <t xml:space="preserve">The Custom Tool Settings dialog should allow to specify:_x000D_
_x000D_
 * Tool display name _x000D_
       (eg “XYZ to C Code Processor”)_x000D_
 * Tool command _x000D_
        (eg “xyxtool”)_x000D_
 * Tool input source types_x000D_
       (eg “xyz”)     _x000D_
 * Tool output types_x000D_
       (eg “c”)_x000D_
 * Tool command line pattern_x000D_
       (eg “${command} ${output} ${inputs}”)_x000D_
_x000D_
_x000D_
 </t>
  </si>
  <si>
    <t>1. On the [Custom Tools] preference tab, click "Add..." button._x000D_
=&gt; This should open the Custom Tool Settings dialog._x000D_
2. Examine the dialog and which setting/options can be specified.</t>
  </si>
  <si>
    <t xml:space="preserve">Custom Tool Setting dialog_x000D_
_x000D_
Test #1:_x000D_
Ability to add new custom tools using _x000D_
_x000D_
</t>
  </si>
  <si>
    <t xml:space="preserve">There should be a Preferences tab for custom phases called "Custom Tools"._x000D_
_x000D_
 </t>
  </si>
  <si>
    <t>Open Preferences dialog an check for the "Custom Tools" tab (C++-&gt;Build-&gt;Custom Tools).</t>
  </si>
  <si>
    <t>"Custom Tools" tab in Preferences</t>
  </si>
  <si>
    <t>1.1 Custom Tool Definitions</t>
  </si>
  <si>
    <t>1 Custom Build Phases Functional Test_x000D_
_x000D_
e2studio Version = &lt;3.0.0.11&gt;_x000D_
Computer Name = &lt;ben7434&gt;_x000D_
PC Spec: &lt;Pentium i5, 4GB, Win7)</t>
  </si>
  <si>
    <t>The uninstalled toolchain should be removed from the list.</t>
  </si>
  <si>
    <t>1) Uninstall a toolchain using the OS uninstaller (eg. Control Panel-&gt;Programs and Features).
2) In the Toolchain Management screen Press the Scan button.</t>
  </si>
  <si>
    <t>6 Uninstall Toolchain</t>
  </si>
  <si>
    <t>3-7</t>
  </si>
  <si>
    <t>Check</t>
  </si>
  <si>
    <t>Remove a manually installed toolchain and check that it is permanently removed from the list after re-scanning.</t>
  </si>
  <si>
    <t>Check manually installed toolchains are</t>
  </si>
  <si>
    <t>3-30</t>
  </si>
  <si>
    <t>A dialog should be displayed while the toolchains are re-scanned before the screen is displayed.
All toolchains installed with 'installers' should be re-shown correctly categorised in the list and disabled.</t>
  </si>
  <si>
    <t>1) Open the Toolchain Management preferences screen.
2) Select all installed toolchains in turn and press the Remove button.
3) Press OK to close the screen.
3) Re-open the Toolchain Management screen using the chain link icon button on the e2 studio toolbar.</t>
  </si>
  <si>
    <t>Check 'installer' installed toolchains are simply disabled.</t>
  </si>
  <si>
    <t>3-29</t>
  </si>
  <si>
    <t>Open the new project wizard and note that for any selected Toolchain an error message is displayed at the top of the new project wizard stating 'Selected toolchain is not integrated. Please install from ... and integrate'.</t>
  </si>
  <si>
    <t>Error message in new project wizard if toolchains not integrated</t>
  </si>
  <si>
    <t>3-32</t>
  </si>
  <si>
    <t>All toolchains installed with 'installers' should be re-shown correctly categorised in the list and disabled.</t>
  </si>
  <si>
    <t>Press the Scan button</t>
  </si>
  <si>
    <t>Scan for 'installer' installed toolchains</t>
  </si>
  <si>
    <t>3-31</t>
  </si>
  <si>
    <t>1) Open the Toolchain Management preferences screen.
2) Select all installed toolchains in turn and click Remove.</t>
  </si>
  <si>
    <t>5 Remove Toolchain</t>
  </si>
  <si>
    <t>3-6</t>
  </si>
  <si>
    <t>1) Open Toolchain Management preferences.
2) Uncheck all installed toolchains.
3) Open the new project wizard and note that for any selected Toolchain an error message is displayed at the top of the new project wizard stating 'Selected toolchain is not integrated. Please install from ... and integrate'.</t>
  </si>
  <si>
    <t>4 Disable Toolchain</t>
  </si>
  <si>
    <t>3-5</t>
  </si>
  <si>
    <t xml:space="preserve">Only one can be enabled. </t>
  </si>
  <si>
    <t>Ensure the existing installation and the new manual installation of an identical version toolchain cannot be enabled simultaneously.</t>
  </si>
  <si>
    <t>Duplicate Toolchains</t>
  </si>
  <si>
    <t>3-27</t>
  </si>
  <si>
    <t>New toolchain path should be present in in the tree under the correct category.</t>
  </si>
  <si>
    <t>1) Create a manual toolchain installation, eg. by copying the folder structure from an existing Program Files\KPIT folder.
2) Use the Toolchain Management screen Add button to add the path to the runtime folder for the toolchain (eg. C:\toolchains\GNURL78v14.03-ELF\rl78-elf).</t>
  </si>
  <si>
    <t>Manual Toolchain installation</t>
  </si>
  <si>
    <t>3-4</t>
  </si>
  <si>
    <t>3 Manual Toolchain Registration</t>
  </si>
  <si>
    <t>Used
C:/Program Files (x86)/Renesas/RX/2_2_0/
C:/Program Files (x86)/Renesas Electronics/CS+/CC/CC-RX/V2.02.00/
to test</t>
  </si>
  <si>
    <t xml:space="preserve">Although multiple installations of the same version may exist, there should be only one entry listed in the toolchain intergration dialog for each version.
Hovering over the toolchain should show the path as a tooltip. 
After e2 studio is loaded, Renesas toolchain management preference page should show all installation instances of the same version.
</t>
  </si>
  <si>
    <t>Check toolchain intergration dialog for multiple installations of the same version</t>
  </si>
  <si>
    <t>2-40</t>
  </si>
  <si>
    <t>GNUARM-NONEv1402-EABI.exe</t>
  </si>
  <si>
    <t>GNU ARM-NONE v14.02</t>
  </si>
  <si>
    <t>2-34</t>
  </si>
  <si>
    <t>GNUARM-NONEv1401-EABI.exe</t>
  </si>
  <si>
    <t>GNU ARM-NONE v14.01</t>
  </si>
  <si>
    <t>2-33</t>
  </si>
  <si>
    <t>GNUSHv1301-ELF.exe</t>
  </si>
  <si>
    <t>GNU SH v13.01</t>
  </si>
  <si>
    <t>2-26</t>
  </si>
  <si>
    <t>GNUSHv1202-ELF_RC2.exe</t>
  </si>
  <si>
    <t>GNU SH v12.02</t>
  </si>
  <si>
    <t>2-25</t>
  </si>
  <si>
    <t>GNU SH v12.01</t>
  </si>
  <si>
    <t>2-23</t>
  </si>
  <si>
    <t>GNURXv1403-ELF.exe</t>
  </si>
  <si>
    <t>GNU RX v14.03</t>
  </si>
  <si>
    <t>2-24</t>
  </si>
  <si>
    <t>GNURXv1401-ELF_RC3.exe</t>
  </si>
  <si>
    <t>GNU RX v14.01</t>
  </si>
  <si>
    <t>2-22</t>
  </si>
  <si>
    <t>GNURXv1301-ELF.exe</t>
  </si>
  <si>
    <t>GNU RX v13.01</t>
  </si>
  <si>
    <t>2-21</t>
  </si>
  <si>
    <t>GNURXv1203-ELF_RC2.exe</t>
  </si>
  <si>
    <t>GNU RX v12.03</t>
  </si>
  <si>
    <t>2-20</t>
  </si>
  <si>
    <t>GNURXv1202-ELF.exe</t>
  </si>
  <si>
    <t>GNU RX v12.02</t>
  </si>
  <si>
    <t>2-19</t>
  </si>
  <si>
    <t>GNU RX v12.01</t>
  </si>
  <si>
    <t>2-18</t>
  </si>
  <si>
    <t>GNU RX v11.03</t>
  </si>
  <si>
    <t>2-17</t>
  </si>
  <si>
    <t>GNU RX v11.02</t>
  </si>
  <si>
    <t>2-16</t>
  </si>
  <si>
    <t>GNURL78v1403-ELF.exe</t>
  </si>
  <si>
    <t>GNU RL78 v14.03</t>
  </si>
  <si>
    <t>2-10</t>
  </si>
  <si>
    <t>GNURL78v1302-ELF.exe</t>
  </si>
  <si>
    <t>GNU RL78 v13.02</t>
  </si>
  <si>
    <t>2-13</t>
  </si>
  <si>
    <t>GNURL78v1301-ELF_RC1.exe</t>
  </si>
  <si>
    <t>GNU RL78 v13.01</t>
  </si>
  <si>
    <t>2-15</t>
  </si>
  <si>
    <t>GNURL78v1201-ELF-MP1.exe</t>
  </si>
  <si>
    <t>GNU RL78 v12.01</t>
  </si>
  <si>
    <t>2-14</t>
  </si>
  <si>
    <t>GNURL78v1103-ELF.exe (requires registration &amp; activation code)</t>
  </si>
  <si>
    <t>GNU RL78 v11.03</t>
  </si>
  <si>
    <t>2-12</t>
  </si>
  <si>
    <t>CC-RX_V20300_setup.exe</t>
  </si>
  <si>
    <t>CC-RX V2.03.00</t>
  </si>
  <si>
    <t>2-11</t>
  </si>
  <si>
    <t>Create a clean VM (eg. using VirtualBox running Windows 7 (32 bit) and for each toolchain:
1) Install the toolchain using the relevant installer.
2) Start e2 studio.
3) Check that the Toolchain Integration dialog appears, select the toolchain to integrate and check that a successful integration message is displayed.
4) Create new C executable project and ensure the new toolchain is present in the Toolchain Version selector.
Note: If the toolchain was not successfully integrated an error message should appear at the top of the new project wizard.
5) Build the project.
6) Create new C static library project.
7) Build the project.</t>
  </si>
  <si>
    <t>2.1 Check installer successfully integrates new toolchains with e2 studio.</t>
  </si>
  <si>
    <t>2-09</t>
  </si>
  <si>
    <t>2 Automatic Toolchain Registration</t>
  </si>
  <si>
    <t>Note: The Toolchain Management preferences screen can be accessed via Window-&gt;Perferences-&gt;C/C++-&gt;Renesas-&gt;Renesas Toolchain Management or the 'chain link' icon in the e2 studio main toolbar.</t>
  </si>
  <si>
    <t>1 Toolchain Management Regression
e2 Studio Version = &lt;4.0.0.15&gt;
Computer Name = &lt;BED4858&gt;
PC Spec: &lt;HP Desktop Core-I5-2500, 3.3GHz, 4GB&gt;</t>
  </si>
  <si>
    <r>
      <t xml:space="preserve">GNURXv1102-ELF-MP1.exe
</t>
    </r>
    <r>
      <rPr>
        <sz val="11"/>
        <color indexed="12"/>
        <rFont val="Calibri"/>
        <family val="2"/>
        <scheme val="minor"/>
      </rPr>
      <t>workaround for build pass:
1. Goto MBS &gt; Compiler &gt; Object &gt; Warn if stack size exceeds the limit (H') (-Wstack-usage).
2. Clear Text field should be empty
3. Goto: MBS &gt; Library Generator &gt; Other Options &gt; Miscellaneous &gt; "-free" and uncheck to checkbox
4. Build project 
-&gt; Verified that build successful</t>
    </r>
  </si>
  <si>
    <r>
      <t xml:space="preserve">GNURXv1103-ELF.exe
</t>
    </r>
    <r>
      <rPr>
        <sz val="11"/>
        <color indexed="12"/>
        <rFont val="Calibri"/>
        <family val="2"/>
        <scheme val="minor"/>
      </rPr>
      <t>workaround for build pass:
1. Goto MBS &gt; Compiler &gt; Object &gt; Warn if stack size exceeds the limit (H') (-Wstack-usage).
2. Clear Text field should be empty
3. Goto: MBS &gt; Library Generator &gt; Other Options &gt; Miscellaneous &gt; "-free" and uncheck to checkbox
4. Build project 
-&gt; Verified that build successful</t>
    </r>
  </si>
  <si>
    <r>
      <t xml:space="preserve">GNURXv1201-ELF.exe
</t>
    </r>
    <r>
      <rPr>
        <sz val="11"/>
        <color indexed="12"/>
        <rFont val="Calibri"/>
        <family val="2"/>
        <scheme val="minor"/>
      </rPr>
      <t>workaround for build pass:
1. Goto MBS &gt; Compiler &gt; Object &gt; Warn if stack size exceeds the limit (H') (-Wstack-usage).
2. Clear Text field should be empty
3. Goto: MBS &gt; Library Generator &gt; Other Options &gt; Miscellaneous &gt; "-free" and uncheck to checkbox
4. Build project 
-&gt; Verified that build successful</t>
    </r>
  </si>
  <si>
    <r>
      <t xml:space="preserve">GNUSHv1201-ELF.exe
</t>
    </r>
    <r>
      <rPr>
        <sz val="11"/>
        <color indexed="12"/>
        <rFont val="Calibri"/>
        <family val="2"/>
        <scheme val="minor"/>
      </rPr>
      <t>workaround for build pass:
1. Goto MBS &gt; Compiler &gt; Object &gt; Warn if stack size exceeds the limit (H') (-Wstack-usage).
2. Clear Text field should be empty
3. Build project 
-&gt; Verified that build successful</t>
    </r>
  </si>
  <si>
    <r>
      <t>1) Install the multiple toolchain with the same version (See comments)
2) Start e2 studio.
3) Exp</t>
    </r>
    <r>
      <rPr>
        <sz val="11"/>
        <rFont val="Calibri"/>
        <family val="2"/>
        <scheme val="minor"/>
      </rPr>
      <t>end all the toolchains versions</t>
    </r>
  </si>
  <si>
    <t>Device-
Debugger-
Compiler</t>
  </si>
  <si>
    <t>Added to RT of e2s version</t>
  </si>
  <si>
    <t>REE</t>
  </si>
  <si>
    <t>5.1 and older</t>
  </si>
  <si>
    <t>PIC</t>
  </si>
  <si>
    <t>RVC</t>
  </si>
  <si>
    <r>
      <t xml:space="preserve">Continuing from above tests._x000D_
1. Close any open Properties dialog._x000D_
2. Open the properties dialog for the main C source file (e.g. "main.c")._x000D_
3. On the "Build steps" tab set the Custom Build Step Applicability combo-box to "Apply Custom Build Step After Other Tools"._x000D_
_x000D_
4.Set the edit fields for the build step to be:_x000D_
 * Additional input file names: empty_x000D_
 * Output file names: &lt;config&gt;/main.obj_x000D_
 * Command: FileCopy.exe &lt;config&gt;/main.obj &lt;config&gt;/main2.obj_x000D_
_x000D_
</t>
    </r>
    <r>
      <rPr>
        <sz val="11"/>
        <color rgb="FF060ABA"/>
        <rFont val="Calibri"/>
        <family val="2"/>
        <scheme val="minor"/>
      </rPr>
      <t>(where &lt;config&gt; should be the name of the debug configuration, and FileCopy.exe should be its fully qualified path to the executable)._x000D_</t>
    </r>
    <r>
      <rPr>
        <sz val="11"/>
        <color theme="1"/>
        <rFont val="Calibri"/>
        <family val="2"/>
        <scheme val="minor"/>
      </rPr>
      <t xml:space="preserve">
_x000D_
5. Click OK and perform a clean and a build on the project._x000D_
6. Examine the build ouput in Console window.</t>
    </r>
  </si>
  <si>
    <t>[Auto limitation]</t>
  </si>
  <si>
    <t>[Lack of equipment]</t>
  </si>
  <si>
    <t>New in 5.3 RT</t>
  </si>
  <si>
    <t>Skip</t>
  </si>
  <si>
    <t>Time to execute
manual (minute)</t>
  </si>
  <si>
    <t>1. In the source folder of the current project, create 3 new files with extension ".xyz" (e.g. MyFile1.xyz, MyFile2.xyz, MyFile3.xyz)._x000D_
2. In each file add a function such as:_x000D_
_x000D_
    int MyFunction1(int a);_x000D_
    int MyFunction1(int a) _x000D_
    {_x000D_
        return a*2;_x000D_
    }_x000D_
_x000D_
(give the function a slightly different name in each file )._x000D_
3. Add the 3 files into the current project._x000D_
4. On the Custom Tool Settings dialog, specify a new tool and its settings._x000D_
  e.g._x000D_
    Name: FileCopy Tool_x000D_
    Command: FileCopy.exe_x000D_
    Sources: xyz_x000D_
    Outputs: c_x000D_
    Command pattern: ${command} ${inputs} ${output}_x000D_
_x000D_
(note that the "command" field should contain the full file pathname of "FileCopy.exe")._x000D_
_x000D_
3) Click OK._x000D_
4) Check that the Tool was added to the list in the Custom Tools tab._x000D_
5) Close and re-open e2studio._x000D_
6) Check that the custom tool is still present in the Custom Tools tab.</t>
  </si>
  <si>
    <t>GCS/MuoiN note:
Get FileCopy.exe from ODC_Phase_08_External\02_e2_RT\05_TestData\CustomPhases\
Command: FileCopy.exe
(Must input correct full path Ex: d:\XDrive\TestData\CustomPhases\FileCopy.exe)</t>
  </si>
  <si>
    <t>Time</t>
  </si>
  <si>
    <t>Num of TC</t>
  </si>
  <si>
    <t>Tuan</t>
  </si>
  <si>
    <t>Long</t>
  </si>
  <si>
    <t>Linh</t>
  </si>
  <si>
    <t>Muoi</t>
  </si>
  <si>
    <t>Thinh</t>
  </si>
  <si>
    <t>not yet</t>
    <phoneticPr fontId="152"/>
  </si>
  <si>
    <t>FR</t>
    <phoneticPr fontId="152"/>
  </si>
  <si>
    <t>Deff. Level</t>
  </si>
  <si>
    <t>TCs</t>
  </si>
  <si>
    <t>D</t>
  </si>
  <si>
    <t>N</t>
  </si>
  <si>
    <t>E</t>
  </si>
  <si>
    <t>Number of TC that has time bigger than 60 minutes</t>
  </si>
  <si>
    <t>Select the RUN:</t>
  </si>
  <si>
    <t>Total time</t>
  </si>
  <si>
    <t>Total TCs</t>
  </si>
  <si>
    <t>Average time</t>
  </si>
  <si>
    <t>$Q$15:$Q$1500</t>
  </si>
  <si>
    <t>$U$15:$U$1500</t>
  </si>
  <si>
    <t>$Y$15:$Y$1500</t>
  </si>
  <si>
    <t>$AC$15:$AC$1500</t>
  </si>
  <si>
    <t>$AG$15:$AG$1500</t>
  </si>
  <si>
    <t>GCS/Plan</t>
  </si>
  <si>
    <t>Everage time per TC</t>
  </si>
  <si>
    <t>Actual</t>
  </si>
  <si>
    <t>Quang</t>
  </si>
  <si>
    <t>Anh</t>
  </si>
  <si>
    <t xml:space="preserve">Skip </t>
  </si>
  <si>
    <t>Result on e2 studio v5.3, SSP_1.2.0-b.1</t>
  </si>
  <si>
    <t>status to be replaced</t>
    <phoneticPr fontId="0"/>
  </si>
  <si>
    <t>RCPTT memo
(RSD only)</t>
    <phoneticPr fontId="0"/>
  </si>
  <si>
    <t>test phase</t>
    <phoneticPr fontId="0"/>
  </si>
  <si>
    <t>GCS/Long</t>
  </si>
  <si>
    <t>RUN1_PART1-GCS/Manual</t>
  </si>
  <si>
    <t>GCS/Linh</t>
  </si>
  <si>
    <t>FR</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</si>
</sst>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43" formatCode="_(* #,##0.00_);_(* \(#,##0.00\);_(* &quot;-&quot;??_);_(@_)"/>
    <numFmt numFmtId="166" formatCode="_ [$€-2]* #,##0.00_ ;_ [$€-2]* \-#,##0.00_ ;_ [$€-2]* \-??_ "/>
  </numFmts>
  <fonts count="155">
    <font>
      <sz val="10"/>
      <color indexed="8"/>
      <name val="Arial"/>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indexed="8"/>
      <name val="Arial"/>
      <family val="2"/>
      <charset val="1"/>
    </font>
    <font>
      <sz val="10"/>
      <color indexed="8"/>
      <name val="Arial"/>
      <family val="2"/>
    </font>
    <font>
      <sz val="10"/>
      <name val="Arial"/>
      <family val="2"/>
    </font>
    <font>
      <sz val="11"/>
      <color indexed="8"/>
      <name val="Calibri"/>
      <family val="2"/>
      <charset val="1"/>
    </font>
    <font>
      <sz val="10"/>
      <color indexed="12"/>
      <name val="Arial"/>
      <family val="2"/>
    </font>
    <font>
      <sz val="10"/>
      <name val="Arial"/>
      <family val="2"/>
      <charset val="1"/>
    </font>
    <font>
      <sz val="11"/>
      <name val="Calibri"/>
      <family val="2"/>
      <scheme val="minor"/>
    </font>
    <font>
      <sz val="10"/>
      <name val="Arial"/>
      <family val="2"/>
      <charset val="128"/>
    </font>
    <font>
      <sz val="10"/>
      <color indexed="10"/>
      <name val="Arial"/>
      <family val="2"/>
    </font>
    <font>
      <u/>
      <sz val="10"/>
      <color theme="10"/>
      <name val="Arial"/>
      <family val="2"/>
      <charset val="1"/>
    </font>
    <font>
      <u/>
      <sz val="10"/>
      <color indexed="12"/>
      <name val="Arial"/>
      <family val="2"/>
      <charset val="1"/>
    </font>
    <font>
      <sz val="11"/>
      <color indexed="8"/>
      <name val="Calibri"/>
      <family val="2"/>
    </font>
    <font>
      <sz val="11"/>
      <color indexed="8"/>
      <name val="Calibri"/>
      <family val="2"/>
      <charset val="128"/>
    </font>
    <font>
      <sz val="11"/>
      <color indexed="9"/>
      <name val="Calibri"/>
      <family val="2"/>
    </font>
    <font>
      <sz val="11"/>
      <color indexed="9"/>
      <name val="Calibri"/>
      <family val="2"/>
      <charset val="1"/>
    </font>
    <font>
      <sz val="11"/>
      <color indexed="9"/>
      <name val="Calibri"/>
      <family val="2"/>
      <charset val="128"/>
    </font>
    <font>
      <sz val="11"/>
      <color indexed="20"/>
      <name val="Calibri"/>
      <family val="2"/>
    </font>
    <font>
      <sz val="11"/>
      <color indexed="20"/>
      <name val="Calibri"/>
      <family val="2"/>
      <charset val="1"/>
    </font>
    <font>
      <sz val="11"/>
      <color indexed="20"/>
      <name val="Calibri"/>
      <family val="2"/>
      <charset val="128"/>
    </font>
    <font>
      <b/>
      <sz val="11"/>
      <color indexed="52"/>
      <name val="Calibri"/>
      <family val="2"/>
    </font>
    <font>
      <b/>
      <sz val="11"/>
      <color indexed="52"/>
      <name val="Calibri"/>
      <family val="2"/>
      <charset val="128"/>
    </font>
    <font>
      <b/>
      <sz val="11"/>
      <color indexed="52"/>
      <name val="Calibri"/>
      <family val="2"/>
      <charset val="1"/>
    </font>
    <font>
      <b/>
      <sz val="11"/>
      <color indexed="9"/>
      <name val="Calibri"/>
      <family val="2"/>
    </font>
    <font>
      <b/>
      <sz val="11"/>
      <color indexed="9"/>
      <name val="Calibri"/>
      <family val="2"/>
      <charset val="128"/>
    </font>
    <font>
      <b/>
      <sz val="11"/>
      <color indexed="9"/>
      <name val="Calibri"/>
      <family val="2"/>
      <charset val="1"/>
    </font>
    <font>
      <sz val="12"/>
      <name val="宋体"/>
    </font>
    <font>
      <sz val="12"/>
      <name val="宋体"/>
    </font>
    <font>
      <sz val="12"/>
      <name val="宋体"/>
    </font>
    <font>
      <sz val="8"/>
      <color indexed="8"/>
      <name val="Arial"/>
      <family val="2"/>
      <charset val="1"/>
    </font>
    <font>
      <sz val="11"/>
      <color indexed="10"/>
      <name val="Calibri"/>
      <family val="2"/>
    </font>
    <font>
      <i/>
      <sz val="11"/>
      <color indexed="23"/>
      <name val="Calibri"/>
      <family val="2"/>
    </font>
    <font>
      <i/>
      <sz val="11"/>
      <color indexed="23"/>
      <name val="Calibri"/>
      <family val="2"/>
      <charset val="1"/>
    </font>
    <font>
      <i/>
      <sz val="11"/>
      <color indexed="23"/>
      <name val="Calibri"/>
      <family val="2"/>
      <charset val="128"/>
    </font>
    <font>
      <sz val="10"/>
      <name val="ＭＳ Ｐゴシック"/>
      <family val="2"/>
      <charset val="128"/>
    </font>
    <font>
      <u/>
      <sz val="10"/>
      <color theme="11"/>
      <name val="Arial"/>
      <family val="2"/>
    </font>
    <font>
      <sz val="11"/>
      <color indexed="17"/>
      <name val="Calibri"/>
      <family val="2"/>
    </font>
    <font>
      <sz val="11"/>
      <color indexed="17"/>
      <name val="Calibri"/>
      <family val="2"/>
      <charset val="1"/>
    </font>
    <font>
      <sz val="11"/>
      <color indexed="17"/>
      <name val="Calibri"/>
      <family val="2"/>
      <charset val="128"/>
    </font>
    <font>
      <b/>
      <sz val="15"/>
      <color indexed="56"/>
      <name val="Calibri"/>
      <family val="2"/>
    </font>
    <font>
      <b/>
      <sz val="15"/>
      <color indexed="56"/>
      <name val="Calibri"/>
      <family val="2"/>
      <charset val="1"/>
    </font>
    <font>
      <b/>
      <sz val="15"/>
      <color indexed="56"/>
      <name val="Calibri"/>
      <family val="2"/>
      <charset val="128"/>
    </font>
    <font>
      <b/>
      <sz val="15"/>
      <color indexed="62"/>
      <name val="Calibri"/>
      <family val="2"/>
      <charset val="128"/>
    </font>
    <font>
      <b/>
      <sz val="15"/>
      <color indexed="62"/>
      <name val="Calibri"/>
      <family val="2"/>
    </font>
    <font>
      <b/>
      <sz val="13"/>
      <color indexed="56"/>
      <name val="Calibri"/>
      <family val="2"/>
    </font>
    <font>
      <b/>
      <sz val="13"/>
      <color indexed="56"/>
      <name val="Calibri"/>
      <family val="2"/>
      <charset val="1"/>
    </font>
    <font>
      <b/>
      <sz val="13"/>
      <color indexed="56"/>
      <name val="Calibri"/>
      <family val="2"/>
      <charset val="128"/>
    </font>
    <font>
      <b/>
      <sz val="13"/>
      <color indexed="62"/>
      <name val="Calibri"/>
      <family val="2"/>
      <charset val="128"/>
    </font>
    <font>
      <b/>
      <sz val="13"/>
      <color indexed="62"/>
      <name val="Calibri"/>
      <family val="2"/>
    </font>
    <font>
      <b/>
      <sz val="11"/>
      <color indexed="56"/>
      <name val="Calibri"/>
      <family val="2"/>
    </font>
    <font>
      <b/>
      <sz val="11"/>
      <color indexed="56"/>
      <name val="Calibri"/>
      <family val="2"/>
      <charset val="1"/>
    </font>
    <font>
      <b/>
      <sz val="11"/>
      <color indexed="56"/>
      <name val="Calibri"/>
      <family val="2"/>
      <charset val="128"/>
    </font>
    <font>
      <b/>
      <sz val="11"/>
      <color indexed="62"/>
      <name val="Calibri"/>
      <family val="2"/>
      <charset val="128"/>
    </font>
    <font>
      <b/>
      <sz val="11"/>
      <color indexed="62"/>
      <name val="Calibri"/>
      <family val="2"/>
    </font>
    <font>
      <u/>
      <sz val="10"/>
      <color indexed="12"/>
      <name val="ＭＳ Ｐゴシック"/>
      <family val="2"/>
      <charset val="128"/>
    </font>
    <font>
      <u/>
      <sz val="10"/>
      <color indexed="12"/>
      <name val="Arial"/>
      <family val="2"/>
    </font>
    <font>
      <u/>
      <sz val="8.5"/>
      <color indexed="12"/>
      <name val="Arial"/>
      <family val="2"/>
    </font>
    <font>
      <u/>
      <sz val="10"/>
      <color indexed="12"/>
      <name val="Arial"/>
      <family val="2"/>
      <charset val="128"/>
    </font>
    <font>
      <u/>
      <sz val="11"/>
      <color theme="10"/>
      <name val="Calibri"/>
      <family val="2"/>
    </font>
    <font>
      <u/>
      <sz val="11"/>
      <color theme="10"/>
      <name val="Calibri"/>
      <family val="2"/>
      <scheme val="minor"/>
    </font>
    <font>
      <u/>
      <sz val="11"/>
      <color indexed="12"/>
      <name val="Calibri"/>
      <family val="2"/>
    </font>
    <font>
      <u/>
      <sz val="11"/>
      <color indexed="12"/>
      <name val="Calibri"/>
      <family val="2"/>
      <charset val="128"/>
    </font>
    <font>
      <u/>
      <sz val="8"/>
      <color theme="10"/>
      <name val="Arial"/>
      <family val="2"/>
    </font>
    <font>
      <u/>
      <sz val="10"/>
      <color theme="10"/>
      <name val="Arial"/>
      <family val="2"/>
    </font>
    <font>
      <sz val="11"/>
      <color indexed="62"/>
      <name val="Calibri"/>
      <family val="2"/>
    </font>
    <font>
      <sz val="11"/>
      <color indexed="62"/>
      <name val="Calibri"/>
      <family val="2"/>
      <charset val="128"/>
    </font>
    <font>
      <sz val="11"/>
      <color indexed="62"/>
      <name val="Calibri"/>
      <family val="2"/>
      <charset val="1"/>
    </font>
    <font>
      <sz val="11"/>
      <color indexed="52"/>
      <name val="Calibri"/>
      <family val="2"/>
    </font>
    <font>
      <sz val="11"/>
      <color indexed="52"/>
      <name val="Calibri"/>
      <family val="2"/>
      <charset val="1"/>
    </font>
    <font>
      <sz val="11"/>
      <color indexed="52"/>
      <name val="Calibri"/>
      <family val="2"/>
      <charset val="128"/>
    </font>
    <font>
      <sz val="11"/>
      <color indexed="60"/>
      <name val="Calibri"/>
      <family val="2"/>
    </font>
    <font>
      <sz val="11"/>
      <color indexed="60"/>
      <name val="Calibri"/>
      <family val="2"/>
      <charset val="1"/>
    </font>
    <font>
      <sz val="11"/>
      <color indexed="60"/>
      <name val="Calibri"/>
      <family val="2"/>
      <charset val="128"/>
    </font>
    <font>
      <sz val="8"/>
      <color indexed="8"/>
      <name val="Arial"/>
      <family val="2"/>
    </font>
    <font>
      <sz val="12"/>
      <color theme="1"/>
      <name val="Times New Roman"/>
      <family val="2"/>
    </font>
    <font>
      <sz val="12"/>
      <name val="宋体"/>
    </font>
    <font>
      <sz val="11"/>
      <color indexed="8"/>
      <name val="Calibri"/>
      <family val="2"/>
      <scheme val="minor"/>
    </font>
    <font>
      <sz val="11"/>
      <color theme="1"/>
      <name val="Calibri"/>
      <family val="2"/>
    </font>
    <font>
      <sz val="11"/>
      <color indexed="8"/>
      <name val="ＭＳ Ｐゴシック"/>
      <family val="3"/>
      <charset val="128"/>
    </font>
    <font>
      <sz val="10"/>
      <name val="ＭＳ Ｐゴシック"/>
      <family val="2"/>
      <charset val="1"/>
    </font>
    <font>
      <sz val="10"/>
      <name val="ＭＳ Ｐゴシック"/>
      <family val="2"/>
    </font>
    <font>
      <sz val="11"/>
      <name val="ＭＳ Ｐゴシック"/>
      <family val="3"/>
      <charset val="128"/>
    </font>
    <font>
      <sz val="10"/>
      <color indexed="8"/>
      <name val="Arial"/>
      <family val="2"/>
      <charset val="128"/>
    </font>
    <font>
      <sz val="11"/>
      <color theme="1"/>
      <name val="Arial"/>
      <family val="2"/>
    </font>
    <font>
      <sz val="10"/>
      <color theme="1"/>
      <name val="Arial"/>
      <family val="2"/>
    </font>
    <font>
      <sz val="11"/>
      <color indexed="63"/>
      <name val="Calibri"/>
      <family val="2"/>
    </font>
    <font>
      <b/>
      <sz val="11"/>
      <color indexed="63"/>
      <name val="Calibri"/>
      <family val="2"/>
    </font>
    <font>
      <b/>
      <sz val="11"/>
      <color indexed="63"/>
      <name val="Calibri"/>
      <family val="2"/>
      <charset val="128"/>
    </font>
    <font>
      <b/>
      <sz val="11"/>
      <color indexed="63"/>
      <name val="Calibri"/>
      <family val="2"/>
      <charset val="1"/>
    </font>
    <font>
      <sz val="10"/>
      <color indexed="12"/>
      <name val="ＭＳ Ｐゴシック"/>
      <family val="2"/>
      <charset val="128"/>
    </font>
    <font>
      <u/>
      <sz val="10"/>
      <name val="ＭＳ Ｐゴシック"/>
      <family val="2"/>
      <charset val="128"/>
    </font>
    <font>
      <u/>
      <sz val="10"/>
      <name val="ＭＳ Ｐゴシック"/>
      <family val="3"/>
      <charset val="128"/>
    </font>
    <font>
      <u/>
      <sz val="10"/>
      <name val="ＭＳ Ｐゴシック"/>
      <family val="3"/>
      <charset val="1"/>
    </font>
    <font>
      <u/>
      <sz val="10"/>
      <name val="ＭＳ Ｐゴシック"/>
      <family val="3"/>
    </font>
    <font>
      <u/>
      <sz val="10"/>
      <name val="ＭＳ Ｐゴシック"/>
      <family val="2"/>
      <charset val="1"/>
    </font>
    <font>
      <u/>
      <sz val="10"/>
      <name val="ＭＳ Ｐゴシック"/>
      <family val="2"/>
    </font>
    <font>
      <b/>
      <sz val="18"/>
      <color indexed="56"/>
      <name val="Cambria"/>
      <family val="1"/>
    </font>
    <font>
      <b/>
      <sz val="18"/>
      <color indexed="56"/>
      <name val="Cambria"/>
      <family val="1"/>
      <charset val="1"/>
    </font>
    <font>
      <b/>
      <sz val="18"/>
      <color indexed="62"/>
      <name val="Cambria"/>
      <family val="1"/>
    </font>
    <font>
      <b/>
      <sz val="18"/>
      <color indexed="56"/>
      <name val="Cambria"/>
      <family val="1"/>
      <charset val="128"/>
    </font>
    <font>
      <b/>
      <sz val="18"/>
      <color indexed="62"/>
      <name val="Cambria"/>
      <family val="2"/>
    </font>
    <font>
      <b/>
      <sz val="11"/>
      <color indexed="8"/>
      <name val="Calibri"/>
      <family val="2"/>
    </font>
    <font>
      <b/>
      <sz val="11"/>
      <color indexed="8"/>
      <name val="Calibri"/>
      <family val="2"/>
      <charset val="1"/>
    </font>
    <font>
      <b/>
      <sz val="11"/>
      <color indexed="8"/>
      <name val="Calibri"/>
      <family val="2"/>
      <charset val="128"/>
    </font>
    <font>
      <sz val="10"/>
      <color indexed="57"/>
      <name val="Arial"/>
      <family val="2"/>
      <charset val="1"/>
    </font>
    <font>
      <sz val="10"/>
      <color indexed="57"/>
      <name val="Arial"/>
      <family val="2"/>
    </font>
    <font>
      <sz val="10"/>
      <color indexed="10"/>
      <name val="Arial"/>
      <family val="2"/>
      <charset val="1"/>
    </font>
    <font>
      <sz val="10"/>
      <color indexed="12"/>
      <name val="Arial"/>
      <family val="2"/>
      <charset val="128"/>
    </font>
    <font>
      <sz val="10"/>
      <color indexed="12"/>
      <name val="Arial"/>
      <family val="2"/>
      <charset val="1"/>
    </font>
    <font>
      <b/>
      <sz val="10"/>
      <color indexed="12"/>
      <name val="Arial"/>
      <family val="2"/>
      <charset val="1"/>
    </font>
    <font>
      <sz val="11"/>
      <color indexed="10"/>
      <name val="Calibri"/>
      <family val="2"/>
      <charset val="1"/>
    </font>
    <font>
      <sz val="11"/>
      <color indexed="10"/>
      <name val="Calibri"/>
      <family val="2"/>
      <charset val="128"/>
    </font>
    <font>
      <sz val="11"/>
      <name val="ＭＳ Ｐゴシック"/>
      <family val="3"/>
      <charset val="1"/>
    </font>
    <font>
      <sz val="11"/>
      <name val="ＭＳ Ｐゴシック"/>
      <family val="3"/>
    </font>
    <font>
      <sz val="11"/>
      <color indexed="8"/>
      <name val="Calibri"/>
      <family val="3"/>
      <charset val="128"/>
    </font>
    <font>
      <sz val="11"/>
      <color indexed="8"/>
      <name val="Calibri"/>
      <family val="3"/>
      <charset val="1"/>
    </font>
    <font>
      <sz val="11"/>
      <color indexed="8"/>
      <name val="Calibri"/>
      <family val="3"/>
    </font>
    <font>
      <u/>
      <sz val="12"/>
      <color indexed="12"/>
      <name val="宋体"/>
    </font>
    <font>
      <u/>
      <sz val="12"/>
      <color indexed="12"/>
      <name val="宋体"/>
    </font>
    <font>
      <u/>
      <sz val="12"/>
      <color indexed="12"/>
      <name val="宋体"/>
    </font>
    <font>
      <b/>
      <sz val="11"/>
      <name val="Calibri"/>
      <family val="2"/>
      <scheme val="minor"/>
    </font>
    <font>
      <b/>
      <sz val="11"/>
      <color indexed="8"/>
      <name val="Calibri"/>
      <family val="2"/>
      <scheme val="minor"/>
    </font>
    <font>
      <sz val="10"/>
      <name val="Arial"/>
      <family val="2"/>
    </font>
    <font>
      <sz val="11"/>
      <color indexed="17"/>
      <name val="Calibri"/>
      <family val="2"/>
      <scheme val="minor"/>
    </font>
    <font>
      <u/>
      <sz val="11"/>
      <color indexed="12"/>
      <name val="Calibri"/>
      <family val="2"/>
      <scheme val="minor"/>
    </font>
    <font>
      <sz val="11"/>
      <color indexed="12"/>
      <name val="Calibri"/>
      <family val="2"/>
      <scheme val="minor"/>
    </font>
    <font>
      <sz val="11"/>
      <color indexed="10"/>
      <name val="Calibri"/>
      <family val="2"/>
      <scheme val="minor"/>
    </font>
    <font>
      <b/>
      <sz val="11"/>
      <color indexed="10"/>
      <name val="Calibri"/>
      <family val="2"/>
      <scheme val="minor"/>
    </font>
    <font>
      <sz val="11"/>
      <color rgb="FF0000FF"/>
      <name val="Calibri"/>
      <family val="2"/>
      <scheme val="minor"/>
    </font>
    <font>
      <b/>
      <sz val="11"/>
      <color rgb="FFFF0000"/>
      <name val="Calibri"/>
      <family val="2"/>
      <scheme val="minor"/>
    </font>
    <font>
      <sz val="11"/>
      <color theme="0" tint="-0.499984740745262"/>
      <name val="Calibri"/>
      <family val="2"/>
      <scheme val="minor"/>
    </font>
    <font>
      <sz val="11"/>
      <color rgb="FF060ABA"/>
      <name val="Calibri"/>
      <family val="2"/>
      <scheme val="minor"/>
    </font>
    <font>
      <sz val="6"/>
      <name val="ＭＳ Ｐゴシック"/>
      <family val="3"/>
      <charset val="128"/>
    </font>
    <font>
      <b/>
      <sz val="11"/>
      <color rgb="FFFF0000"/>
      <name val="Calibri"/>
      <family val="3"/>
      <charset val="128"/>
      <scheme val="minor"/>
    </font>
    <font>
      <b/>
      <sz val="12"/>
      <color rgb="FF0000FF"/>
      <name val="Times New Roman"/>
      <family val="1"/>
    </font>
  </fonts>
  <fills count="79">
    <fill>
      <patternFill patternType="none"/>
    </fill>
    <fill>
      <patternFill patternType="gray125"/>
    </fill>
    <fill>
      <patternFill patternType="solid">
        <fgColor rgb="FFFFC7CE"/>
      </patternFill>
    </fill>
    <fill>
      <patternFill patternType="solid">
        <fgColor rgb="FFFFCC99"/>
      </patternFill>
    </fill>
    <fill>
      <patternFill patternType="solid">
        <fgColor rgb="FFA5A5A5"/>
      </patternFill>
    </fill>
    <fill>
      <patternFill patternType="solid">
        <fgColor rgb="FFFFFFCC"/>
      </patternFill>
    </fill>
    <fill>
      <patternFill patternType="solid">
        <fgColor theme="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8"/>
      </patternFill>
    </fill>
    <fill>
      <patternFill patternType="solid">
        <fgColor theme="9"/>
      </patternFill>
    </fill>
    <fill>
      <patternFill patternType="solid">
        <fgColor theme="9" tint="0.79998168889431442"/>
        <bgColor indexed="65"/>
      </patternFill>
    </fill>
    <fill>
      <patternFill patternType="solid">
        <fgColor indexed="42"/>
        <bgColor indexed="41"/>
      </patternFill>
    </fill>
    <fill>
      <patternFill patternType="solid">
        <fgColor theme="0" tint="-0.34998626667073579"/>
        <bgColor indexed="64"/>
      </patternFill>
    </fill>
    <fill>
      <patternFill patternType="solid">
        <fgColor indexed="27"/>
        <bgColor indexed="41"/>
      </patternFill>
    </fill>
    <fill>
      <patternFill patternType="solid">
        <fgColor indexed="47"/>
        <bgColor indexed="31"/>
      </patternFill>
    </fill>
    <fill>
      <patternFill patternType="solid">
        <fgColor indexed="26"/>
        <bgColor indexed="9"/>
      </patternFill>
    </fill>
    <fill>
      <patternFill patternType="solid">
        <fgColor indexed="22"/>
        <bgColor indexed="64"/>
      </patternFill>
    </fill>
    <fill>
      <patternFill patternType="solid">
        <fgColor indexed="43"/>
        <bgColor indexed="64"/>
      </patternFill>
    </fill>
    <fill>
      <patternFill patternType="solid">
        <fgColor indexed="31"/>
        <bgColor indexed="40"/>
      </patternFill>
    </fill>
    <fill>
      <patternFill patternType="solid">
        <fgColor indexed="31"/>
        <bgColor indexed="22"/>
      </patternFill>
    </fill>
    <fill>
      <patternFill patternType="solid">
        <fgColor indexed="41"/>
        <bgColor indexed="42"/>
      </patternFill>
    </fill>
    <fill>
      <patternFill patternType="solid">
        <fgColor indexed="41"/>
      </patternFill>
    </fill>
    <fill>
      <patternFill patternType="solid">
        <fgColor indexed="45"/>
        <bgColor indexed="29"/>
      </patternFill>
    </fill>
    <fill>
      <patternFill patternType="solid">
        <fgColor indexed="47"/>
      </patternFill>
    </fill>
    <fill>
      <patternFill patternType="solid">
        <fgColor indexed="42"/>
        <bgColor indexed="27"/>
      </patternFill>
    </fill>
    <fill>
      <patternFill patternType="solid">
        <fgColor indexed="26"/>
      </patternFill>
    </fill>
    <fill>
      <patternFill patternType="solid">
        <fgColor indexed="46"/>
        <bgColor indexed="45"/>
      </patternFill>
    </fill>
    <fill>
      <patternFill patternType="solid">
        <fgColor indexed="46"/>
        <bgColor indexed="22"/>
      </patternFill>
    </fill>
    <fill>
      <patternFill patternType="solid">
        <fgColor indexed="46"/>
        <bgColor indexed="24"/>
      </patternFill>
    </fill>
    <fill>
      <patternFill patternType="solid">
        <fgColor indexed="9"/>
        <bgColor indexed="26"/>
      </patternFill>
    </fill>
    <fill>
      <patternFill patternType="solid">
        <fgColor indexed="9"/>
      </patternFill>
    </fill>
    <fill>
      <patternFill patternType="solid">
        <fgColor indexed="27"/>
        <bgColor indexed="42"/>
      </patternFill>
    </fill>
    <fill>
      <patternFill patternType="solid">
        <fgColor indexed="47"/>
        <bgColor indexed="40"/>
      </patternFill>
    </fill>
    <fill>
      <patternFill patternType="solid">
        <fgColor indexed="47"/>
        <bgColor indexed="22"/>
      </patternFill>
    </fill>
    <fill>
      <patternFill patternType="solid">
        <fgColor indexed="44"/>
        <bgColor indexed="31"/>
      </patternFill>
    </fill>
    <fill>
      <patternFill patternType="solid">
        <fgColor indexed="44"/>
        <bgColor indexed="24"/>
      </patternFill>
    </fill>
    <fill>
      <patternFill patternType="solid">
        <fgColor indexed="29"/>
        <bgColor indexed="45"/>
      </patternFill>
    </fill>
    <fill>
      <patternFill patternType="solid">
        <fgColor indexed="11"/>
        <bgColor indexed="49"/>
      </patternFill>
    </fill>
    <fill>
      <patternFill patternType="solid">
        <fgColor indexed="31"/>
      </patternFill>
    </fill>
    <fill>
      <patternFill patternType="solid">
        <fgColor indexed="51"/>
        <bgColor indexed="61"/>
      </patternFill>
    </fill>
    <fill>
      <patternFill patternType="solid">
        <fgColor indexed="51"/>
        <bgColor indexed="13"/>
      </patternFill>
    </fill>
    <fill>
      <patternFill patternType="solid">
        <fgColor indexed="30"/>
        <bgColor indexed="21"/>
      </patternFill>
    </fill>
    <fill>
      <patternFill patternType="solid">
        <fgColor indexed="43"/>
        <bgColor indexed="13"/>
      </patternFill>
    </fill>
    <fill>
      <patternFill patternType="solid">
        <fgColor indexed="43"/>
      </patternFill>
    </fill>
    <fill>
      <patternFill patternType="solid">
        <fgColor indexed="20"/>
        <bgColor indexed="36"/>
      </patternFill>
    </fill>
    <fill>
      <patternFill patternType="solid">
        <fgColor indexed="46"/>
      </patternFill>
    </fill>
    <fill>
      <patternFill patternType="solid">
        <fgColor indexed="49"/>
        <bgColor indexed="57"/>
      </patternFill>
    </fill>
    <fill>
      <patternFill patternType="solid">
        <fgColor indexed="49"/>
        <bgColor indexed="40"/>
      </patternFill>
    </fill>
    <fill>
      <patternFill patternType="solid">
        <fgColor indexed="52"/>
        <bgColor indexed="51"/>
      </patternFill>
    </fill>
    <fill>
      <patternFill patternType="solid">
        <fgColor indexed="62"/>
        <bgColor indexed="56"/>
      </patternFill>
    </fill>
    <fill>
      <patternFill patternType="solid">
        <fgColor indexed="49"/>
      </patternFill>
    </fill>
    <fill>
      <patternFill patternType="solid">
        <fgColor indexed="10"/>
        <bgColor indexed="25"/>
      </patternFill>
    </fill>
    <fill>
      <patternFill patternType="solid">
        <fgColor indexed="10"/>
        <bgColor indexed="60"/>
      </patternFill>
    </fill>
    <fill>
      <patternFill patternType="solid">
        <fgColor indexed="57"/>
        <bgColor indexed="54"/>
      </patternFill>
    </fill>
    <fill>
      <patternFill patternType="solid">
        <fgColor indexed="57"/>
        <bgColor indexed="21"/>
      </patternFill>
    </fill>
    <fill>
      <patternFill patternType="solid">
        <fgColor indexed="54"/>
        <bgColor indexed="23"/>
      </patternFill>
    </fill>
    <fill>
      <patternFill patternType="solid">
        <fgColor indexed="54"/>
      </patternFill>
    </fill>
    <fill>
      <patternFill patternType="solid">
        <fgColor indexed="53"/>
        <bgColor indexed="52"/>
      </patternFill>
    </fill>
    <fill>
      <patternFill patternType="solid">
        <fgColor indexed="14"/>
      </patternFill>
    </fill>
    <fill>
      <patternFill patternType="solid">
        <fgColor indexed="22"/>
        <bgColor indexed="40"/>
      </patternFill>
    </fill>
    <fill>
      <patternFill patternType="solid">
        <fgColor indexed="22"/>
        <bgColor indexed="31"/>
      </patternFill>
    </fill>
    <fill>
      <patternFill patternType="solid">
        <fgColor indexed="55"/>
        <bgColor indexed="24"/>
      </patternFill>
    </fill>
    <fill>
      <patternFill patternType="solid">
        <fgColor indexed="55"/>
        <bgColor indexed="23"/>
      </patternFill>
    </fill>
    <fill>
      <patternFill patternType="solid">
        <fgColor indexed="13"/>
        <bgColor indexed="34"/>
      </patternFill>
    </fill>
    <fill>
      <patternFill patternType="solid">
        <fgColor indexed="43"/>
        <bgColor indexed="26"/>
      </patternFill>
    </fill>
    <fill>
      <patternFill patternType="solid">
        <fgColor indexed="12"/>
        <bgColor indexed="39"/>
      </patternFill>
    </fill>
    <fill>
      <patternFill patternType="solid">
        <fgColor indexed="50"/>
        <bgColor indexed="51"/>
      </patternFill>
    </fill>
    <fill>
      <patternFill patternType="solid">
        <fgColor indexed="15"/>
        <bgColor indexed="35"/>
      </patternFill>
    </fill>
    <fill>
      <patternFill patternType="solid">
        <fgColor indexed="46"/>
        <bgColor indexed="42"/>
      </patternFill>
    </fill>
    <fill>
      <patternFill patternType="solid">
        <fgColor rgb="FFFFFFCC"/>
        <bgColor indexed="64"/>
      </patternFill>
    </fill>
    <fill>
      <patternFill patternType="solid">
        <fgColor rgb="FFCCFFFF"/>
        <bgColor indexed="31"/>
      </patternFill>
    </fill>
    <fill>
      <patternFill patternType="solid">
        <fgColor rgb="FFCCFFCC"/>
        <bgColor indexed="64"/>
      </patternFill>
    </fill>
    <fill>
      <patternFill patternType="solid">
        <fgColor rgb="FFCCFFCC"/>
        <bgColor indexed="41"/>
      </patternFill>
    </fill>
    <fill>
      <patternFill patternType="solid">
        <fgColor theme="5" tint="0.399975585192419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9" tint="-0.249977111117893"/>
        <bgColor indexed="64"/>
      </patternFill>
    </fill>
  </fills>
  <borders count="37">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thick">
        <color indexed="41"/>
      </bottom>
      <diagonal/>
    </border>
    <border>
      <left/>
      <right/>
      <top/>
      <bottom style="medium">
        <color indexed="30"/>
      </bottom>
      <diagonal/>
    </border>
    <border>
      <left/>
      <right/>
      <top/>
      <bottom style="medium">
        <color indexed="41"/>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46"/>
      </left>
      <right style="thin">
        <color indexed="46"/>
      </right>
      <top style="thin">
        <color indexed="46"/>
      </top>
      <bottom style="thin">
        <color indexed="46"/>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49"/>
      </top>
      <bottom style="double">
        <color indexed="49"/>
      </bottom>
      <diagonal/>
    </border>
    <border>
      <left style="hair">
        <color indexed="8"/>
      </left>
      <right style="hair">
        <color indexed="8"/>
      </right>
      <top style="hair">
        <color indexed="8"/>
      </top>
      <bottom style="hair">
        <color indexed="8"/>
      </bottom>
      <diagonal/>
    </border>
    <border>
      <left style="thin">
        <color indexed="64"/>
      </left>
      <right/>
      <top style="thin">
        <color indexed="64"/>
      </top>
      <bottom/>
      <diagonal/>
    </border>
    <border>
      <left/>
      <right/>
      <top style="thin">
        <color indexed="64"/>
      </top>
      <bottom style="thin">
        <color indexed="64"/>
      </bottom>
      <diagonal/>
    </border>
    <border>
      <left/>
      <right/>
      <top style="medium">
        <color indexed="64"/>
      </top>
      <bottom style="thin">
        <color indexed="64"/>
      </bottom>
      <diagonal/>
    </border>
    <border>
      <left style="thin">
        <color indexed="64"/>
      </left>
      <right/>
      <top style="thin">
        <color indexed="64"/>
      </top>
      <bottom style="medium">
        <color indexed="64"/>
      </bottom>
      <diagonal/>
    </border>
  </borders>
  <cellStyleXfs count="12421">
    <xf numFmtId="166" fontId="0" fillId="0" borderId="0">
      <alignment horizontal="center" vertical="center"/>
    </xf>
    <xf numFmtId="43" fontId="21" fillId="0" borderId="0" applyFont="0" applyFill="0" applyBorder="0" applyAlignment="0" applyProtection="0"/>
    <xf numFmtId="166" fontId="24" fillId="0" borderId="0"/>
    <xf numFmtId="166" fontId="8" fillId="0" borderId="0"/>
    <xf numFmtId="166" fontId="21" fillId="0" borderId="0">
      <alignment horizontal="center" vertical="center"/>
    </xf>
    <xf numFmtId="166" fontId="21" fillId="0" borderId="0">
      <alignment horizontal="center" vertical="center"/>
    </xf>
    <xf numFmtId="43" fontId="23" fillId="0" borderId="0" applyFill="0" applyBorder="0" applyAlignment="0" applyProtection="0"/>
    <xf numFmtId="166" fontId="32" fillId="20" borderId="0" applyProtection="0">
      <alignment vertical="center"/>
    </xf>
    <xf numFmtId="166" fontId="33" fillId="21" borderId="0" applyProtection="0">
      <alignment vertical="center"/>
    </xf>
    <xf numFmtId="166" fontId="33" fillId="21"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1"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24" fillId="21"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1"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2" fillId="20" borderId="0" applyProtection="0">
      <alignment vertical="center"/>
    </xf>
    <xf numFmtId="166" fontId="33" fillId="22" borderId="0" applyBorder="0" applyProtection="0">
      <alignment horizontal="center" vertical="center"/>
    </xf>
    <xf numFmtId="166" fontId="32"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22" borderId="0" applyBorder="0" applyProtection="0">
      <alignment horizontal="center" vertical="center"/>
    </xf>
    <xf numFmtId="166" fontId="33"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24"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2" fillId="24" borderId="0" applyProtection="0">
      <alignment vertical="center"/>
    </xf>
    <xf numFmtId="166" fontId="33" fillId="24" borderId="0" applyProtection="0">
      <alignment vertical="center"/>
    </xf>
    <xf numFmtId="166" fontId="33" fillId="24" borderId="0" applyProtection="0">
      <alignment vertical="center"/>
    </xf>
    <xf numFmtId="166" fontId="33" fillId="16" borderId="0" applyBorder="0" applyProtection="0">
      <alignment horizontal="center" vertical="center"/>
    </xf>
    <xf numFmtId="166" fontId="32" fillId="16" borderId="0" applyBorder="0" applyProtection="0">
      <alignment horizontal="center" vertical="center"/>
    </xf>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32" fillId="16" borderId="0" applyBorder="0" applyProtection="0">
      <alignment horizontal="center" vertical="center"/>
    </xf>
    <xf numFmtId="166" fontId="33" fillId="16" borderId="0" applyBorder="0" applyProtection="0">
      <alignment horizontal="center" vertical="center"/>
    </xf>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13" borderId="0" applyProtection="0">
      <alignment vertical="center"/>
    </xf>
    <xf numFmtId="166" fontId="32" fillId="13"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24"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2" fillId="26" borderId="0" applyProtection="0">
      <alignment vertical="center"/>
    </xf>
    <xf numFmtId="166" fontId="33" fillId="13" borderId="0" applyProtection="0">
      <alignment vertical="center"/>
    </xf>
    <xf numFmtId="166" fontId="33" fillId="13" borderId="0" applyProtection="0">
      <alignment vertical="center"/>
    </xf>
    <xf numFmtId="166" fontId="33" fillId="17" borderId="0" applyBorder="0" applyProtection="0">
      <alignment horizontal="center" vertical="center"/>
    </xf>
    <xf numFmtId="166" fontId="32" fillId="17" borderId="0" applyBorder="0" applyProtection="0">
      <alignment horizontal="center" vertical="center"/>
    </xf>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32" fillId="17" borderId="0" applyBorder="0" applyProtection="0">
      <alignment horizontal="center" vertical="center"/>
    </xf>
    <xf numFmtId="166" fontId="33" fillId="17" borderId="0" applyBorder="0" applyProtection="0">
      <alignment horizontal="center" vertical="center"/>
    </xf>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32" fillId="28" borderId="0" applyProtection="0">
      <alignment vertical="center"/>
    </xf>
    <xf numFmtId="166" fontId="33" fillId="29" borderId="0" applyProtection="0">
      <alignment vertical="center"/>
    </xf>
    <xf numFmtId="166" fontId="33" fillId="29" borderId="0" applyProtection="0">
      <alignment vertical="center"/>
    </xf>
    <xf numFmtId="166" fontId="32" fillId="28" borderId="0" applyProtection="0">
      <alignment vertical="center"/>
    </xf>
    <xf numFmtId="166" fontId="32" fillId="29"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9"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3" fillId="31" borderId="0" applyBorder="0" applyProtection="0">
      <alignment horizontal="center" vertical="center"/>
    </xf>
    <xf numFmtId="166" fontId="32" fillId="31" borderId="0" applyBorder="0" applyProtection="0">
      <alignment horizontal="center" vertical="center"/>
    </xf>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32" fillId="31" borderId="0" applyBorder="0" applyProtection="0">
      <alignment horizontal="center" vertical="center"/>
    </xf>
    <xf numFmtId="166" fontId="33" fillId="31" borderId="0" applyBorder="0" applyProtection="0">
      <alignment horizontal="center" vertical="center"/>
    </xf>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8" fillId="32" borderId="0" applyNumberFormat="0" applyBorder="0" applyAlignment="0" applyProtection="0"/>
    <xf numFmtId="166" fontId="32" fillId="33" borderId="0" applyProtection="0">
      <alignment vertical="center"/>
    </xf>
    <xf numFmtId="166" fontId="33" fillId="15" borderId="0" applyProtection="0">
      <alignment vertical="center"/>
    </xf>
    <xf numFmtId="166" fontId="33" fillId="15"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15"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24" fillId="15"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15"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2" fillId="33" borderId="0" applyProtection="0">
      <alignment vertical="center"/>
    </xf>
    <xf numFmtId="166" fontId="33" fillId="22" borderId="0" applyBorder="0" applyProtection="0">
      <alignment horizontal="center" vertical="center"/>
    </xf>
    <xf numFmtId="166" fontId="32"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22" borderId="0" applyBorder="0" applyProtection="0">
      <alignment horizontal="center" vertical="center"/>
    </xf>
    <xf numFmtId="166" fontId="33"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34" borderId="0" applyProtection="0">
      <alignment vertical="center"/>
    </xf>
    <xf numFmtId="166" fontId="33" fillId="16" borderId="0" applyProtection="0">
      <alignment vertical="center"/>
    </xf>
    <xf numFmtId="166" fontId="33" fillId="16" borderId="0" applyProtection="0">
      <alignment vertical="center"/>
    </xf>
    <xf numFmtId="166" fontId="32" fillId="34" borderId="0" applyProtection="0">
      <alignment vertical="center"/>
    </xf>
    <xf numFmtId="166" fontId="32" fillId="16"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16"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24" fillId="35"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5"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2" fillId="34" borderId="0" applyProtection="0">
      <alignment vertical="center"/>
    </xf>
    <xf numFmtId="166" fontId="33" fillId="16" borderId="0" applyBorder="0" applyProtection="0">
      <alignment horizontal="center" vertical="center"/>
    </xf>
    <xf numFmtId="166" fontId="32" fillId="16" borderId="0" applyBorder="0" applyProtection="0">
      <alignment horizontal="center" vertical="center"/>
    </xf>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32" fillId="16" borderId="0" applyBorder="0" applyProtection="0">
      <alignment horizontal="center" vertical="center"/>
    </xf>
    <xf numFmtId="166" fontId="33" fillId="16" borderId="0" applyBorder="0" applyProtection="0">
      <alignment horizontal="center" vertical="center"/>
    </xf>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8" fillId="12" borderId="0" applyNumberFormat="0" applyBorder="0" applyAlignment="0" applyProtection="0"/>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7" borderId="0" applyProtection="0">
      <alignment vertical="center"/>
    </xf>
    <xf numFmtId="166" fontId="32" fillId="37"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3" fillId="37" borderId="0" applyProtection="0">
      <alignment vertical="center"/>
    </xf>
    <xf numFmtId="166" fontId="33" fillId="37" borderId="0" applyProtection="0">
      <alignment vertical="center"/>
    </xf>
    <xf numFmtId="166" fontId="33" fillId="22" borderId="0" applyBorder="0" applyProtection="0">
      <alignment horizontal="center" vertical="center"/>
    </xf>
    <xf numFmtId="166" fontId="32"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22" borderId="0" applyBorder="0" applyProtection="0">
      <alignment horizontal="center" vertical="center"/>
    </xf>
    <xf numFmtId="166" fontId="33"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24"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2" fillId="38" borderId="0" applyProtection="0">
      <alignment vertical="center"/>
    </xf>
    <xf numFmtId="166" fontId="33" fillId="38" borderId="0" applyProtection="0">
      <alignment vertical="center"/>
    </xf>
    <xf numFmtId="166" fontId="33" fillId="38" borderId="0" applyProtection="0">
      <alignment vertical="center"/>
    </xf>
    <xf numFmtId="166" fontId="33" fillId="38" borderId="0" applyBorder="0" applyProtection="0">
      <alignment horizontal="center" vertical="center"/>
    </xf>
    <xf numFmtId="166" fontId="32" fillId="38" borderId="0" applyBorder="0" applyProtection="0">
      <alignment horizontal="center" vertical="center"/>
    </xf>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32" fillId="38" borderId="0" applyBorder="0" applyProtection="0">
      <alignment horizontal="center" vertical="center"/>
    </xf>
    <xf numFmtId="166" fontId="33" fillId="38" borderId="0" applyBorder="0" applyProtection="0">
      <alignment horizontal="center" vertical="center"/>
    </xf>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8" fillId="7" borderId="0" applyNumberFormat="0" applyBorder="0" applyAlignment="0" applyProtection="0"/>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24"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2" fillId="39" borderId="0" applyProtection="0">
      <alignment vertical="center"/>
    </xf>
    <xf numFmtId="166" fontId="33" fillId="39" borderId="0" applyProtection="0">
      <alignment vertical="center"/>
    </xf>
    <xf numFmtId="166" fontId="33" fillId="39" borderId="0" applyProtection="0">
      <alignment vertical="center"/>
    </xf>
    <xf numFmtId="166" fontId="33" fillId="17" borderId="0" applyBorder="0" applyProtection="0">
      <alignment horizontal="center" vertical="center"/>
    </xf>
    <xf numFmtId="166" fontId="32" fillId="17" borderId="0" applyBorder="0" applyProtection="0">
      <alignment horizontal="center" vertical="center"/>
    </xf>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32" fillId="17" borderId="0" applyBorder="0" applyProtection="0">
      <alignment horizontal="center" vertical="center"/>
    </xf>
    <xf numFmtId="166" fontId="33" fillId="17" borderId="0" applyBorder="0" applyProtection="0">
      <alignment horizontal="center" vertical="center"/>
    </xf>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8" fillId="27" borderId="0" applyNumberFormat="0" applyBorder="0" applyAlignment="0" applyProtection="0"/>
    <xf numFmtId="166" fontId="32" fillId="28" borderId="0" applyProtection="0">
      <alignment vertical="center"/>
    </xf>
    <xf numFmtId="166" fontId="33" fillId="29" borderId="0" applyProtection="0">
      <alignment vertical="center"/>
    </xf>
    <xf numFmtId="166" fontId="33" fillId="29" borderId="0" applyProtection="0">
      <alignment vertical="center"/>
    </xf>
    <xf numFmtId="166" fontId="32" fillId="28" borderId="0" applyProtection="0">
      <alignment vertical="center"/>
    </xf>
    <xf numFmtId="166" fontId="32" fillId="29"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9"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24"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30"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2" fillId="28" borderId="0" applyProtection="0">
      <alignment vertical="center"/>
    </xf>
    <xf numFmtId="166" fontId="33" fillId="21" borderId="0" applyBorder="0" applyProtection="0">
      <alignment horizontal="center" vertical="center"/>
    </xf>
    <xf numFmtId="166" fontId="32" fillId="21" borderId="0" applyBorder="0" applyProtection="0">
      <alignment horizontal="center" vertical="center"/>
    </xf>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32" fillId="21" borderId="0" applyBorder="0" applyProtection="0">
      <alignment horizontal="center" vertical="center"/>
    </xf>
    <xf numFmtId="166" fontId="33" fillId="21" borderId="0" applyBorder="0" applyProtection="0">
      <alignment horizontal="center" vertical="center"/>
    </xf>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8" fillId="40" borderId="0" applyNumberFormat="0" applyBorder="0" applyAlignment="0" applyProtection="0"/>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7" borderId="0" applyProtection="0">
      <alignment vertical="center"/>
    </xf>
    <xf numFmtId="166" fontId="32" fillId="37"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24"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2" fillId="36" borderId="0" applyProtection="0">
      <alignment vertical="center"/>
    </xf>
    <xf numFmtId="166" fontId="33" fillId="37" borderId="0" applyProtection="0">
      <alignment vertical="center"/>
    </xf>
    <xf numFmtId="166" fontId="33" fillId="37" borderId="0" applyProtection="0">
      <alignment vertical="center"/>
    </xf>
    <xf numFmtId="166" fontId="33" fillId="22" borderId="0" applyBorder="0" applyProtection="0">
      <alignment horizontal="center" vertical="center"/>
    </xf>
    <xf numFmtId="166" fontId="32"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22" borderId="0" applyBorder="0" applyProtection="0">
      <alignment horizontal="center" vertical="center"/>
    </xf>
    <xf numFmtId="166" fontId="33" fillId="22" borderId="0" applyBorder="0" applyProtection="0">
      <alignment horizontal="center" vertical="center"/>
    </xf>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8" fillId="23" borderId="0" applyNumberFormat="0" applyBorder="0" applyAlignment="0" applyProtection="0"/>
    <xf numFmtId="166" fontId="32" fillId="41" borderId="0" applyProtection="0">
      <alignment vertical="center"/>
    </xf>
    <xf numFmtId="166" fontId="33" fillId="42" borderId="0" applyProtection="0">
      <alignment vertical="center"/>
    </xf>
    <xf numFmtId="166" fontId="33" fillId="42"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2"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24" fillId="42"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2"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2" fillId="41" borderId="0" applyProtection="0">
      <alignment vertical="center"/>
    </xf>
    <xf numFmtId="166" fontId="33" fillId="16" borderId="0" applyBorder="0" applyProtection="0">
      <alignment horizontal="center" vertical="center"/>
    </xf>
    <xf numFmtId="166" fontId="32" fillId="16" borderId="0" applyBorder="0" applyProtection="0">
      <alignment horizontal="center" vertical="center"/>
    </xf>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32" fillId="16" borderId="0" applyBorder="0" applyProtection="0">
      <alignment horizontal="center" vertical="center"/>
    </xf>
    <xf numFmtId="166" fontId="33" fillId="16" borderId="0" applyBorder="0" applyProtection="0">
      <alignment horizontal="center" vertical="center"/>
    </xf>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8" fillId="25" borderId="0" applyNumberFormat="0" applyBorder="0" applyAlignment="0" applyProtection="0"/>
    <xf numFmtId="166" fontId="34" fillId="43" borderId="0" applyProtection="0">
      <alignment vertical="center"/>
    </xf>
    <xf numFmtId="166" fontId="34"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4" fillId="43" borderId="0" applyProtection="0">
      <alignment vertical="center"/>
    </xf>
    <xf numFmtId="166" fontId="34" fillId="43" borderId="0" applyProtection="0">
      <alignment vertical="center"/>
    </xf>
    <xf numFmtId="166" fontId="34"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5" fillId="43" borderId="0" applyProtection="0">
      <alignment vertical="center"/>
    </xf>
    <xf numFmtId="166" fontId="34" fillId="43" borderId="0" applyProtection="0">
      <alignment vertical="center"/>
    </xf>
    <xf numFmtId="166" fontId="34" fillId="43" borderId="0" applyProtection="0">
      <alignment vertical="center"/>
    </xf>
    <xf numFmtId="166" fontId="34" fillId="43" borderId="0" applyProtection="0">
      <alignment vertical="center"/>
    </xf>
    <xf numFmtId="166" fontId="34" fillId="43" borderId="0" applyProtection="0">
      <alignment vertical="center"/>
    </xf>
    <xf numFmtId="166" fontId="34" fillId="43" borderId="0" applyProtection="0">
      <alignment vertical="center"/>
    </xf>
    <xf numFmtId="166" fontId="36" fillId="43" borderId="0" applyProtection="0">
      <alignment vertical="center"/>
    </xf>
    <xf numFmtId="166" fontId="36" fillId="43" borderId="0" applyProtection="0">
      <alignment vertical="center"/>
    </xf>
    <xf numFmtId="166" fontId="36" fillId="22" borderId="0" applyBorder="0" applyProtection="0">
      <alignment horizontal="center" vertical="center"/>
    </xf>
    <xf numFmtId="166" fontId="34" fillId="22" borderId="0" applyBorder="0" applyProtection="0">
      <alignment horizontal="center" vertical="center"/>
    </xf>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34" fillId="22" borderId="0" applyBorder="0" applyProtection="0">
      <alignment horizontal="center" vertical="center"/>
    </xf>
    <xf numFmtId="166" fontId="36" fillId="22" borderId="0" applyBorder="0" applyProtection="0">
      <alignment horizontal="center" vertical="center"/>
    </xf>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34" fillId="38" borderId="0" applyProtection="0">
      <alignment vertical="center"/>
    </xf>
    <xf numFmtId="166" fontId="34"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4" fillId="38" borderId="0" applyProtection="0">
      <alignment vertical="center"/>
    </xf>
    <xf numFmtId="166" fontId="34" fillId="38" borderId="0" applyProtection="0">
      <alignment vertical="center"/>
    </xf>
    <xf numFmtId="166" fontId="34"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5" fillId="38" borderId="0" applyProtection="0">
      <alignment vertical="center"/>
    </xf>
    <xf numFmtId="166" fontId="34" fillId="38" borderId="0" applyProtection="0">
      <alignment vertical="center"/>
    </xf>
    <xf numFmtId="166" fontId="34" fillId="38" borderId="0" applyProtection="0">
      <alignment vertical="center"/>
    </xf>
    <xf numFmtId="166" fontId="34" fillId="38" borderId="0" applyProtection="0">
      <alignment vertical="center"/>
    </xf>
    <xf numFmtId="166" fontId="34" fillId="38" borderId="0" applyProtection="0">
      <alignment vertical="center"/>
    </xf>
    <xf numFmtId="166" fontId="34" fillId="38" borderId="0" applyProtection="0">
      <alignment vertical="center"/>
    </xf>
    <xf numFmtId="166" fontId="36" fillId="38" borderId="0" applyProtection="0">
      <alignment vertical="center"/>
    </xf>
    <xf numFmtId="166" fontId="36" fillId="38" borderId="0" applyProtection="0">
      <alignment vertical="center"/>
    </xf>
    <xf numFmtId="166" fontId="36" fillId="38" borderId="0" applyBorder="0" applyProtection="0">
      <alignment horizontal="center" vertical="center"/>
    </xf>
    <xf numFmtId="166" fontId="34" fillId="38" borderId="0" applyBorder="0" applyProtection="0">
      <alignment horizontal="center" vertical="center"/>
    </xf>
    <xf numFmtId="166" fontId="20" fillId="8" borderId="0" applyNumberFormat="0" applyBorder="0" applyAlignment="0" applyProtection="0"/>
    <xf numFmtId="166" fontId="20" fillId="8" borderId="0" applyNumberFormat="0" applyBorder="0" applyAlignment="0" applyProtection="0"/>
    <xf numFmtId="166" fontId="20" fillId="8" borderId="0" applyNumberFormat="0" applyBorder="0" applyAlignment="0" applyProtection="0"/>
    <xf numFmtId="166" fontId="20" fillId="8" borderId="0" applyNumberFormat="0" applyBorder="0" applyAlignment="0" applyProtection="0"/>
    <xf numFmtId="166" fontId="34" fillId="38" borderId="0" applyBorder="0" applyProtection="0">
      <alignment horizontal="center" vertical="center"/>
    </xf>
    <xf numFmtId="166" fontId="36" fillId="38" borderId="0" applyBorder="0" applyProtection="0">
      <alignment horizontal="center" vertical="center"/>
    </xf>
    <xf numFmtId="166" fontId="20" fillId="8" borderId="0" applyNumberFormat="0" applyBorder="0" applyAlignment="0" applyProtection="0"/>
    <xf numFmtId="166" fontId="20" fillId="8" borderId="0" applyNumberFormat="0" applyBorder="0" applyAlignment="0" applyProtection="0"/>
    <xf numFmtId="166" fontId="20" fillId="8" borderId="0" applyNumberFormat="0" applyBorder="0" applyAlignment="0" applyProtection="0"/>
    <xf numFmtId="166" fontId="20" fillId="8" borderId="0" applyNumberFormat="0" applyBorder="0" applyAlignment="0" applyProtection="0"/>
    <xf numFmtId="166" fontId="20" fillId="8" borderId="0" applyNumberFormat="0" applyBorder="0" applyAlignment="0" applyProtection="0"/>
    <xf numFmtId="166" fontId="20" fillId="8" borderId="0" applyNumberFormat="0" applyBorder="0" applyAlignment="0" applyProtection="0"/>
    <xf numFmtId="166" fontId="34" fillId="39" borderId="0" applyProtection="0">
      <alignment vertical="center"/>
    </xf>
    <xf numFmtId="166" fontId="34"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4" fillId="39" borderId="0" applyProtection="0">
      <alignment vertical="center"/>
    </xf>
    <xf numFmtId="166" fontId="34" fillId="39" borderId="0" applyProtection="0">
      <alignment vertical="center"/>
    </xf>
    <xf numFmtId="166" fontId="34"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5" fillId="39" borderId="0" applyProtection="0">
      <alignment vertical="center"/>
    </xf>
    <xf numFmtId="166" fontId="34" fillId="39" borderId="0" applyProtection="0">
      <alignment vertical="center"/>
    </xf>
    <xf numFmtId="166" fontId="34" fillId="39" borderId="0" applyProtection="0">
      <alignment vertical="center"/>
    </xf>
    <xf numFmtId="166" fontId="34" fillId="39" borderId="0" applyProtection="0">
      <alignment vertical="center"/>
    </xf>
    <xf numFmtId="166" fontId="34" fillId="39" borderId="0" applyProtection="0">
      <alignment vertical="center"/>
    </xf>
    <xf numFmtId="166" fontId="34" fillId="39" borderId="0" applyProtection="0">
      <alignment vertical="center"/>
    </xf>
    <xf numFmtId="166" fontId="36" fillId="39" borderId="0" applyProtection="0">
      <alignment vertical="center"/>
    </xf>
    <xf numFmtId="166" fontId="36" fillId="39" borderId="0" applyProtection="0">
      <alignment vertical="center"/>
    </xf>
    <xf numFmtId="166" fontId="36" fillId="44" borderId="0" applyBorder="0" applyProtection="0">
      <alignment horizontal="center" vertical="center"/>
    </xf>
    <xf numFmtId="166" fontId="34" fillId="44" borderId="0" applyBorder="0" applyProtection="0">
      <alignment horizontal="center" vertical="center"/>
    </xf>
    <xf numFmtId="166" fontId="20" fillId="45" borderId="0" applyNumberFormat="0" applyBorder="0" applyAlignment="0" applyProtection="0"/>
    <xf numFmtId="166" fontId="20" fillId="45" borderId="0" applyNumberFormat="0" applyBorder="0" applyAlignment="0" applyProtection="0"/>
    <xf numFmtId="166" fontId="20" fillId="45" borderId="0" applyNumberFormat="0" applyBorder="0" applyAlignment="0" applyProtection="0"/>
    <xf numFmtId="166" fontId="20" fillId="45" borderId="0" applyNumberFormat="0" applyBorder="0" applyAlignment="0" applyProtection="0"/>
    <xf numFmtId="166" fontId="34" fillId="44" borderId="0" applyBorder="0" applyProtection="0">
      <alignment horizontal="center" vertical="center"/>
    </xf>
    <xf numFmtId="166" fontId="36" fillId="44" borderId="0" applyBorder="0" applyProtection="0">
      <alignment horizontal="center" vertical="center"/>
    </xf>
    <xf numFmtId="166" fontId="20" fillId="45" borderId="0" applyNumberFormat="0" applyBorder="0" applyAlignment="0" applyProtection="0"/>
    <xf numFmtId="166" fontId="20" fillId="45" borderId="0" applyNumberFormat="0" applyBorder="0" applyAlignment="0" applyProtection="0"/>
    <xf numFmtId="166" fontId="20" fillId="45" borderId="0" applyNumberFormat="0" applyBorder="0" applyAlignment="0" applyProtection="0"/>
    <xf numFmtId="166" fontId="20" fillId="45" borderId="0" applyNumberFormat="0" applyBorder="0" applyAlignment="0" applyProtection="0"/>
    <xf numFmtId="166" fontId="20" fillId="45" borderId="0" applyNumberFormat="0" applyBorder="0" applyAlignment="0" applyProtection="0"/>
    <xf numFmtId="166" fontId="20" fillId="45" borderId="0" applyNumberFormat="0" applyBorder="0" applyAlignment="0" applyProtection="0"/>
    <xf numFmtId="166" fontId="34" fillId="46" borderId="0" applyProtection="0">
      <alignment vertical="center"/>
    </xf>
    <xf numFmtId="166" fontId="34"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6" fillId="46" borderId="0" applyProtection="0">
      <alignment vertical="center"/>
    </xf>
    <xf numFmtId="166" fontId="36" fillId="46" borderId="0" applyProtection="0">
      <alignment vertical="center"/>
    </xf>
    <xf numFmtId="166" fontId="36" fillId="29" borderId="0" applyBorder="0" applyProtection="0">
      <alignment horizontal="center" vertical="center"/>
    </xf>
    <xf numFmtId="166" fontId="34" fillId="29" borderId="0" applyBorder="0" applyProtection="0">
      <alignment horizontal="center" vertical="center"/>
    </xf>
    <xf numFmtId="166" fontId="20" fillId="47" borderId="0" applyNumberFormat="0" applyBorder="0" applyAlignment="0" applyProtection="0"/>
    <xf numFmtId="166" fontId="20" fillId="47" borderId="0" applyNumberFormat="0" applyBorder="0" applyAlignment="0" applyProtection="0"/>
    <xf numFmtId="166" fontId="20" fillId="47" borderId="0" applyNumberFormat="0" applyBorder="0" applyAlignment="0" applyProtection="0"/>
    <xf numFmtId="166" fontId="20" fillId="47" borderId="0" applyNumberFormat="0" applyBorder="0" applyAlignment="0" applyProtection="0"/>
    <xf numFmtId="166" fontId="34" fillId="29" borderId="0" applyBorder="0" applyProtection="0">
      <alignment horizontal="center" vertical="center"/>
    </xf>
    <xf numFmtId="166" fontId="36" fillId="29" borderId="0" applyBorder="0" applyProtection="0">
      <alignment horizontal="center" vertical="center"/>
    </xf>
    <xf numFmtId="166" fontId="20" fillId="47" borderId="0" applyNumberFormat="0" applyBorder="0" applyAlignment="0" applyProtection="0"/>
    <xf numFmtId="166" fontId="20" fillId="47" borderId="0" applyNumberFormat="0" applyBorder="0" applyAlignment="0" applyProtection="0"/>
    <xf numFmtId="166" fontId="20" fillId="47" borderId="0" applyNumberFormat="0" applyBorder="0" applyAlignment="0" applyProtection="0"/>
    <xf numFmtId="166" fontId="20" fillId="47" borderId="0" applyNumberFormat="0" applyBorder="0" applyAlignment="0" applyProtection="0"/>
    <xf numFmtId="166" fontId="20" fillId="47" borderId="0" applyNumberFormat="0" applyBorder="0" applyAlignment="0" applyProtection="0"/>
    <xf numFmtId="166" fontId="20" fillId="47" borderId="0" applyNumberFormat="0" applyBorder="0" applyAlignment="0" applyProtection="0"/>
    <xf numFmtId="166" fontId="34" fillId="48" borderId="0" applyProtection="0">
      <alignment vertical="center"/>
    </xf>
    <xf numFmtId="166" fontId="36" fillId="49" borderId="0" applyProtection="0">
      <alignment vertical="center"/>
    </xf>
    <xf numFmtId="166" fontId="36" fillId="49" borderId="0" applyProtection="0">
      <alignment vertical="center"/>
    </xf>
    <xf numFmtId="166" fontId="34"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4" fillId="48" borderId="0" applyProtection="0">
      <alignment vertical="center"/>
    </xf>
    <xf numFmtId="166" fontId="34" fillId="48"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6" fillId="22" borderId="0" applyBorder="0" applyProtection="0">
      <alignment horizontal="center" vertical="center"/>
    </xf>
    <xf numFmtId="166" fontId="34" fillId="22" borderId="0" applyBorder="0" applyProtection="0">
      <alignment horizontal="center" vertical="center"/>
    </xf>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34" fillId="22" borderId="0" applyBorder="0" applyProtection="0">
      <alignment horizontal="center" vertical="center"/>
    </xf>
    <xf numFmtId="166" fontId="36" fillId="22" borderId="0" applyBorder="0" applyProtection="0">
      <alignment horizontal="center" vertical="center"/>
    </xf>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20" fillId="23" borderId="0" applyNumberFormat="0" applyBorder="0" applyAlignment="0" applyProtection="0"/>
    <xf numFmtId="166" fontId="34" fillId="50" borderId="0" applyProtection="0">
      <alignment vertical="center"/>
    </xf>
    <xf numFmtId="166" fontId="34"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4" fillId="50" borderId="0" applyProtection="0">
      <alignment vertical="center"/>
    </xf>
    <xf numFmtId="166" fontId="34" fillId="50" borderId="0" applyProtection="0">
      <alignment vertical="center"/>
    </xf>
    <xf numFmtId="166" fontId="34"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5" fillId="50" borderId="0" applyProtection="0">
      <alignment vertical="center"/>
    </xf>
    <xf numFmtId="166" fontId="34" fillId="50" borderId="0" applyProtection="0">
      <alignment vertical="center"/>
    </xf>
    <xf numFmtId="166" fontId="34" fillId="50" borderId="0" applyProtection="0">
      <alignment vertical="center"/>
    </xf>
    <xf numFmtId="166" fontId="34" fillId="50" borderId="0" applyProtection="0">
      <alignment vertical="center"/>
    </xf>
    <xf numFmtId="166" fontId="34" fillId="50" borderId="0" applyProtection="0">
      <alignment vertical="center"/>
    </xf>
    <xf numFmtId="166" fontId="34" fillId="50" borderId="0" applyProtection="0">
      <alignment vertical="center"/>
    </xf>
    <xf numFmtId="166" fontId="36" fillId="50" borderId="0" applyProtection="0">
      <alignment vertical="center"/>
    </xf>
    <xf numFmtId="166" fontId="36" fillId="50" borderId="0" applyProtection="0">
      <alignment vertical="center"/>
    </xf>
    <xf numFmtId="166" fontId="36" fillId="16" borderId="0" applyBorder="0" applyProtection="0">
      <alignment horizontal="center" vertical="center"/>
    </xf>
    <xf numFmtId="166" fontId="34" fillId="16" borderId="0" applyBorder="0" applyProtection="0">
      <alignment horizontal="center" vertical="center"/>
    </xf>
    <xf numFmtId="166" fontId="20" fillId="25" borderId="0" applyNumberFormat="0" applyBorder="0" applyAlignment="0" applyProtection="0"/>
    <xf numFmtId="166" fontId="20" fillId="25" borderId="0" applyNumberFormat="0" applyBorder="0" applyAlignment="0" applyProtection="0"/>
    <xf numFmtId="166" fontId="20" fillId="25" borderId="0" applyNumberFormat="0" applyBorder="0" applyAlignment="0" applyProtection="0"/>
    <xf numFmtId="166" fontId="20" fillId="25" borderId="0" applyNumberFormat="0" applyBorder="0" applyAlignment="0" applyProtection="0"/>
    <xf numFmtId="166" fontId="34" fillId="16" borderId="0" applyBorder="0" applyProtection="0">
      <alignment horizontal="center" vertical="center"/>
    </xf>
    <xf numFmtId="166" fontId="36" fillId="16" borderId="0" applyBorder="0" applyProtection="0">
      <alignment horizontal="center" vertical="center"/>
    </xf>
    <xf numFmtId="166" fontId="20" fillId="25" borderId="0" applyNumberFormat="0" applyBorder="0" applyAlignment="0" applyProtection="0"/>
    <xf numFmtId="166" fontId="20" fillId="25" borderId="0" applyNumberFormat="0" applyBorder="0" applyAlignment="0" applyProtection="0"/>
    <xf numFmtId="166" fontId="20" fillId="25" borderId="0" applyNumberFormat="0" applyBorder="0" applyAlignment="0" applyProtection="0"/>
    <xf numFmtId="166" fontId="20" fillId="25" borderId="0" applyNumberFormat="0" applyBorder="0" applyAlignment="0" applyProtection="0"/>
    <xf numFmtId="166" fontId="20" fillId="25" borderId="0" applyNumberFormat="0" applyBorder="0" applyAlignment="0" applyProtection="0"/>
    <xf numFmtId="166" fontId="20" fillId="25" borderId="0" applyNumberFormat="0" applyBorder="0" applyAlignment="0" applyProtection="0"/>
    <xf numFmtId="166" fontId="34" fillId="51" borderId="0" applyProtection="0">
      <alignment vertical="center"/>
    </xf>
    <xf numFmtId="166" fontId="34"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4" fillId="51" borderId="0" applyProtection="0">
      <alignment vertical="center"/>
    </xf>
    <xf numFmtId="166" fontId="34" fillId="51" borderId="0" applyProtection="0">
      <alignment vertical="center"/>
    </xf>
    <xf numFmtId="166" fontId="34"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5" fillId="51" borderId="0" applyProtection="0">
      <alignment vertical="center"/>
    </xf>
    <xf numFmtId="166" fontId="34" fillId="51" borderId="0" applyProtection="0">
      <alignment vertical="center"/>
    </xf>
    <xf numFmtId="166" fontId="34" fillId="51" borderId="0" applyProtection="0">
      <alignment vertical="center"/>
    </xf>
    <xf numFmtId="166" fontId="34" fillId="51" borderId="0" applyProtection="0">
      <alignment vertical="center"/>
    </xf>
    <xf numFmtId="166" fontId="34" fillId="51" borderId="0" applyProtection="0">
      <alignment vertical="center"/>
    </xf>
    <xf numFmtId="166" fontId="34" fillId="51" borderId="0" applyProtection="0">
      <alignment vertical="center"/>
    </xf>
    <xf numFmtId="166" fontId="36" fillId="51" borderId="0" applyProtection="0">
      <alignment vertical="center"/>
    </xf>
    <xf numFmtId="166" fontId="36" fillId="51" borderId="0" applyProtection="0">
      <alignment vertical="center"/>
    </xf>
    <xf numFmtId="166" fontId="36" fillId="49" borderId="0" applyBorder="0" applyProtection="0">
      <alignment horizontal="center" vertical="center"/>
    </xf>
    <xf numFmtId="166" fontId="34" fillId="49" borderId="0" applyBorder="0" applyProtection="0">
      <alignment horizontal="center" vertical="center"/>
    </xf>
    <xf numFmtId="166" fontId="20" fillId="52" borderId="0" applyNumberFormat="0" applyBorder="0" applyAlignment="0" applyProtection="0"/>
    <xf numFmtId="166" fontId="20" fillId="52" borderId="0" applyNumberFormat="0" applyBorder="0" applyAlignment="0" applyProtection="0"/>
    <xf numFmtId="166" fontId="20" fillId="52" borderId="0" applyNumberFormat="0" applyBorder="0" applyAlignment="0" applyProtection="0"/>
    <xf numFmtId="166" fontId="20" fillId="52" borderId="0" applyNumberFormat="0" applyBorder="0" applyAlignment="0" applyProtection="0"/>
    <xf numFmtId="166" fontId="34" fillId="49" borderId="0" applyBorder="0" applyProtection="0">
      <alignment horizontal="center" vertical="center"/>
    </xf>
    <xf numFmtId="166" fontId="36" fillId="49" borderId="0" applyBorder="0" applyProtection="0">
      <alignment horizontal="center" vertical="center"/>
    </xf>
    <xf numFmtId="166" fontId="20" fillId="52" borderId="0" applyNumberFormat="0" applyBorder="0" applyAlignment="0" applyProtection="0"/>
    <xf numFmtId="166" fontId="20" fillId="52" borderId="0" applyNumberFormat="0" applyBorder="0" applyAlignment="0" applyProtection="0"/>
    <xf numFmtId="166" fontId="20" fillId="52" borderId="0" applyNumberFormat="0" applyBorder="0" applyAlignment="0" applyProtection="0"/>
    <xf numFmtId="166" fontId="20" fillId="52" borderId="0" applyNumberFormat="0" applyBorder="0" applyAlignment="0" applyProtection="0"/>
    <xf numFmtId="166" fontId="20" fillId="52" borderId="0" applyNumberFormat="0" applyBorder="0" applyAlignment="0" applyProtection="0"/>
    <xf numFmtId="166" fontId="20" fillId="52" borderId="0" applyNumberFormat="0" applyBorder="0" applyAlignment="0" applyProtection="0"/>
    <xf numFmtId="166" fontId="34" fillId="53" borderId="0" applyProtection="0">
      <alignment vertical="center"/>
    </xf>
    <xf numFmtId="166" fontId="36" fillId="54" borderId="0" applyProtection="0">
      <alignment vertical="center"/>
    </xf>
    <xf numFmtId="166" fontId="36" fillId="54" borderId="0" applyProtection="0">
      <alignment vertical="center"/>
    </xf>
    <xf numFmtId="166" fontId="34"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4" fillId="53" borderId="0" applyProtection="0">
      <alignment vertical="center"/>
    </xf>
    <xf numFmtId="166" fontId="34" fillId="53"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5" fillId="54"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4"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34" fillId="53" borderId="0" applyProtection="0">
      <alignment vertical="center"/>
    </xf>
    <xf numFmtId="166" fontId="20" fillId="6" borderId="0" applyNumberFormat="0" applyBorder="0" applyAlignment="0" applyProtection="0"/>
    <xf numFmtId="166" fontId="20" fillId="6" borderId="0" applyNumberFormat="0" applyBorder="0" applyAlignment="0" applyProtection="0"/>
    <xf numFmtId="166" fontId="34" fillId="53" borderId="0" applyProtection="0">
      <alignment vertical="center"/>
    </xf>
    <xf numFmtId="166" fontId="34" fillId="53" borderId="0" applyProtection="0">
      <alignment vertical="center"/>
    </xf>
    <xf numFmtId="166" fontId="36" fillId="54" borderId="0" applyBorder="0" applyProtection="0">
      <alignment horizontal="center" vertical="center"/>
    </xf>
    <xf numFmtId="166" fontId="34" fillId="54" borderId="0" applyBorder="0" applyProtection="0">
      <alignment horizontal="center" vertical="center"/>
    </xf>
    <xf numFmtId="166" fontId="20" fillId="6" borderId="0" applyNumberFormat="0" applyBorder="0" applyAlignment="0" applyProtection="0"/>
    <xf numFmtId="166" fontId="20" fillId="6" borderId="0" applyNumberFormat="0" applyBorder="0" applyAlignment="0" applyProtection="0"/>
    <xf numFmtId="166" fontId="20" fillId="6" borderId="0" applyNumberFormat="0" applyBorder="0" applyAlignment="0" applyProtection="0"/>
    <xf numFmtId="166" fontId="20" fillId="6" borderId="0" applyNumberFormat="0" applyBorder="0" applyAlignment="0" applyProtection="0"/>
    <xf numFmtId="166" fontId="34" fillId="54" borderId="0" applyBorder="0" applyProtection="0">
      <alignment horizontal="center" vertical="center"/>
    </xf>
    <xf numFmtId="166" fontId="36" fillId="54" borderId="0" applyBorder="0" applyProtection="0">
      <alignment horizontal="center" vertical="center"/>
    </xf>
    <xf numFmtId="166" fontId="20" fillId="6" borderId="0" applyNumberFormat="0" applyBorder="0" applyAlignment="0" applyProtection="0"/>
    <xf numFmtId="166" fontId="20" fillId="6" borderId="0" applyNumberFormat="0" applyBorder="0" applyAlignment="0" applyProtection="0"/>
    <xf numFmtId="166" fontId="20" fillId="6" borderId="0" applyNumberFormat="0" applyBorder="0" applyAlignment="0" applyProtection="0"/>
    <xf numFmtId="166" fontId="20" fillId="6" borderId="0" applyNumberFormat="0" applyBorder="0" applyAlignment="0" applyProtection="0"/>
    <xf numFmtId="166" fontId="20" fillId="6" borderId="0" applyNumberFormat="0" applyBorder="0" applyAlignment="0" applyProtection="0"/>
    <xf numFmtId="166" fontId="20" fillId="6" borderId="0" applyNumberFormat="0" applyBorder="0" applyAlignment="0" applyProtection="0"/>
    <xf numFmtId="166" fontId="34" fillId="55" borderId="0" applyProtection="0">
      <alignment vertical="center"/>
    </xf>
    <xf numFmtId="166" fontId="36" fillId="56" borderId="0" applyProtection="0">
      <alignment vertical="center"/>
    </xf>
    <xf numFmtId="166" fontId="36" fillId="56" borderId="0" applyProtection="0">
      <alignment vertical="center"/>
    </xf>
    <xf numFmtId="166" fontId="34"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4" fillId="55" borderId="0" applyProtection="0">
      <alignment vertical="center"/>
    </xf>
    <xf numFmtId="166" fontId="34" fillId="55"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5" fillId="56"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6"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4" fillId="55" borderId="0" applyProtection="0">
      <alignment vertical="center"/>
    </xf>
    <xf numFmtId="166" fontId="36" fillId="56" borderId="0" applyBorder="0" applyProtection="0">
      <alignment horizontal="center" vertical="center"/>
    </xf>
    <xf numFmtId="166" fontId="34" fillId="56" borderId="0" applyBorder="0" applyProtection="0">
      <alignment horizontal="center" vertical="center"/>
    </xf>
    <xf numFmtId="166" fontId="20" fillId="9" borderId="0" applyNumberFormat="0" applyBorder="0" applyAlignment="0" applyProtection="0"/>
    <xf numFmtId="166" fontId="20" fillId="9" borderId="0" applyNumberFormat="0" applyBorder="0" applyAlignment="0" applyProtection="0"/>
    <xf numFmtId="166" fontId="20" fillId="9" borderId="0" applyNumberFormat="0" applyBorder="0" applyAlignment="0" applyProtection="0"/>
    <xf numFmtId="166" fontId="20" fillId="9" borderId="0" applyNumberFormat="0" applyBorder="0" applyAlignment="0" applyProtection="0"/>
    <xf numFmtId="166" fontId="34" fillId="56" borderId="0" applyBorder="0" applyProtection="0">
      <alignment horizontal="center" vertical="center"/>
    </xf>
    <xf numFmtId="166" fontId="36" fillId="56" borderId="0" applyBorder="0" applyProtection="0">
      <alignment horizontal="center" vertical="center"/>
    </xf>
    <xf numFmtId="166" fontId="20" fillId="9" borderId="0" applyNumberFormat="0" applyBorder="0" applyAlignment="0" applyProtection="0"/>
    <xf numFmtId="166" fontId="20" fillId="9" borderId="0" applyNumberFormat="0" applyBorder="0" applyAlignment="0" applyProtection="0"/>
    <xf numFmtId="166" fontId="20" fillId="9" borderId="0" applyNumberFormat="0" applyBorder="0" applyAlignment="0" applyProtection="0"/>
    <xf numFmtId="166" fontId="20" fillId="9" borderId="0" applyNumberFormat="0" applyBorder="0" applyAlignment="0" applyProtection="0"/>
    <xf numFmtId="166" fontId="20" fillId="9" borderId="0" applyNumberFormat="0" applyBorder="0" applyAlignment="0" applyProtection="0"/>
    <xf numFmtId="166" fontId="20" fillId="9" borderId="0" applyNumberFormat="0" applyBorder="0" applyAlignment="0" applyProtection="0"/>
    <xf numFmtId="166" fontId="34" fillId="46" borderId="0" applyProtection="0">
      <alignment vertical="center"/>
    </xf>
    <xf numFmtId="166" fontId="34"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5"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4" fillId="46" borderId="0" applyProtection="0">
      <alignment vertical="center"/>
    </xf>
    <xf numFmtId="166" fontId="36" fillId="46" borderId="0" applyProtection="0">
      <alignment vertical="center"/>
    </xf>
    <xf numFmtId="166" fontId="36" fillId="46" borderId="0" applyProtection="0">
      <alignment vertical="center"/>
    </xf>
    <xf numFmtId="166" fontId="36" fillId="57" borderId="0" applyBorder="0" applyProtection="0">
      <alignment horizontal="center" vertical="center"/>
    </xf>
    <xf numFmtId="166" fontId="34" fillId="57" borderId="0" applyBorder="0" applyProtection="0">
      <alignment horizontal="center" vertical="center"/>
    </xf>
    <xf numFmtId="166" fontId="20" fillId="58" borderId="0" applyNumberFormat="0" applyBorder="0" applyAlignment="0" applyProtection="0"/>
    <xf numFmtId="166" fontId="20" fillId="58" borderId="0" applyNumberFormat="0" applyBorder="0" applyAlignment="0" applyProtection="0"/>
    <xf numFmtId="166" fontId="20" fillId="58" borderId="0" applyNumberFormat="0" applyBorder="0" applyAlignment="0" applyProtection="0"/>
    <xf numFmtId="166" fontId="20" fillId="58" borderId="0" applyNumberFormat="0" applyBorder="0" applyAlignment="0" applyProtection="0"/>
    <xf numFmtId="166" fontId="34" fillId="57" borderId="0" applyBorder="0" applyProtection="0">
      <alignment horizontal="center" vertical="center"/>
    </xf>
    <xf numFmtId="166" fontId="36" fillId="57" borderId="0" applyBorder="0" applyProtection="0">
      <alignment horizontal="center" vertical="center"/>
    </xf>
    <xf numFmtId="166" fontId="20" fillId="58" borderId="0" applyNumberFormat="0" applyBorder="0" applyAlignment="0" applyProtection="0"/>
    <xf numFmtId="166" fontId="20" fillId="58" borderId="0" applyNumberFormat="0" applyBorder="0" applyAlignment="0" applyProtection="0"/>
    <xf numFmtId="166" fontId="20" fillId="58" borderId="0" applyNumberFormat="0" applyBorder="0" applyAlignment="0" applyProtection="0"/>
    <xf numFmtId="166" fontId="20" fillId="58" borderId="0" applyNumberFormat="0" applyBorder="0" applyAlignment="0" applyProtection="0"/>
    <xf numFmtId="166" fontId="20" fillId="58" borderId="0" applyNumberFormat="0" applyBorder="0" applyAlignment="0" applyProtection="0"/>
    <xf numFmtId="166" fontId="20" fillId="58" borderId="0" applyNumberFormat="0" applyBorder="0" applyAlignment="0" applyProtection="0"/>
    <xf numFmtId="166" fontId="34" fillId="48" borderId="0" applyProtection="0">
      <alignment vertical="center"/>
    </xf>
    <xf numFmtId="166" fontId="36" fillId="49" borderId="0" applyProtection="0">
      <alignment vertical="center"/>
    </xf>
    <xf numFmtId="166" fontId="36" fillId="49" borderId="0" applyProtection="0">
      <alignment vertical="center"/>
    </xf>
    <xf numFmtId="166" fontId="34"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4" fillId="48" borderId="0" applyProtection="0">
      <alignment vertical="center"/>
    </xf>
    <xf numFmtId="166" fontId="34" fillId="48"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5" fillId="49"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9"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4" fillId="48" borderId="0" applyProtection="0">
      <alignment vertical="center"/>
    </xf>
    <xf numFmtId="166" fontId="36" fillId="49" borderId="0" applyBorder="0" applyProtection="0">
      <alignment horizontal="center" vertical="center"/>
    </xf>
    <xf numFmtId="166" fontId="34" fillId="49" borderId="0" applyBorder="0" applyProtection="0">
      <alignment horizontal="center" vertical="center"/>
    </xf>
    <xf numFmtId="166" fontId="20" fillId="10" borderId="0" applyNumberFormat="0" applyBorder="0" applyAlignment="0" applyProtection="0"/>
    <xf numFmtId="166" fontId="20" fillId="10" borderId="0" applyNumberFormat="0" applyBorder="0" applyAlignment="0" applyProtection="0"/>
    <xf numFmtId="166" fontId="20" fillId="10" borderId="0" applyNumberFormat="0" applyBorder="0" applyAlignment="0" applyProtection="0"/>
    <xf numFmtId="166" fontId="20" fillId="10" borderId="0" applyNumberFormat="0" applyBorder="0" applyAlignment="0" applyProtection="0"/>
    <xf numFmtId="166" fontId="34" fillId="49" borderId="0" applyBorder="0" applyProtection="0">
      <alignment horizontal="center" vertical="center"/>
    </xf>
    <xf numFmtId="166" fontId="36" fillId="49" borderId="0" applyBorder="0" applyProtection="0">
      <alignment horizontal="center" vertical="center"/>
    </xf>
    <xf numFmtId="166" fontId="20" fillId="10" borderId="0" applyNumberFormat="0" applyBorder="0" applyAlignment="0" applyProtection="0"/>
    <xf numFmtId="166" fontId="20" fillId="10" borderId="0" applyNumberFormat="0" applyBorder="0" applyAlignment="0" applyProtection="0"/>
    <xf numFmtId="166" fontId="20" fillId="10" borderId="0" applyNumberFormat="0" applyBorder="0" applyAlignment="0" applyProtection="0"/>
    <xf numFmtId="166" fontId="20" fillId="10" borderId="0" applyNumberFormat="0" applyBorder="0" applyAlignment="0" applyProtection="0"/>
    <xf numFmtId="166" fontId="20" fillId="10" borderId="0" applyNumberFormat="0" applyBorder="0" applyAlignment="0" applyProtection="0"/>
    <xf numFmtId="166" fontId="20" fillId="10" borderId="0" applyNumberFormat="0" applyBorder="0" applyAlignment="0" applyProtection="0"/>
    <xf numFmtId="166" fontId="34" fillId="59" borderId="0" applyProtection="0">
      <alignment vertical="center"/>
    </xf>
    <xf numFmtId="166" fontId="34"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4" fillId="59" borderId="0" applyProtection="0">
      <alignment vertical="center"/>
    </xf>
    <xf numFmtId="166" fontId="34" fillId="59" borderId="0" applyProtection="0">
      <alignment vertical="center"/>
    </xf>
    <xf numFmtId="166" fontId="34"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5" fillId="59" borderId="0" applyProtection="0">
      <alignment vertical="center"/>
    </xf>
    <xf numFmtId="166" fontId="34" fillId="59" borderId="0" applyProtection="0">
      <alignment vertical="center"/>
    </xf>
    <xf numFmtId="166" fontId="34" fillId="59" borderId="0" applyProtection="0">
      <alignment vertical="center"/>
    </xf>
    <xf numFmtId="166" fontId="34" fillId="59" borderId="0" applyProtection="0">
      <alignment vertical="center"/>
    </xf>
    <xf numFmtId="166" fontId="34" fillId="59" borderId="0" applyProtection="0">
      <alignment vertical="center"/>
    </xf>
    <xf numFmtId="166" fontId="34" fillId="59" borderId="0" applyProtection="0">
      <alignment vertical="center"/>
    </xf>
    <xf numFmtId="166" fontId="36" fillId="59" borderId="0" applyProtection="0">
      <alignment vertical="center"/>
    </xf>
    <xf numFmtId="166" fontId="36" fillId="59" borderId="0" applyProtection="0">
      <alignment vertical="center"/>
    </xf>
    <xf numFmtId="166" fontId="36" fillId="59" borderId="0" applyBorder="0" applyProtection="0">
      <alignment horizontal="center" vertical="center"/>
    </xf>
    <xf numFmtId="166" fontId="34" fillId="59" borderId="0" applyBorder="0" applyProtection="0">
      <alignment horizontal="center" vertical="center"/>
    </xf>
    <xf numFmtId="166" fontId="20" fillId="11" borderId="0" applyNumberFormat="0" applyBorder="0" applyAlignment="0" applyProtection="0"/>
    <xf numFmtId="166" fontId="20" fillId="11" borderId="0" applyNumberFormat="0" applyBorder="0" applyAlignment="0" applyProtection="0"/>
    <xf numFmtId="166" fontId="20" fillId="11" borderId="0" applyNumberFormat="0" applyBorder="0" applyAlignment="0" applyProtection="0"/>
    <xf numFmtId="166" fontId="20" fillId="11" borderId="0" applyNumberFormat="0" applyBorder="0" applyAlignment="0" applyProtection="0"/>
    <xf numFmtId="166" fontId="34" fillId="59" borderId="0" applyBorder="0" applyProtection="0">
      <alignment horizontal="center" vertical="center"/>
    </xf>
    <xf numFmtId="166" fontId="36" fillId="59" borderId="0" applyBorder="0" applyProtection="0">
      <alignment horizontal="center" vertical="center"/>
    </xf>
    <xf numFmtId="166" fontId="20" fillId="11" borderId="0" applyNumberFormat="0" applyBorder="0" applyAlignment="0" applyProtection="0"/>
    <xf numFmtId="166" fontId="20" fillId="11" borderId="0" applyNumberFormat="0" applyBorder="0" applyAlignment="0" applyProtection="0"/>
    <xf numFmtId="166" fontId="20" fillId="11" borderId="0" applyNumberFormat="0" applyBorder="0" applyAlignment="0" applyProtection="0"/>
    <xf numFmtId="166" fontId="20" fillId="11" borderId="0" applyNumberFormat="0" applyBorder="0" applyAlignment="0" applyProtection="0"/>
    <xf numFmtId="166" fontId="20" fillId="11" borderId="0" applyNumberFormat="0" applyBorder="0" applyAlignment="0" applyProtection="0"/>
    <xf numFmtId="166" fontId="20" fillId="11" borderId="0" applyNumberFormat="0" applyBorder="0" applyAlignment="0" applyProtection="0"/>
    <xf numFmtId="166" fontId="37" fillId="24" borderId="0" applyProtection="0">
      <alignment vertical="center"/>
    </xf>
    <xf numFmtId="166" fontId="37"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7" fillId="24" borderId="0" applyProtection="0">
      <alignment vertical="center"/>
    </xf>
    <xf numFmtId="166" fontId="37" fillId="24" borderId="0" applyProtection="0">
      <alignment vertical="center"/>
    </xf>
    <xf numFmtId="166" fontId="37"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8" fillId="24" borderId="0" applyProtection="0">
      <alignment vertical="center"/>
    </xf>
    <xf numFmtId="166" fontId="37" fillId="24" borderId="0" applyProtection="0">
      <alignment vertical="center"/>
    </xf>
    <xf numFmtId="166" fontId="37" fillId="24" borderId="0" applyProtection="0">
      <alignment vertical="center"/>
    </xf>
    <xf numFmtId="166" fontId="37" fillId="24" borderId="0" applyProtection="0">
      <alignment vertical="center"/>
    </xf>
    <xf numFmtId="166" fontId="37" fillId="24" borderId="0" applyProtection="0">
      <alignment vertical="center"/>
    </xf>
    <xf numFmtId="166" fontId="37" fillId="24" borderId="0" applyProtection="0">
      <alignment vertical="center"/>
    </xf>
    <xf numFmtId="166" fontId="39" fillId="24" borderId="0" applyProtection="0">
      <alignment vertical="center"/>
    </xf>
    <xf numFmtId="166" fontId="39" fillId="24" borderId="0" applyProtection="0">
      <alignment vertical="center"/>
    </xf>
    <xf numFmtId="166" fontId="39" fillId="24" borderId="0" applyBorder="0" applyProtection="0">
      <alignment horizontal="center" vertical="center"/>
    </xf>
    <xf numFmtId="166" fontId="37" fillId="24" borderId="0" applyBorder="0" applyProtection="0">
      <alignment horizontal="center" vertical="center"/>
    </xf>
    <xf numFmtId="166" fontId="10" fillId="2" borderId="0" applyNumberFormat="0" applyBorder="0" applyAlignment="0" applyProtection="0"/>
    <xf numFmtId="166" fontId="10" fillId="2" borderId="0" applyNumberFormat="0" applyBorder="0" applyAlignment="0" applyProtection="0"/>
    <xf numFmtId="166" fontId="10" fillId="2" borderId="0" applyNumberFormat="0" applyBorder="0" applyAlignment="0" applyProtection="0"/>
    <xf numFmtId="166" fontId="10" fillId="2" borderId="0" applyNumberFormat="0" applyBorder="0" applyAlignment="0" applyProtection="0"/>
    <xf numFmtId="166" fontId="37" fillId="24" borderId="0" applyBorder="0" applyProtection="0">
      <alignment horizontal="center" vertical="center"/>
    </xf>
    <xf numFmtId="166" fontId="10" fillId="60" borderId="0" applyNumberFormat="0" applyBorder="0" applyAlignment="0" applyProtection="0"/>
    <xf numFmtId="166" fontId="10" fillId="60" borderId="0" applyNumberFormat="0" applyBorder="0" applyAlignment="0" applyProtection="0"/>
    <xf numFmtId="166" fontId="39" fillId="24" borderId="0" applyBorder="0" applyProtection="0">
      <alignment horizontal="center" vertical="center"/>
    </xf>
    <xf numFmtId="166" fontId="10" fillId="2" borderId="0" applyNumberFormat="0" applyBorder="0" applyAlignment="0" applyProtection="0"/>
    <xf numFmtId="166" fontId="10" fillId="2" borderId="0" applyNumberFormat="0" applyBorder="0" applyAlignment="0" applyProtection="0"/>
    <xf numFmtId="166" fontId="10" fillId="2" borderId="0" applyNumberFormat="0" applyBorder="0" applyAlignment="0" applyProtection="0"/>
    <xf numFmtId="166" fontId="10" fillId="2" borderId="0" applyNumberFormat="0" applyBorder="0" applyAlignment="0" applyProtection="0"/>
    <xf numFmtId="166" fontId="10" fillId="2" borderId="0" applyNumberFormat="0" applyBorder="0" applyAlignment="0" applyProtection="0"/>
    <xf numFmtId="166" fontId="10" fillId="2" borderId="0" applyNumberFormat="0" applyBorder="0" applyAlignment="0" applyProtection="0"/>
    <xf numFmtId="166" fontId="40" fillId="61" borderId="18" applyProtection="0">
      <alignment vertical="center"/>
    </xf>
    <xf numFmtId="166" fontId="41" fillId="62" borderId="18" applyProtection="0">
      <alignment vertical="center"/>
    </xf>
    <xf numFmtId="166" fontId="41" fillId="62" borderId="18" applyProtection="0">
      <alignment vertical="center"/>
    </xf>
    <xf numFmtId="166" fontId="40"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0" fillId="61" borderId="18" applyProtection="0">
      <alignment vertical="center"/>
    </xf>
    <xf numFmtId="166" fontId="40" fillId="61"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2" fillId="62"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2"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0" fillId="61" borderId="18" applyProtection="0">
      <alignment vertical="center"/>
    </xf>
    <xf numFmtId="166" fontId="41" fillId="31" borderId="18" applyProtection="0">
      <alignment horizontal="center" vertical="center"/>
    </xf>
    <xf numFmtId="166" fontId="40" fillId="31" borderId="18" applyProtection="0">
      <alignment horizontal="center" vertical="center"/>
    </xf>
    <xf numFmtId="166" fontId="14" fillId="32" borderId="1" applyNumberFormat="0" applyAlignment="0" applyProtection="0"/>
    <xf numFmtId="166" fontId="14" fillId="32" borderId="1" applyNumberFormat="0" applyAlignment="0" applyProtection="0"/>
    <xf numFmtId="166" fontId="14" fillId="32" borderId="1" applyNumberFormat="0" applyAlignment="0" applyProtection="0"/>
    <xf numFmtId="166" fontId="14" fillId="32" borderId="1" applyNumberFormat="0" applyAlignment="0" applyProtection="0"/>
    <xf numFmtId="166" fontId="40" fillId="31" borderId="18" applyProtection="0">
      <alignment horizontal="center" vertical="center"/>
    </xf>
    <xf numFmtId="166" fontId="41" fillId="31" borderId="18" applyProtection="0">
      <alignment horizontal="center" vertical="center"/>
    </xf>
    <xf numFmtId="166" fontId="14" fillId="32" borderId="1" applyNumberFormat="0" applyAlignment="0" applyProtection="0"/>
    <xf numFmtId="166" fontId="14" fillId="32" borderId="1" applyNumberFormat="0" applyAlignment="0" applyProtection="0"/>
    <xf numFmtId="166" fontId="14" fillId="32" borderId="1" applyNumberFormat="0" applyAlignment="0" applyProtection="0"/>
    <xf numFmtId="166" fontId="14" fillId="32" borderId="1" applyNumberFormat="0" applyAlignment="0" applyProtection="0"/>
    <xf numFmtId="166" fontId="14" fillId="32" borderId="1" applyNumberFormat="0" applyAlignment="0" applyProtection="0"/>
    <xf numFmtId="166" fontId="14" fillId="32" borderId="1" applyNumberFormat="0" applyAlignment="0" applyProtection="0"/>
    <xf numFmtId="166" fontId="43" fillId="63" borderId="19" applyProtection="0">
      <alignment vertical="center"/>
    </xf>
    <xf numFmtId="166" fontId="44" fillId="64" borderId="19" applyProtection="0">
      <alignment vertical="center"/>
    </xf>
    <xf numFmtId="166" fontId="44" fillId="64" borderId="19" applyProtection="0">
      <alignment vertical="center"/>
    </xf>
    <xf numFmtId="166" fontId="43"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3" fillId="63" borderId="19" applyProtection="0">
      <alignment vertical="center"/>
    </xf>
    <xf numFmtId="166" fontId="43" fillId="63"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5" fillId="64"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4"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3" fillId="63" borderId="19" applyProtection="0">
      <alignment vertical="center"/>
    </xf>
    <xf numFmtId="166" fontId="44" fillId="64" borderId="19" applyProtection="0">
      <alignment horizontal="center" vertical="center"/>
    </xf>
    <xf numFmtId="166" fontId="43" fillId="64" borderId="19" applyProtection="0">
      <alignment horizontal="center" vertical="center"/>
    </xf>
    <xf numFmtId="166" fontId="16" fillId="4" borderId="4" applyNumberFormat="0" applyAlignment="0" applyProtection="0"/>
    <xf numFmtId="166" fontId="16" fillId="4" borderId="4" applyNumberFormat="0" applyAlignment="0" applyProtection="0"/>
    <xf numFmtId="166" fontId="16" fillId="4" borderId="4" applyNumberFormat="0" applyAlignment="0" applyProtection="0"/>
    <xf numFmtId="166" fontId="16" fillId="4" borderId="4" applyNumberFormat="0" applyAlignment="0" applyProtection="0"/>
    <xf numFmtId="166" fontId="43" fillId="64" borderId="19" applyProtection="0">
      <alignment horizontal="center" vertical="center"/>
    </xf>
    <xf numFmtId="166" fontId="44" fillId="64" borderId="19" applyProtection="0">
      <alignment horizontal="center" vertical="center"/>
    </xf>
    <xf numFmtId="166" fontId="16" fillId="4" borderId="4" applyNumberFormat="0" applyAlignment="0" applyProtection="0"/>
    <xf numFmtId="166" fontId="16" fillId="4" borderId="4" applyNumberFormat="0" applyAlignment="0" applyProtection="0"/>
    <xf numFmtId="166" fontId="16" fillId="4" borderId="4" applyNumberFormat="0" applyAlignment="0" applyProtection="0"/>
    <xf numFmtId="166" fontId="16" fillId="4" borderId="4" applyNumberFormat="0" applyAlignment="0" applyProtection="0"/>
    <xf numFmtId="166" fontId="16" fillId="4" borderId="4" applyNumberFormat="0" applyAlignment="0" applyProtection="0"/>
    <xf numFmtId="166" fontId="16" fillId="4" borderId="4" applyNumberFormat="0" applyAlignment="0" applyProtection="0"/>
    <xf numFmtId="43" fontId="21" fillId="0" borderId="0" applyFont="0" applyFill="0" applyBorder="0" applyAlignment="0" applyProtection="0"/>
    <xf numFmtId="43" fontId="32" fillId="0" borderId="0" applyFont="0" applyFill="0" applyBorder="0" applyAlignment="0" applyProtection="0"/>
    <xf numFmtId="43" fontId="32" fillId="0" borderId="0" applyFont="0" applyFill="0" applyBorder="0" applyAlignment="0" applyProtection="0"/>
    <xf numFmtId="43" fontId="21" fillId="0" borderId="0" applyFont="0" applyFill="0" applyBorder="0" applyAlignment="0" applyProtection="0"/>
    <xf numFmtId="43" fontId="23" fillId="0" borderId="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3" fillId="0" borderId="0" applyFill="0" applyBorder="0" applyAlignment="0" applyProtection="0"/>
    <xf numFmtId="166" fontId="46" fillId="0" borderId="0" applyProtection="0">
      <alignment vertical="center"/>
    </xf>
    <xf numFmtId="166" fontId="47" fillId="0" borderId="0" applyProtection="0">
      <alignment vertical="center"/>
    </xf>
    <xf numFmtId="166" fontId="48" fillId="0" borderId="0" applyProtection="0">
      <alignment vertical="center"/>
    </xf>
    <xf numFmtId="166" fontId="48" fillId="0" borderId="0" applyProtection="0">
      <alignment vertical="center"/>
    </xf>
    <xf numFmtId="166" fontId="48" fillId="0" borderId="0" applyProtection="0">
      <alignment vertical="center"/>
    </xf>
    <xf numFmtId="166" fontId="48" fillId="0" borderId="0" applyProtection="0">
      <alignment vertical="center"/>
    </xf>
    <xf numFmtId="166" fontId="47" fillId="0" borderId="0" applyProtection="0">
      <alignment vertical="center"/>
    </xf>
    <xf numFmtId="166" fontId="47" fillId="0" borderId="0" applyProtection="0">
      <alignment vertical="center"/>
    </xf>
    <xf numFmtId="166" fontId="47"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7" fillId="0" borderId="0" applyProtection="0">
      <alignment vertical="center"/>
    </xf>
    <xf numFmtId="166" fontId="47" fillId="0" borderId="0" applyProtection="0">
      <alignment vertical="center"/>
    </xf>
    <xf numFmtId="166" fontId="47"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6" fillId="0" borderId="0" applyProtection="0">
      <alignment vertical="center"/>
    </xf>
    <xf numFmtId="166" fontId="49" fillId="0" borderId="0"/>
    <xf numFmtId="166" fontId="49"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49" fillId="0" borderId="0"/>
    <xf numFmtId="166" fontId="24" fillId="0" borderId="0"/>
    <xf numFmtId="166" fontId="49" fillId="0" borderId="0"/>
    <xf numFmtId="166" fontId="49" fillId="0" borderId="0"/>
    <xf numFmtId="166" fontId="40" fillId="31" borderId="18" applyProtection="0">
      <alignment horizontal="center" vertical="center"/>
    </xf>
    <xf numFmtId="166" fontId="51" fillId="0" borderId="0" applyProtection="0">
      <alignment vertical="center"/>
    </xf>
    <xf numFmtId="166" fontId="51"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1" fillId="0" borderId="0" applyProtection="0">
      <alignment vertical="center"/>
    </xf>
    <xf numFmtId="166" fontId="51" fillId="0" borderId="0" applyProtection="0">
      <alignment vertical="center"/>
    </xf>
    <xf numFmtId="166" fontId="51"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2" fillId="0" borderId="0" applyProtection="0">
      <alignment vertical="center"/>
    </xf>
    <xf numFmtId="166" fontId="51" fillId="0" borderId="0" applyProtection="0">
      <alignment vertical="center"/>
    </xf>
    <xf numFmtId="166" fontId="51" fillId="0" borderId="0" applyProtection="0">
      <alignment vertical="center"/>
    </xf>
    <xf numFmtId="166" fontId="51" fillId="0" borderId="0" applyProtection="0">
      <alignment vertical="center"/>
    </xf>
    <xf numFmtId="166" fontId="51" fillId="0" borderId="0" applyProtection="0">
      <alignment vertical="center"/>
    </xf>
    <xf numFmtId="166" fontId="51" fillId="0" borderId="0" applyProtection="0">
      <alignment vertical="center"/>
    </xf>
    <xf numFmtId="166" fontId="53" fillId="0" borderId="0" applyProtection="0">
      <alignment vertical="center"/>
    </xf>
    <xf numFmtId="166" fontId="53" fillId="0" borderId="0" applyProtection="0">
      <alignment vertical="center"/>
    </xf>
    <xf numFmtId="166" fontId="53" fillId="0" borderId="0" applyFill="0" applyBorder="0" applyProtection="0">
      <alignment horizontal="center" vertical="center"/>
    </xf>
    <xf numFmtId="166" fontId="51" fillId="0" borderId="0" applyFill="0" applyBorder="0" applyProtection="0">
      <alignment horizontal="center" vertical="center"/>
    </xf>
    <xf numFmtId="166" fontId="18" fillId="0" borderId="0" applyNumberFormat="0" applyFill="0" applyBorder="0" applyAlignment="0" applyProtection="0"/>
    <xf numFmtId="166" fontId="18" fillId="0" borderId="0" applyNumberFormat="0" applyFill="0" applyBorder="0" applyAlignment="0" applyProtection="0"/>
    <xf numFmtId="166" fontId="18" fillId="0" borderId="0" applyNumberFormat="0" applyFill="0" applyBorder="0" applyAlignment="0" applyProtection="0"/>
    <xf numFmtId="166" fontId="18" fillId="0" borderId="0" applyNumberFormat="0" applyFill="0" applyBorder="0" applyAlignment="0" applyProtection="0"/>
    <xf numFmtId="166" fontId="51" fillId="0" borderId="0" applyFill="0" applyBorder="0" applyProtection="0">
      <alignment horizontal="center" vertical="center"/>
    </xf>
    <xf numFmtId="166" fontId="53" fillId="0" borderId="0" applyFill="0" applyBorder="0" applyProtection="0">
      <alignment horizontal="center" vertical="center"/>
    </xf>
    <xf numFmtId="166" fontId="18" fillId="0" borderId="0" applyNumberFormat="0" applyFill="0" applyBorder="0" applyAlignment="0" applyProtection="0"/>
    <xf numFmtId="166" fontId="18" fillId="0" borderId="0" applyNumberFormat="0" applyFill="0" applyBorder="0" applyAlignment="0" applyProtection="0"/>
    <xf numFmtId="166" fontId="18" fillId="0" borderId="0" applyNumberFormat="0" applyFill="0" applyBorder="0" applyAlignment="0" applyProtection="0"/>
    <xf numFmtId="166" fontId="18" fillId="0" borderId="0" applyNumberFormat="0" applyFill="0" applyBorder="0" applyAlignment="0" applyProtection="0"/>
    <xf numFmtId="166" fontId="18" fillId="0" borderId="0" applyNumberFormat="0" applyFill="0" applyBorder="0" applyAlignment="0" applyProtection="0"/>
    <xf numFmtId="166" fontId="18" fillId="0" borderId="0" applyNumberFormat="0" applyFill="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5" fillId="0" borderId="0" applyNumberFormat="0" applyFill="0" applyBorder="0" applyAlignment="0" applyProtection="0"/>
    <xf numFmtId="166" fontId="55" fillId="0" borderId="0" applyNumberFormat="0" applyFill="0" applyBorder="0" applyAlignment="0" applyProtection="0"/>
    <xf numFmtId="166" fontId="56" fillId="26" borderId="0" applyProtection="0">
      <alignment vertical="center"/>
    </xf>
    <xf numFmtId="166" fontId="56"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6" fillId="26" borderId="0" applyProtection="0">
      <alignment vertical="center"/>
    </xf>
    <xf numFmtId="166" fontId="56" fillId="26" borderId="0" applyProtection="0">
      <alignment vertical="center"/>
    </xf>
    <xf numFmtId="166" fontId="56" fillId="26" borderId="0" applyProtection="0">
      <alignment vertical="center"/>
    </xf>
    <xf numFmtId="166" fontId="56" fillId="26" borderId="0" applyProtection="0">
      <alignment vertical="center"/>
    </xf>
    <xf numFmtId="166" fontId="56" fillId="13" borderId="0" applyProtection="0">
      <alignment vertical="center"/>
    </xf>
    <xf numFmtId="166" fontId="56" fillId="13"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7" fillId="26" borderId="0" applyProtection="0">
      <alignment vertical="center"/>
    </xf>
    <xf numFmtId="166" fontId="56" fillId="26" borderId="0" applyProtection="0">
      <alignment vertical="center"/>
    </xf>
    <xf numFmtId="166" fontId="56" fillId="26" borderId="0" applyProtection="0">
      <alignment vertical="center"/>
    </xf>
    <xf numFmtId="166" fontId="56" fillId="26" borderId="0" applyProtection="0">
      <alignment vertical="center"/>
    </xf>
    <xf numFmtId="166" fontId="56" fillId="26" borderId="0" applyProtection="0">
      <alignment vertical="center"/>
    </xf>
    <xf numFmtId="166" fontId="56" fillId="26" borderId="0" applyProtection="0">
      <alignment vertical="center"/>
    </xf>
    <xf numFmtId="166" fontId="58" fillId="13" borderId="0" applyProtection="0">
      <alignment vertical="center"/>
    </xf>
    <xf numFmtId="166" fontId="58" fillId="13" borderId="0" applyProtection="0">
      <alignment vertical="center"/>
    </xf>
    <xf numFmtId="166" fontId="58" fillId="22" borderId="0" applyBorder="0" applyProtection="0">
      <alignment horizontal="center" vertical="center"/>
    </xf>
    <xf numFmtId="166" fontId="56" fillId="22" borderId="0" applyBorder="0" applyProtection="0">
      <alignment horizontal="center" vertical="center"/>
    </xf>
    <xf numFmtId="166" fontId="9" fillId="23" borderId="0" applyNumberFormat="0" applyBorder="0" applyAlignment="0" applyProtection="0"/>
    <xf numFmtId="166" fontId="9" fillId="23" borderId="0" applyNumberFormat="0" applyBorder="0" applyAlignment="0" applyProtection="0"/>
    <xf numFmtId="166" fontId="9" fillId="23" borderId="0" applyNumberFormat="0" applyBorder="0" applyAlignment="0" applyProtection="0"/>
    <xf numFmtId="166" fontId="9" fillId="23" borderId="0" applyNumberFormat="0" applyBorder="0" applyAlignment="0" applyProtection="0"/>
    <xf numFmtId="166" fontId="56" fillId="22" borderId="0" applyBorder="0" applyProtection="0">
      <alignment horizontal="center" vertical="center"/>
    </xf>
    <xf numFmtId="166" fontId="58" fillId="22" borderId="0" applyBorder="0" applyProtection="0">
      <alignment horizontal="center" vertical="center"/>
    </xf>
    <xf numFmtId="166" fontId="9" fillId="23" borderId="0" applyNumberFormat="0" applyBorder="0" applyAlignment="0" applyProtection="0"/>
    <xf numFmtId="166" fontId="9" fillId="23" borderId="0" applyNumberFormat="0" applyBorder="0" applyAlignment="0" applyProtection="0"/>
    <xf numFmtId="166" fontId="9" fillId="23" borderId="0" applyNumberFormat="0" applyBorder="0" applyAlignment="0" applyProtection="0"/>
    <xf numFmtId="166" fontId="9" fillId="23" borderId="0" applyNumberFormat="0" applyBorder="0" applyAlignment="0" applyProtection="0"/>
    <xf numFmtId="166" fontId="9" fillId="23" borderId="0" applyNumberFormat="0" applyBorder="0" applyAlignment="0" applyProtection="0"/>
    <xf numFmtId="166" fontId="9" fillId="23" borderId="0" applyNumberFormat="0" applyBorder="0" applyAlignment="0" applyProtection="0"/>
    <xf numFmtId="166" fontId="59" fillId="0" borderId="20" applyProtection="0">
      <alignment vertical="center"/>
    </xf>
    <xf numFmtId="166" fontId="59"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59" fillId="0" borderId="20" applyProtection="0">
      <alignment vertical="center"/>
    </xf>
    <xf numFmtId="166" fontId="59" fillId="0" borderId="20" applyProtection="0">
      <alignment vertical="center"/>
    </xf>
    <xf numFmtId="166" fontId="59"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60" fillId="0" borderId="20" applyProtection="0">
      <alignment vertical="center"/>
    </xf>
    <xf numFmtId="166" fontId="59" fillId="0" borderId="20" applyProtection="0">
      <alignment vertical="center"/>
    </xf>
    <xf numFmtId="166" fontId="59" fillId="0" borderId="20" applyProtection="0">
      <alignment vertical="center"/>
    </xf>
    <xf numFmtId="166" fontId="59" fillId="0" borderId="20" applyProtection="0">
      <alignment vertical="center"/>
    </xf>
    <xf numFmtId="166" fontId="59" fillId="0" borderId="20" applyProtection="0">
      <alignment vertical="center"/>
    </xf>
    <xf numFmtId="166" fontId="59" fillId="0" borderId="20" applyProtection="0">
      <alignment vertical="center"/>
    </xf>
    <xf numFmtId="166" fontId="61" fillId="0" borderId="20" applyProtection="0">
      <alignment vertical="center"/>
    </xf>
    <xf numFmtId="166" fontId="61" fillId="0" borderId="20" applyProtection="0">
      <alignment vertical="center"/>
    </xf>
    <xf numFmtId="166" fontId="62" fillId="0" borderId="21" applyFill="0" applyProtection="0">
      <alignment horizontal="center" vertical="center"/>
    </xf>
    <xf numFmtId="166" fontId="63" fillId="0" borderId="21" applyFill="0" applyProtection="0">
      <alignment horizontal="center" vertical="center"/>
    </xf>
    <xf numFmtId="166" fontId="63" fillId="0" borderId="21" applyNumberFormat="0" applyFill="0" applyAlignment="0" applyProtection="0"/>
    <xf numFmtId="166" fontId="63" fillId="0" borderId="21" applyNumberFormat="0" applyFill="0" applyAlignment="0" applyProtection="0"/>
    <xf numFmtId="166" fontId="63" fillId="0" borderId="21" applyNumberFormat="0" applyFill="0" applyAlignment="0" applyProtection="0"/>
    <xf numFmtId="166" fontId="63" fillId="0" borderId="21" applyNumberFormat="0" applyFill="0" applyAlignment="0" applyProtection="0"/>
    <xf numFmtId="166" fontId="63" fillId="0" borderId="21" applyFill="0" applyProtection="0">
      <alignment horizontal="center" vertical="center"/>
    </xf>
    <xf numFmtId="166" fontId="62" fillId="0" borderId="21" applyFill="0" applyProtection="0">
      <alignment horizontal="center" vertical="center"/>
    </xf>
    <xf numFmtId="166" fontId="63" fillId="0" borderId="21" applyNumberFormat="0" applyFill="0" applyAlignment="0" applyProtection="0"/>
    <xf numFmtId="166" fontId="63" fillId="0" borderId="21" applyNumberFormat="0" applyFill="0" applyAlignment="0" applyProtection="0"/>
    <xf numFmtId="166" fontId="63" fillId="0" borderId="21" applyNumberFormat="0" applyFill="0" applyAlignment="0" applyProtection="0"/>
    <xf numFmtId="166" fontId="63" fillId="0" borderId="21" applyNumberFormat="0" applyFill="0" applyAlignment="0" applyProtection="0"/>
    <xf numFmtId="166" fontId="63" fillId="0" borderId="21" applyNumberFormat="0" applyFill="0" applyAlignment="0" applyProtection="0"/>
    <xf numFmtId="166" fontId="63" fillId="0" borderId="21" applyNumberFormat="0" applyFill="0" applyAlignment="0" applyProtection="0"/>
    <xf numFmtId="166" fontId="64" fillId="0" borderId="22" applyProtection="0">
      <alignment vertical="center"/>
    </xf>
    <xf numFmtId="166" fontId="64"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4" fillId="0" borderId="22" applyProtection="0">
      <alignment vertical="center"/>
    </xf>
    <xf numFmtId="166" fontId="64" fillId="0" borderId="22" applyProtection="0">
      <alignment vertical="center"/>
    </xf>
    <xf numFmtId="166" fontId="64"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5" fillId="0" borderId="22" applyProtection="0">
      <alignment vertical="center"/>
    </xf>
    <xf numFmtId="166" fontId="64" fillId="0" borderId="22" applyProtection="0">
      <alignment vertical="center"/>
    </xf>
    <xf numFmtId="166" fontId="64" fillId="0" borderId="22" applyProtection="0">
      <alignment vertical="center"/>
    </xf>
    <xf numFmtId="166" fontId="64" fillId="0" borderId="22" applyProtection="0">
      <alignment vertical="center"/>
    </xf>
    <xf numFmtId="166" fontId="64" fillId="0" borderId="22" applyProtection="0">
      <alignment vertical="center"/>
    </xf>
    <xf numFmtId="166" fontId="64" fillId="0" borderId="22" applyProtection="0">
      <alignment vertical="center"/>
    </xf>
    <xf numFmtId="166" fontId="66" fillId="0" borderId="22" applyProtection="0">
      <alignment vertical="center"/>
    </xf>
    <xf numFmtId="166" fontId="66" fillId="0" borderId="22" applyProtection="0">
      <alignment vertical="center"/>
    </xf>
    <xf numFmtId="166" fontId="67" fillId="0" borderId="23" applyFill="0" applyProtection="0">
      <alignment horizontal="center" vertical="center"/>
    </xf>
    <xf numFmtId="166" fontId="68" fillId="0" borderId="23" applyFill="0" applyProtection="0">
      <alignment horizontal="center" vertical="center"/>
    </xf>
    <xf numFmtId="166" fontId="68" fillId="0" borderId="23" applyNumberFormat="0" applyFill="0" applyAlignment="0" applyProtection="0"/>
    <xf numFmtId="166" fontId="68" fillId="0" borderId="23" applyNumberFormat="0" applyFill="0" applyAlignment="0" applyProtection="0"/>
    <xf numFmtId="166" fontId="68" fillId="0" borderId="23" applyNumberFormat="0" applyFill="0" applyAlignment="0" applyProtection="0"/>
    <xf numFmtId="166" fontId="68" fillId="0" borderId="23" applyNumberFormat="0" applyFill="0" applyAlignment="0" applyProtection="0"/>
    <xf numFmtId="166" fontId="68" fillId="0" borderId="23" applyFill="0" applyProtection="0">
      <alignment horizontal="center" vertical="center"/>
    </xf>
    <xf numFmtId="166" fontId="67" fillId="0" borderId="23" applyFill="0" applyProtection="0">
      <alignment horizontal="center" vertical="center"/>
    </xf>
    <xf numFmtId="166" fontId="68" fillId="0" borderId="23" applyNumberFormat="0" applyFill="0" applyAlignment="0" applyProtection="0"/>
    <xf numFmtId="166" fontId="68" fillId="0" borderId="23" applyNumberFormat="0" applyFill="0" applyAlignment="0" applyProtection="0"/>
    <xf numFmtId="166" fontId="68" fillId="0" borderId="23" applyNumberFormat="0" applyFill="0" applyAlignment="0" applyProtection="0"/>
    <xf numFmtId="166" fontId="68" fillId="0" borderId="23" applyNumberFormat="0" applyFill="0" applyAlignment="0" applyProtection="0"/>
    <xf numFmtId="166" fontId="68" fillId="0" borderId="23" applyNumberFormat="0" applyFill="0" applyAlignment="0" applyProtection="0"/>
    <xf numFmtId="166" fontId="68" fillId="0" borderId="23" applyNumberFormat="0" applyFill="0" applyAlignment="0" applyProtection="0"/>
    <xf numFmtId="166" fontId="69" fillId="0" borderId="24" applyProtection="0">
      <alignment vertical="center"/>
    </xf>
    <xf numFmtId="166" fontId="69"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69" fillId="0" borderId="24" applyProtection="0">
      <alignment vertical="center"/>
    </xf>
    <xf numFmtId="166" fontId="69" fillId="0" borderId="24" applyProtection="0">
      <alignment vertical="center"/>
    </xf>
    <xf numFmtId="166" fontId="69"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70" fillId="0" borderId="24" applyProtection="0">
      <alignment vertical="center"/>
    </xf>
    <xf numFmtId="166" fontId="69" fillId="0" borderId="24" applyProtection="0">
      <alignment vertical="center"/>
    </xf>
    <xf numFmtId="166" fontId="69" fillId="0" borderId="24" applyProtection="0">
      <alignment vertical="center"/>
    </xf>
    <xf numFmtId="166" fontId="69" fillId="0" borderId="24" applyProtection="0">
      <alignment vertical="center"/>
    </xf>
    <xf numFmtId="166" fontId="69" fillId="0" borderId="24" applyProtection="0">
      <alignment vertical="center"/>
    </xf>
    <xf numFmtId="166" fontId="69" fillId="0" borderId="24" applyProtection="0">
      <alignment vertical="center"/>
    </xf>
    <xf numFmtId="166" fontId="71" fillId="0" borderId="24" applyProtection="0">
      <alignment vertical="center"/>
    </xf>
    <xf numFmtId="166" fontId="71" fillId="0" borderId="24" applyProtection="0">
      <alignment vertical="center"/>
    </xf>
    <xf numFmtId="166" fontId="72" fillId="0" borderId="25" applyFill="0" applyProtection="0">
      <alignment horizontal="center" vertical="center"/>
    </xf>
    <xf numFmtId="166" fontId="73" fillId="0" borderId="25" applyFill="0" applyProtection="0">
      <alignment horizontal="center" vertical="center"/>
    </xf>
    <xf numFmtId="166" fontId="73" fillId="0" borderId="25" applyNumberFormat="0" applyFill="0" applyAlignment="0" applyProtection="0"/>
    <xf numFmtId="166" fontId="73" fillId="0" borderId="25" applyNumberFormat="0" applyFill="0" applyAlignment="0" applyProtection="0"/>
    <xf numFmtId="166" fontId="73" fillId="0" borderId="25" applyNumberFormat="0" applyFill="0" applyAlignment="0" applyProtection="0"/>
    <xf numFmtId="166" fontId="73" fillId="0" borderId="25" applyNumberFormat="0" applyFill="0" applyAlignment="0" applyProtection="0"/>
    <xf numFmtId="166" fontId="73" fillId="0" borderId="25" applyFill="0" applyProtection="0">
      <alignment horizontal="center" vertical="center"/>
    </xf>
    <xf numFmtId="166" fontId="72" fillId="0" borderId="25" applyFill="0" applyProtection="0">
      <alignment horizontal="center" vertical="center"/>
    </xf>
    <xf numFmtId="166" fontId="73" fillId="0" borderId="25" applyNumberFormat="0" applyFill="0" applyAlignment="0" applyProtection="0"/>
    <xf numFmtId="166" fontId="73" fillId="0" borderId="25" applyNumberFormat="0" applyFill="0" applyAlignment="0" applyProtection="0"/>
    <xf numFmtId="166" fontId="73" fillId="0" borderId="25" applyNumberFormat="0" applyFill="0" applyAlignment="0" applyProtection="0"/>
    <xf numFmtId="166" fontId="73" fillId="0" borderId="25" applyNumberFormat="0" applyFill="0" applyAlignment="0" applyProtection="0"/>
    <xf numFmtId="166" fontId="73" fillId="0" borderId="25" applyNumberFormat="0" applyFill="0" applyAlignment="0" applyProtection="0"/>
    <xf numFmtId="166" fontId="73" fillId="0" borderId="25" applyNumberFormat="0" applyFill="0" applyAlignment="0" applyProtection="0"/>
    <xf numFmtId="166" fontId="69" fillId="0" borderId="0" applyProtection="0">
      <alignment vertical="center"/>
    </xf>
    <xf numFmtId="166" fontId="69"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69" fillId="0" borderId="0" applyProtection="0">
      <alignment vertical="center"/>
    </xf>
    <xf numFmtId="166" fontId="69" fillId="0" borderId="0" applyProtection="0">
      <alignment vertical="center"/>
    </xf>
    <xf numFmtId="166" fontId="69"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70" fillId="0" borderId="0" applyProtection="0">
      <alignment vertical="center"/>
    </xf>
    <xf numFmtId="166" fontId="69" fillId="0" borderId="0" applyProtection="0">
      <alignment vertical="center"/>
    </xf>
    <xf numFmtId="166" fontId="69" fillId="0" borderId="0" applyProtection="0">
      <alignment vertical="center"/>
    </xf>
    <xf numFmtId="166" fontId="69" fillId="0" borderId="0" applyProtection="0">
      <alignment vertical="center"/>
    </xf>
    <xf numFmtId="166" fontId="69" fillId="0" borderId="0" applyProtection="0">
      <alignment vertical="center"/>
    </xf>
    <xf numFmtId="166" fontId="69" fillId="0" borderId="0" applyProtection="0">
      <alignment vertical="center"/>
    </xf>
    <xf numFmtId="166" fontId="71" fillId="0" borderId="0" applyProtection="0">
      <alignment vertical="center"/>
    </xf>
    <xf numFmtId="166" fontId="71" fillId="0" borderId="0" applyProtection="0">
      <alignment vertical="center"/>
    </xf>
    <xf numFmtId="166" fontId="72" fillId="0" borderId="0" applyFill="0" applyBorder="0" applyProtection="0">
      <alignment horizontal="center" vertical="center"/>
    </xf>
    <xf numFmtId="166" fontId="73" fillId="0" borderId="0" applyFill="0" applyBorder="0" applyProtection="0">
      <alignment horizontal="center" vertical="center"/>
    </xf>
    <xf numFmtId="166" fontId="73" fillId="0" borderId="0" applyNumberFormat="0" applyFill="0" applyBorder="0" applyAlignment="0" applyProtection="0"/>
    <xf numFmtId="166" fontId="73" fillId="0" borderId="0" applyNumberFormat="0" applyFill="0" applyBorder="0" applyAlignment="0" applyProtection="0"/>
    <xf numFmtId="166" fontId="73" fillId="0" borderId="0" applyNumberFormat="0" applyFill="0" applyBorder="0" applyAlignment="0" applyProtection="0"/>
    <xf numFmtId="166" fontId="73" fillId="0" borderId="0" applyNumberFormat="0" applyFill="0" applyBorder="0" applyAlignment="0" applyProtection="0"/>
    <xf numFmtId="166" fontId="73" fillId="0" borderId="0" applyFill="0" applyBorder="0" applyProtection="0">
      <alignment horizontal="center" vertical="center"/>
    </xf>
    <xf numFmtId="166" fontId="72" fillId="0" borderId="0" applyFill="0" applyBorder="0" applyProtection="0">
      <alignment horizontal="center" vertical="center"/>
    </xf>
    <xf numFmtId="166" fontId="73" fillId="0" borderId="0" applyNumberFormat="0" applyFill="0" applyBorder="0" applyAlignment="0" applyProtection="0"/>
    <xf numFmtId="166" fontId="73" fillId="0" borderId="0" applyNumberFormat="0" applyFill="0" applyBorder="0" applyAlignment="0" applyProtection="0"/>
    <xf numFmtId="166" fontId="73" fillId="0" borderId="0" applyNumberFormat="0" applyFill="0" applyBorder="0" applyAlignment="0" applyProtection="0"/>
    <xf numFmtId="166" fontId="73" fillId="0" borderId="0" applyNumberFormat="0" applyFill="0" applyBorder="0" applyAlignment="0" applyProtection="0"/>
    <xf numFmtId="166" fontId="73" fillId="0" borderId="0" applyNumberFormat="0" applyFill="0" applyBorder="0" applyAlignment="0" applyProtection="0"/>
    <xf numFmtId="166" fontId="73" fillId="0" borderId="0" applyNumberFormat="0" applyFill="0" applyBorder="0" applyAlignment="0" applyProtection="0"/>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1" fillId="0" borderId="0" applyFill="0" applyBorder="0" applyProtection="0">
      <alignment horizontal="center" vertical="center"/>
    </xf>
    <xf numFmtId="166" fontId="31" fillId="0" borderId="0" applyFill="0" applyBorder="0" applyProtection="0">
      <alignment horizontal="center" vertical="center"/>
    </xf>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5" fillId="0" borderId="0" applyNumberFormat="0" applyFill="0" applyBorder="0" applyAlignment="0" applyProtection="0">
      <alignment vertical="top"/>
      <protection locked="0"/>
    </xf>
    <xf numFmtId="166" fontId="75" fillId="0" borderId="0" applyNumberFormat="0" applyFill="0" applyBorder="0" applyAlignment="0" applyProtection="0">
      <alignment vertical="top"/>
      <protection locked="0"/>
    </xf>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Fill="0" applyBorder="0" applyProtection="0">
      <alignment horizontal="center" vertical="center"/>
    </xf>
    <xf numFmtId="166" fontId="74" fillId="0" borderId="0" applyFill="0" applyBorder="0" applyProtection="0">
      <alignment horizontal="center" vertical="center"/>
    </xf>
    <xf numFmtId="166" fontId="74" fillId="0" borderId="0" applyNumberFormat="0" applyFill="0" applyBorder="0" applyAlignment="0" applyProtection="0"/>
    <xf numFmtId="166" fontId="74" fillId="0" borderId="0" applyNumberFormat="0" applyFill="0" applyBorder="0" applyAlignment="0" applyProtection="0"/>
    <xf numFmtId="166" fontId="76" fillId="0" borderId="0" applyNumberFormat="0" applyFill="0" applyBorder="0" applyAlignment="0" applyProtection="0">
      <alignment vertical="top"/>
      <protection locked="0"/>
    </xf>
    <xf numFmtId="166" fontId="76" fillId="0" borderId="0" applyNumberFormat="0" applyFill="0" applyBorder="0" applyAlignment="0" applyProtection="0">
      <alignment vertical="top"/>
      <protection locked="0"/>
    </xf>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NumberFormat="0" applyFill="0" applyBorder="0" applyAlignment="0" applyProtection="0"/>
    <xf numFmtId="166" fontId="75" fillId="0" borderId="0" applyNumberFormat="0" applyFill="0" applyBorder="0" applyAlignment="0" applyProtection="0">
      <alignment vertical="top"/>
      <protection locked="0"/>
    </xf>
    <xf numFmtId="166" fontId="75" fillId="0" borderId="0" applyNumberFormat="0" applyFill="0" applyBorder="0" applyAlignment="0" applyProtection="0">
      <alignment vertical="top"/>
      <protection locked="0"/>
    </xf>
    <xf numFmtId="166" fontId="74" fillId="0" borderId="0" applyNumberFormat="0" applyFill="0" applyBorder="0" applyAlignment="0" applyProtection="0"/>
    <xf numFmtId="166" fontId="74" fillId="0" borderId="0" applyNumberFormat="0" applyFill="0" applyBorder="0" applyAlignment="0" applyProtection="0"/>
    <xf numFmtId="166" fontId="74" fillId="0" borderId="0" applyFill="0" applyBorder="0" applyProtection="0">
      <alignment horizontal="center" vertical="center"/>
    </xf>
    <xf numFmtId="166" fontId="74" fillId="0" borderId="0" applyFill="0" applyBorder="0" applyProtection="0">
      <alignment horizontal="center" vertical="center"/>
    </xf>
    <xf numFmtId="166" fontId="75" fillId="0" borderId="0" applyNumberFormat="0" applyFill="0" applyBorder="0" applyAlignment="0" applyProtection="0">
      <alignment vertical="top"/>
      <protection locked="0"/>
    </xf>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Fill="0" applyBorder="0" applyProtection="0">
      <alignment horizontal="center" vertical="center"/>
    </xf>
    <xf numFmtId="166" fontId="77" fillId="0" borderId="0" applyFill="0" applyBorder="0" applyProtection="0">
      <alignment horizontal="center" vertical="center"/>
    </xf>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NumberFormat="0" applyFill="0" applyBorder="0" applyAlignment="0" applyProtection="0"/>
    <xf numFmtId="166" fontId="78" fillId="0" borderId="0" applyNumberFormat="0" applyFill="0" applyBorder="0" applyAlignment="0" applyProtection="0">
      <alignment vertical="top"/>
      <protection locked="0"/>
    </xf>
    <xf numFmtId="166" fontId="78" fillId="0" borderId="0" applyNumberFormat="0" applyFill="0" applyBorder="0" applyAlignment="0" applyProtection="0">
      <alignment vertical="top"/>
      <protection locked="0"/>
    </xf>
    <xf numFmtId="166" fontId="77" fillId="0" borderId="0" applyNumberFormat="0" applyFill="0" applyBorder="0" applyAlignment="0" applyProtection="0"/>
    <xf numFmtId="166" fontId="77" fillId="0" borderId="0" applyNumberFormat="0" applyFill="0" applyBorder="0" applyAlignment="0" applyProtection="0"/>
    <xf numFmtId="166" fontId="77" fillId="0" borderId="0" applyFill="0" applyBorder="0" applyProtection="0">
      <alignment horizontal="center" vertical="center"/>
    </xf>
    <xf numFmtId="166" fontId="77" fillId="0" borderId="0" applyFill="0" applyBorder="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79" fillId="0" borderId="0" applyNumberFormat="0" applyFill="0" applyBorder="0" applyAlignment="0" applyProtection="0"/>
    <xf numFmtId="166" fontId="79" fillId="0" borderId="0" applyNumberFormat="0" applyFill="0" applyBorder="0" applyAlignment="0" applyProtection="0"/>
    <xf numFmtId="166" fontId="79" fillId="0" borderId="0" applyNumberFormat="0" applyFill="0" applyBorder="0" applyAlignment="0" applyProtection="0"/>
    <xf numFmtId="166" fontId="79" fillId="0" borderId="0" applyNumberFormat="0" applyFill="0" applyBorder="0" applyAlignment="0" applyProtection="0"/>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80" fillId="0" borderId="0" applyFill="0" applyBorder="0" applyProtection="0">
      <alignment horizontal="center" vertical="center"/>
    </xf>
    <xf numFmtId="166" fontId="80" fillId="0" borderId="0" applyFill="0" applyBorder="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80" fillId="0" borderId="0" applyNumberFormat="0" applyFill="0" applyBorder="0" applyAlignment="0" applyProtection="0">
      <alignment vertical="top"/>
      <protection locked="0"/>
    </xf>
    <xf numFmtId="166" fontId="80" fillId="0" borderId="0" applyNumberFormat="0" applyFill="0" applyBorder="0" applyAlignment="0" applyProtection="0">
      <alignment vertical="top"/>
      <protection locked="0"/>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81" fillId="0" borderId="0" applyFill="0" applyBorder="0" applyProtection="0">
      <alignment horizontal="center" vertical="center"/>
    </xf>
    <xf numFmtId="166" fontId="81" fillId="0" borderId="0" applyFill="0" applyBorder="0" applyProtection="0">
      <alignment horizontal="center" vertical="center"/>
    </xf>
    <xf numFmtId="166" fontId="82" fillId="0" borderId="0" applyNumberFormat="0" applyFill="0" applyBorder="0" applyAlignment="0" applyProtection="0"/>
    <xf numFmtId="166" fontId="82" fillId="0" borderId="0" applyNumberFormat="0" applyFill="0" applyBorder="0" applyAlignment="0" applyProtection="0"/>
    <xf numFmtId="166" fontId="82" fillId="0" borderId="0" applyNumberFormat="0" applyFill="0" applyBorder="0" applyAlignment="0" applyProtection="0"/>
    <xf numFmtId="166" fontId="82" fillId="0" borderId="0" applyNumberFormat="0" applyFill="0" applyBorder="0" applyAlignment="0" applyProtection="0"/>
    <xf numFmtId="166" fontId="82" fillId="0" borderId="0" applyNumberFormat="0" applyFill="0" applyBorder="0" applyAlignment="0" applyProtection="0"/>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82" fillId="0" borderId="0" applyNumberFormat="0" applyFill="0" applyBorder="0" applyAlignment="0" applyProtection="0"/>
    <xf numFmtId="166" fontId="82" fillId="0" borderId="0" applyNumberFormat="0" applyFill="0" applyBorder="0" applyAlignment="0" applyProtection="0"/>
    <xf numFmtId="166" fontId="82" fillId="0" borderId="0" applyNumberFormat="0" applyFill="0" applyBorder="0" applyAlignment="0" applyProtection="0"/>
    <xf numFmtId="166" fontId="83" fillId="0" borderId="0" applyNumberFormat="0" applyFill="0" applyBorder="0" applyAlignment="0" applyProtection="0"/>
    <xf numFmtId="166" fontId="83" fillId="0" borderId="0" applyNumberFormat="0" applyFill="0" applyBorder="0" applyAlignment="0" applyProtection="0"/>
    <xf numFmtId="166" fontId="82" fillId="0" borderId="0" applyNumberFormat="0" applyFill="0" applyBorder="0" applyAlignment="0" applyProtection="0"/>
    <xf numFmtId="166" fontId="82" fillId="0" borderId="0" applyNumberFormat="0" applyFill="0" applyBorder="0" applyAlignment="0" applyProtection="0"/>
    <xf numFmtId="166" fontId="82" fillId="0" borderId="0" applyNumberFormat="0" applyFill="0" applyBorder="0" applyAlignment="0" applyProtection="0"/>
    <xf numFmtId="166" fontId="31" fillId="0" borderId="0" applyFill="0" applyBorder="0" applyProtection="0">
      <alignment horizontal="center" vertical="center"/>
    </xf>
    <xf numFmtId="166" fontId="31" fillId="0" borderId="0" applyFill="0" applyBorder="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76" fillId="0" borderId="0" applyNumberFormat="0" applyFill="0" applyBorder="0" applyAlignment="0" applyProtection="0">
      <alignment vertical="top"/>
      <protection locked="0"/>
    </xf>
    <xf numFmtId="166" fontId="76" fillId="0" borderId="0" applyNumberFormat="0" applyFill="0" applyBorder="0" applyAlignment="0" applyProtection="0">
      <alignment vertical="top"/>
      <protection locked="0"/>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30" fillId="0" borderId="0" applyNumberFormat="0" applyFill="0" applyBorder="0" applyAlignment="0" applyProtection="0">
      <alignment horizontal="center" vertical="center"/>
    </xf>
    <xf numFmtId="166" fontId="75" fillId="0" borderId="0" applyNumberFormat="0" applyFill="0" applyBorder="0" applyAlignment="0" applyProtection="0">
      <alignment vertical="top"/>
      <protection locked="0"/>
    </xf>
    <xf numFmtId="166" fontId="75" fillId="0" borderId="0" applyNumberFormat="0" applyFill="0" applyBorder="0" applyAlignment="0" applyProtection="0">
      <alignment vertical="top"/>
      <protection locked="0"/>
    </xf>
    <xf numFmtId="166" fontId="30" fillId="0" borderId="0" applyNumberFormat="0" applyFill="0" applyBorder="0" applyAlignment="0" applyProtection="0">
      <alignment horizontal="center" vertical="center"/>
    </xf>
    <xf numFmtId="166" fontId="84" fillId="34" borderId="18" applyProtection="0">
      <alignment vertical="center"/>
    </xf>
    <xf numFmtId="166" fontId="85" fillId="16" borderId="18" applyProtection="0">
      <alignment vertical="center"/>
    </xf>
    <xf numFmtId="166" fontId="85" fillId="16" borderId="18" applyProtection="0">
      <alignment vertical="center"/>
    </xf>
    <xf numFmtId="166" fontId="84"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4" fillId="34" borderId="18" applyProtection="0">
      <alignment vertical="center"/>
    </xf>
    <xf numFmtId="166" fontId="84" fillId="34"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16" borderId="18" applyProtection="0">
      <alignment vertical="center"/>
    </xf>
    <xf numFmtId="166" fontId="84" fillId="16"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6" fillId="35"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5"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84" fillId="34" borderId="18" applyProtection="0">
      <alignment vertical="center"/>
    </xf>
    <xf numFmtId="166" fontId="12" fillId="3" borderId="1" applyNumberFormat="0" applyAlignment="0" applyProtection="0"/>
    <xf numFmtId="166" fontId="12" fillId="3" borderId="1" applyNumberFormat="0" applyAlignment="0" applyProtection="0"/>
    <xf numFmtId="166" fontId="84" fillId="34" borderId="18" applyProtection="0">
      <alignment vertical="center"/>
    </xf>
    <xf numFmtId="166" fontId="84" fillId="34" borderId="18" applyProtection="0">
      <alignment vertical="center"/>
    </xf>
    <xf numFmtId="166" fontId="85" fillId="16" borderId="18" applyProtection="0">
      <alignment horizontal="center" vertical="center"/>
    </xf>
    <xf numFmtId="166" fontId="84" fillId="16" borderId="18" applyProtection="0">
      <alignment horizontal="center" vertical="center"/>
    </xf>
    <xf numFmtId="166" fontId="12" fillId="3" borderId="1" applyNumberFormat="0" applyAlignment="0" applyProtection="0"/>
    <xf numFmtId="166" fontId="12" fillId="3" borderId="1" applyNumberFormat="0" applyAlignment="0" applyProtection="0"/>
    <xf numFmtId="166" fontId="12" fillId="3" borderId="1" applyNumberFormat="0" applyAlignment="0" applyProtection="0"/>
    <xf numFmtId="166" fontId="12" fillId="3" borderId="1" applyNumberFormat="0" applyAlignment="0" applyProtection="0"/>
    <xf numFmtId="166" fontId="84" fillId="16" borderId="18" applyProtection="0">
      <alignment horizontal="center" vertical="center"/>
    </xf>
    <xf numFmtId="166" fontId="85" fillId="16" borderId="18" applyProtection="0">
      <alignment horizontal="center" vertical="center"/>
    </xf>
    <xf numFmtId="166" fontId="12" fillId="3" borderId="1" applyNumberFormat="0" applyAlignment="0" applyProtection="0"/>
    <xf numFmtId="166" fontId="12" fillId="3" borderId="1" applyNumberFormat="0" applyAlignment="0" applyProtection="0"/>
    <xf numFmtId="166" fontId="12" fillId="3" borderId="1" applyNumberFormat="0" applyAlignment="0" applyProtection="0"/>
    <xf numFmtId="166" fontId="12" fillId="3" borderId="1" applyNumberFormat="0" applyAlignment="0" applyProtection="0"/>
    <xf numFmtId="166" fontId="12" fillId="3" borderId="1" applyNumberFormat="0" applyAlignment="0" applyProtection="0"/>
    <xf numFmtId="166" fontId="12" fillId="3" borderId="1" applyNumberFormat="0" applyAlignment="0" applyProtection="0"/>
    <xf numFmtId="166" fontId="87" fillId="0" borderId="26" applyProtection="0">
      <alignment vertical="center"/>
    </xf>
    <xf numFmtId="166" fontId="87"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7" fillId="0" borderId="26" applyProtection="0">
      <alignment vertical="center"/>
    </xf>
    <xf numFmtId="166" fontId="87" fillId="0" borderId="26" applyProtection="0">
      <alignment vertical="center"/>
    </xf>
    <xf numFmtId="166" fontId="87"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8" fillId="0" borderId="26" applyProtection="0">
      <alignment vertical="center"/>
    </xf>
    <xf numFmtId="166" fontId="87" fillId="0" borderId="26" applyProtection="0">
      <alignment vertical="center"/>
    </xf>
    <xf numFmtId="166" fontId="87" fillId="0" borderId="26" applyProtection="0">
      <alignment vertical="center"/>
    </xf>
    <xf numFmtId="166" fontId="87" fillId="0" borderId="26" applyProtection="0">
      <alignment vertical="center"/>
    </xf>
    <xf numFmtId="166" fontId="87" fillId="0" borderId="26" applyProtection="0">
      <alignment vertical="center"/>
    </xf>
    <xf numFmtId="166" fontId="87" fillId="0" borderId="26" applyProtection="0">
      <alignment vertical="center"/>
    </xf>
    <xf numFmtId="166" fontId="89" fillId="0" borderId="26" applyProtection="0">
      <alignment vertical="center"/>
    </xf>
    <xf numFmtId="166" fontId="89" fillId="0" borderId="26" applyProtection="0">
      <alignment vertical="center"/>
    </xf>
    <xf numFmtId="166" fontId="89" fillId="0" borderId="26" applyFill="0" applyProtection="0">
      <alignment horizontal="center" vertical="center"/>
    </xf>
    <xf numFmtId="166" fontId="87" fillId="0" borderId="26" applyFill="0" applyProtection="0">
      <alignment horizontal="center" vertical="center"/>
    </xf>
    <xf numFmtId="166" fontId="15" fillId="0" borderId="3" applyNumberFormat="0" applyFill="0" applyAlignment="0" applyProtection="0"/>
    <xf numFmtId="166" fontId="15" fillId="0" borderId="3" applyNumberFormat="0" applyFill="0" applyAlignment="0" applyProtection="0"/>
    <xf numFmtId="166" fontId="15" fillId="0" borderId="3" applyNumberFormat="0" applyFill="0" applyAlignment="0" applyProtection="0"/>
    <xf numFmtId="166" fontId="15" fillId="0" borderId="3" applyNumberFormat="0" applyFill="0" applyAlignment="0" applyProtection="0"/>
    <xf numFmtId="166" fontId="87" fillId="0" borderId="26" applyFill="0" applyProtection="0">
      <alignment horizontal="center" vertical="center"/>
    </xf>
    <xf numFmtId="166" fontId="89" fillId="0" borderId="26" applyFill="0" applyProtection="0">
      <alignment horizontal="center" vertical="center"/>
    </xf>
    <xf numFmtId="166" fontId="15" fillId="0" borderId="3" applyNumberFormat="0" applyFill="0" applyAlignment="0" applyProtection="0"/>
    <xf numFmtId="166" fontId="15" fillId="0" borderId="3" applyNumberFormat="0" applyFill="0" applyAlignment="0" applyProtection="0"/>
    <xf numFmtId="166" fontId="15" fillId="0" borderId="3" applyNumberFormat="0" applyFill="0" applyAlignment="0" applyProtection="0"/>
    <xf numFmtId="166" fontId="15" fillId="0" borderId="3" applyNumberFormat="0" applyFill="0" applyAlignment="0" applyProtection="0"/>
    <xf numFmtId="166" fontId="15" fillId="0" borderId="3" applyNumberFormat="0" applyFill="0" applyAlignment="0" applyProtection="0"/>
    <xf numFmtId="166" fontId="15" fillId="0" borderId="3" applyNumberFormat="0" applyFill="0" applyAlignment="0" applyProtection="0"/>
    <xf numFmtId="166" fontId="90" fillId="66" borderId="0" applyProtection="0">
      <alignment vertical="center"/>
    </xf>
    <xf numFmtId="166" fontId="90"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0" fillId="66" borderId="0" applyProtection="0">
      <alignment vertical="center"/>
    </xf>
    <xf numFmtId="166" fontId="90" fillId="66" borderId="0" applyProtection="0">
      <alignment vertical="center"/>
    </xf>
    <xf numFmtId="166" fontId="90" fillId="66" borderId="0" applyProtection="0">
      <alignment vertical="center"/>
    </xf>
    <xf numFmtId="166" fontId="90" fillId="66" borderId="0" applyProtection="0">
      <alignment vertical="center"/>
    </xf>
    <xf numFmtId="166" fontId="90" fillId="44" borderId="0" applyProtection="0">
      <alignment vertical="center"/>
    </xf>
    <xf numFmtId="166" fontId="90" fillId="44"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1" fillId="66" borderId="0" applyProtection="0">
      <alignment vertical="center"/>
    </xf>
    <xf numFmtId="166" fontId="90" fillId="66" borderId="0" applyProtection="0">
      <alignment vertical="center"/>
    </xf>
    <xf numFmtId="166" fontId="90" fillId="66" borderId="0" applyProtection="0">
      <alignment vertical="center"/>
    </xf>
    <xf numFmtId="166" fontId="90" fillId="66" borderId="0" applyProtection="0">
      <alignment vertical="center"/>
    </xf>
    <xf numFmtId="166" fontId="90" fillId="66" borderId="0" applyProtection="0">
      <alignment vertical="center"/>
    </xf>
    <xf numFmtId="166" fontId="90" fillId="66" borderId="0" applyProtection="0">
      <alignment vertical="center"/>
    </xf>
    <xf numFmtId="166" fontId="92" fillId="44" borderId="0" applyProtection="0">
      <alignment vertical="center"/>
    </xf>
    <xf numFmtId="166" fontId="92" fillId="44" borderId="0" applyProtection="0">
      <alignment vertical="center"/>
    </xf>
    <xf numFmtId="166" fontId="92" fillId="16" borderId="0" applyBorder="0" applyProtection="0">
      <alignment horizontal="center" vertical="center"/>
    </xf>
    <xf numFmtId="166" fontId="90" fillId="16" borderId="0" applyBorder="0" applyProtection="0">
      <alignment horizontal="center" vertical="center"/>
    </xf>
    <xf numFmtId="166" fontId="11" fillId="25" borderId="0" applyNumberFormat="0" applyBorder="0" applyAlignment="0" applyProtection="0"/>
    <xf numFmtId="166" fontId="11" fillId="25" borderId="0" applyNumberFormat="0" applyBorder="0" applyAlignment="0" applyProtection="0"/>
    <xf numFmtId="166" fontId="11" fillId="25" borderId="0" applyNumberFormat="0" applyBorder="0" applyAlignment="0" applyProtection="0"/>
    <xf numFmtId="166" fontId="11" fillId="25" borderId="0" applyNumberFormat="0" applyBorder="0" applyAlignment="0" applyProtection="0"/>
    <xf numFmtId="166" fontId="90" fillId="16" borderId="0" applyBorder="0" applyProtection="0">
      <alignment horizontal="center" vertical="center"/>
    </xf>
    <xf numFmtId="166" fontId="92" fillId="16" borderId="0" applyBorder="0" applyProtection="0">
      <alignment horizontal="center" vertical="center"/>
    </xf>
    <xf numFmtId="166" fontId="11" fillId="25" borderId="0" applyNumberFormat="0" applyBorder="0" applyAlignment="0" applyProtection="0"/>
    <xf numFmtId="166" fontId="11" fillId="25" borderId="0" applyNumberFormat="0" applyBorder="0" applyAlignment="0" applyProtection="0"/>
    <xf numFmtId="166" fontId="11" fillId="25" borderId="0" applyNumberFormat="0" applyBorder="0" applyAlignment="0" applyProtection="0"/>
    <xf numFmtId="166" fontId="11" fillId="25" borderId="0" applyNumberFormat="0" applyBorder="0" applyAlignment="0" applyProtection="0"/>
    <xf numFmtId="166" fontId="11" fillId="25" borderId="0" applyNumberFormat="0" applyBorder="0" applyAlignment="0" applyProtection="0"/>
    <xf numFmtId="166" fontId="11" fillId="25" borderId="0" applyNumberFormat="0" applyBorder="0" applyAlignment="0" applyProtection="0"/>
    <xf numFmtId="166" fontId="8" fillId="0" borderId="0"/>
    <xf numFmtId="166" fontId="21" fillId="0" borderId="0">
      <alignment horizontal="center" vertical="center"/>
    </xf>
    <xf numFmtId="166" fontId="21" fillId="0" borderId="0">
      <alignment horizontal="center" vertical="center"/>
    </xf>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3" fillId="0" borderId="0"/>
    <xf numFmtId="166" fontId="23"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32" fillId="0" borderId="0"/>
    <xf numFmtId="166" fontId="32" fillId="0" borderId="0"/>
    <xf numFmtId="166" fontId="32" fillId="0" borderId="0"/>
    <xf numFmtId="166" fontId="23" fillId="0" borderId="0"/>
    <xf numFmtId="166" fontId="23" fillId="0" borderId="0"/>
    <xf numFmtId="166" fontId="23" fillId="0" borderId="0"/>
    <xf numFmtId="166" fontId="23" fillId="0" borderId="0"/>
    <xf numFmtId="166" fontId="23"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93" fillId="0" borderId="0"/>
    <xf numFmtId="166" fontId="93" fillId="0" borderId="0"/>
    <xf numFmtId="166" fontId="93" fillId="0" borderId="0"/>
    <xf numFmtId="166" fontId="93" fillId="0" borderId="0"/>
    <xf numFmtId="166" fontId="93"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32" fillId="0" borderId="0"/>
    <xf numFmtId="166" fontId="32" fillId="0" borderId="0"/>
    <xf numFmtId="166" fontId="32" fillId="0" borderId="0"/>
    <xf numFmtId="166" fontId="93" fillId="0" borderId="0"/>
    <xf numFmtId="166" fontId="93" fillId="0" borderId="0"/>
    <xf numFmtId="166" fontId="93" fillId="0" borderId="0"/>
    <xf numFmtId="166" fontId="93"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94" fillId="0" borderId="0"/>
    <xf numFmtId="166" fontId="21" fillId="0" borderId="0">
      <alignment horizontal="center" vertical="center"/>
    </xf>
    <xf numFmtId="166" fontId="32" fillId="0" borderId="0"/>
    <xf numFmtId="166" fontId="32" fillId="0" borderId="0"/>
    <xf numFmtId="166" fontId="32"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32" fillId="0" borderId="0"/>
    <xf numFmtId="166" fontId="32" fillId="0" borderId="0"/>
    <xf numFmtId="166" fontId="32"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3" fillId="0" borderId="0"/>
    <xf numFmtId="166" fontId="23" fillId="0" borderId="0"/>
    <xf numFmtId="166" fontId="96" fillId="0" borderId="0"/>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28" fillId="0" borderId="0"/>
    <xf numFmtId="166" fontId="28" fillId="0" borderId="0"/>
    <xf numFmtId="166" fontId="28" fillId="0" borderId="0"/>
    <xf numFmtId="166" fontId="23" fillId="0" borderId="0"/>
    <xf numFmtId="166" fontId="26" fillId="0" borderId="0"/>
    <xf numFmtId="166" fontId="26" fillId="0" borderId="0"/>
    <xf numFmtId="166" fontId="97" fillId="0" borderId="0"/>
    <xf numFmtId="166" fontId="97" fillId="0" borderId="0"/>
    <xf numFmtId="166" fontId="26" fillId="0" borderId="0"/>
    <xf numFmtId="166" fontId="26"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8" fillId="0" borderId="0"/>
    <xf numFmtId="166" fontId="28" fillId="0" borderId="0"/>
    <xf numFmtId="166" fontId="28" fillId="0" borderId="0"/>
    <xf numFmtId="166" fontId="23" fillId="0" borderId="0"/>
    <xf numFmtId="166" fontId="23" fillId="0" borderId="0"/>
    <xf numFmtId="166" fontId="23" fillId="0" borderId="0"/>
    <xf numFmtId="166" fontId="23" fillId="0" borderId="0"/>
    <xf numFmtId="166" fontId="28"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8" fillId="0" borderId="0"/>
    <xf numFmtId="166" fontId="28" fillId="0" borderId="0"/>
    <xf numFmtId="166" fontId="23" fillId="0" borderId="0"/>
    <xf numFmtId="166" fontId="23" fillId="0" borderId="0"/>
    <xf numFmtId="166" fontId="23"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98" fillId="0" borderId="0"/>
    <xf numFmtId="166" fontId="98" fillId="0" borderId="0"/>
    <xf numFmtId="166" fontId="96" fillId="0" borderId="0"/>
    <xf numFmtId="166" fontId="28" fillId="0" borderId="0"/>
    <xf numFmtId="166" fontId="28" fillId="0" borderId="0"/>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23" fillId="0" borderId="0"/>
    <xf numFmtId="166" fontId="23" fillId="0" borderId="0"/>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23" fillId="0" borderId="0"/>
    <xf numFmtId="166" fontId="23" fillId="0" borderId="0"/>
    <xf numFmtId="166" fontId="95" fillId="0" borderId="0">
      <alignment vertical="center"/>
    </xf>
    <xf numFmtId="166" fontId="95" fillId="0" borderId="0">
      <alignment vertical="center"/>
    </xf>
    <xf numFmtId="166" fontId="23" fillId="0" borderId="0"/>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23" fillId="0" borderId="0"/>
    <xf numFmtId="166" fontId="23" fillId="0" borderId="0"/>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99" fillId="0" borderId="0"/>
    <xf numFmtId="166" fontId="99" fillId="0" borderId="0"/>
    <xf numFmtId="166" fontId="99" fillId="0" borderId="0"/>
    <xf numFmtId="166" fontId="99" fillId="0" borderId="0"/>
    <xf numFmtId="166" fontId="99" fillId="0" borderId="0"/>
    <xf numFmtId="166" fontId="99" fillId="0" borderId="0"/>
    <xf numFmtId="166" fontId="99" fillId="0" borderId="0"/>
    <xf numFmtId="166" fontId="99" fillId="0" borderId="0"/>
    <xf numFmtId="166" fontId="99" fillId="0" borderId="0"/>
    <xf numFmtId="166" fontId="99" fillId="0" borderId="0"/>
    <xf numFmtId="166" fontId="99"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100" fillId="0" borderId="0"/>
    <xf numFmtId="166" fontId="100" fillId="0" borderId="0"/>
    <xf numFmtId="166" fontId="100" fillId="0" borderId="0"/>
    <xf numFmtId="166" fontId="100" fillId="0" borderId="0"/>
    <xf numFmtId="166" fontId="100" fillId="0" borderId="0"/>
    <xf numFmtId="166" fontId="100" fillId="0" borderId="0"/>
    <xf numFmtId="166" fontId="100" fillId="0" borderId="0"/>
    <xf numFmtId="166" fontId="100" fillId="0" borderId="0"/>
    <xf numFmtId="166" fontId="100" fillId="0" borderId="0"/>
    <xf numFmtId="166" fontId="100" fillId="0" borderId="0"/>
    <xf numFmtId="166" fontId="100"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95" fillId="0" borderId="0">
      <alignment vertical="center"/>
    </xf>
    <xf numFmtId="166" fontId="95" fillId="0" borderId="0">
      <alignment vertical="center"/>
    </xf>
    <xf numFmtId="166" fontId="54" fillId="0" borderId="0"/>
    <xf numFmtId="166" fontId="54" fillId="0" borderId="0"/>
    <xf numFmtId="166" fontId="54" fillId="0" borderId="0"/>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23"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101" fillId="0" borderId="0">
      <alignment vertical="center"/>
    </xf>
    <xf numFmtId="166" fontId="101" fillId="0" borderId="0">
      <alignment vertical="center"/>
    </xf>
    <xf numFmtId="166" fontId="101" fillId="0" borderId="0">
      <alignment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3" fillId="0" borderId="0"/>
    <xf numFmtId="166" fontId="21" fillId="0" borderId="0">
      <alignment horizontal="center" vertical="center"/>
    </xf>
    <xf numFmtId="166" fontId="95" fillId="0" borderId="0">
      <alignment vertical="center"/>
    </xf>
    <xf numFmtId="166" fontId="23" fillId="0" borderId="0"/>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23" fillId="0" borderId="0"/>
    <xf numFmtId="166" fontId="28"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8" fillId="0" borderId="0"/>
    <xf numFmtId="166" fontId="28" fillId="0" borderId="0"/>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8" fillId="0" borderId="0"/>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95" fillId="0" borderId="0">
      <alignment vertical="center"/>
    </xf>
    <xf numFmtId="166" fontId="95" fillId="0" borderId="0">
      <alignment vertical="center"/>
    </xf>
    <xf numFmtId="166" fontId="23" fillId="0" borderId="0"/>
    <xf numFmtId="166" fontId="23" fillId="0" borderId="0"/>
    <xf numFmtId="166" fontId="23" fillId="0" borderId="0"/>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3" fillId="0" borderId="0"/>
    <xf numFmtId="166" fontId="23"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101" fillId="0" borderId="0">
      <alignment vertical="center"/>
    </xf>
    <xf numFmtId="166" fontId="101" fillId="0" borderId="0">
      <alignment vertical="center"/>
    </xf>
    <xf numFmtId="166" fontId="21" fillId="0" borderId="0">
      <alignment horizontal="center" vertical="center"/>
    </xf>
    <xf numFmtId="166" fontId="21"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102" fillId="0" borderId="0">
      <alignment horizontal="center" vertical="center"/>
    </xf>
    <xf numFmtId="166" fontId="102" fillId="0" borderId="0">
      <alignment horizontal="center" vertical="center"/>
    </xf>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54" fillId="0" borderId="0"/>
    <xf numFmtId="166" fontId="54" fillId="0" borderId="0"/>
    <xf numFmtId="166" fontId="54" fillId="0" borderId="0"/>
    <xf numFmtId="166" fontId="54" fillId="0" borderId="0"/>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3" fillId="0" borderId="0">
      <alignment vertical="center"/>
    </xf>
    <xf numFmtId="166" fontId="23" fillId="0" borderId="0">
      <alignment vertical="center"/>
    </xf>
    <xf numFmtId="166" fontId="54" fillId="0" borderId="0"/>
    <xf numFmtId="166" fontId="54" fillId="0" borderId="0"/>
    <xf numFmtId="166" fontId="54"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3" fillId="0" borderId="0"/>
    <xf numFmtId="166" fontId="22" fillId="0" borderId="0">
      <alignment horizontal="center" vertical="center"/>
    </xf>
    <xf numFmtId="166" fontId="21" fillId="0" borderId="0">
      <alignment horizontal="center" vertical="center"/>
    </xf>
    <xf numFmtId="166" fontId="97" fillId="0" borderId="0"/>
    <xf numFmtId="166" fontId="97"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3" fillId="0" borderId="0"/>
    <xf numFmtId="166" fontId="23" fillId="0" borderId="0"/>
    <xf numFmtId="166" fontId="23" fillId="0" borderId="0"/>
    <xf numFmtId="166" fontId="28" fillId="0" borderId="0"/>
    <xf numFmtId="166" fontId="28"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6"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3" fillId="0" borderId="0"/>
    <xf numFmtId="166" fontId="23" fillId="0" borderId="0"/>
    <xf numFmtId="166" fontId="23"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8" fillId="0" borderId="0"/>
    <xf numFmtId="166" fontId="28"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3" fillId="0" borderId="0"/>
    <xf numFmtId="166" fontId="28" fillId="0" borderId="0"/>
    <xf numFmtId="166" fontId="28"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2" fillId="0" borderId="0">
      <alignment horizontal="center" vertical="center"/>
    </xf>
    <xf numFmtId="166" fontId="28" fillId="0" borderId="0"/>
    <xf numFmtId="166" fontId="28" fillId="0" borderId="0"/>
    <xf numFmtId="166" fontId="28"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2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8" fillId="0" borderId="0"/>
    <xf numFmtId="166" fontId="28" fillId="0" borderId="0"/>
    <xf numFmtId="166" fontId="28"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54" fillId="0" borderId="0"/>
    <xf numFmtId="166" fontId="93" fillId="0" borderId="0"/>
    <xf numFmtId="166" fontId="93" fillId="0" borderId="0"/>
    <xf numFmtId="166" fontId="93" fillId="0" borderId="0"/>
    <xf numFmtId="166" fontId="97" fillId="0" borderId="0"/>
    <xf numFmtId="166" fontId="97" fillId="0" borderId="0"/>
    <xf numFmtId="166" fontId="93" fillId="0" borderId="0"/>
    <xf numFmtId="166" fontId="93" fillId="0" borderId="0"/>
    <xf numFmtId="166" fontId="93" fillId="0" borderId="0"/>
    <xf numFmtId="166" fontId="32" fillId="0" borderId="0"/>
    <xf numFmtId="166" fontId="32" fillId="0" borderId="0"/>
    <xf numFmtId="166" fontId="32" fillId="0" borderId="0"/>
    <xf numFmtId="166" fontId="54" fillId="0" borderId="0"/>
    <xf numFmtId="166" fontId="54" fillId="0" borderId="0"/>
    <xf numFmtId="166" fontId="54" fillId="0" borderId="0"/>
    <xf numFmtId="166" fontId="23" fillId="0" borderId="0"/>
    <xf numFmtId="166" fontId="23" fillId="0" borderId="0"/>
    <xf numFmtId="166" fontId="32" fillId="0" borderId="0"/>
    <xf numFmtId="166" fontId="32" fillId="0" borderId="0"/>
    <xf numFmtId="166" fontId="32" fillId="0" borderId="0"/>
    <xf numFmtId="166" fontId="32" fillId="0" borderId="0"/>
    <xf numFmtId="166" fontId="32" fillId="0" borderId="0"/>
    <xf numFmtId="166" fontId="32" fillId="0" borderId="0"/>
    <xf numFmtId="166" fontId="23"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32" fillId="0" borderId="0"/>
    <xf numFmtId="166" fontId="32" fillId="0" borderId="0"/>
    <xf numFmtId="166" fontId="103" fillId="0" borderId="0"/>
    <xf numFmtId="166" fontId="103" fillId="0" borderId="0"/>
    <xf numFmtId="166" fontId="32" fillId="0" borderId="0"/>
    <xf numFmtId="166" fontId="32" fillId="0" borderId="0"/>
    <xf numFmtId="166" fontId="23"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32" fillId="0" borderId="0"/>
    <xf numFmtId="166" fontId="32" fillId="0" borderId="0"/>
    <xf numFmtId="166" fontId="23" fillId="0" borderId="0"/>
    <xf numFmtId="166" fontId="23" fillId="0" borderId="0"/>
    <xf numFmtId="166" fontId="32" fillId="0" borderId="0"/>
    <xf numFmtId="166" fontId="32" fillId="0" borderId="0"/>
    <xf numFmtId="166" fontId="23" fillId="0" borderId="0"/>
    <xf numFmtId="166" fontId="23" fillId="0" borderId="0"/>
    <xf numFmtId="166" fontId="104" fillId="0" borderId="0">
      <alignment vertical="center"/>
    </xf>
    <xf numFmtId="166" fontId="104" fillId="0" borderId="0">
      <alignment vertical="center"/>
    </xf>
    <xf numFmtId="166" fontId="23" fillId="0" borderId="0"/>
    <xf numFmtId="166" fontId="33" fillId="0" borderId="0"/>
    <xf numFmtId="166" fontId="33" fillId="0" borderId="0"/>
    <xf numFmtId="166" fontId="32" fillId="0" borderId="0"/>
    <xf numFmtId="166" fontId="32" fillId="0" borderId="0"/>
    <xf numFmtId="166" fontId="32" fillId="0" borderId="0"/>
    <xf numFmtId="166" fontId="104" fillId="0" borderId="0">
      <alignment vertical="center"/>
    </xf>
    <xf numFmtId="166" fontId="104" fillId="0" borderId="0">
      <alignment vertical="center"/>
    </xf>
    <xf numFmtId="166" fontId="23" fillId="0" borderId="0"/>
    <xf numFmtId="166" fontId="23" fillId="0" borderId="0"/>
    <xf numFmtId="166" fontId="23" fillId="0" borderId="0"/>
    <xf numFmtId="166" fontId="33" fillId="0" borderId="0"/>
    <xf numFmtId="166" fontId="33"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8" fillId="0" borderId="0"/>
    <xf numFmtId="166" fontId="21" fillId="0" borderId="0">
      <alignment horizontal="center" vertical="center"/>
    </xf>
    <xf numFmtId="166" fontId="32" fillId="0" borderId="0"/>
    <xf numFmtId="166" fontId="32" fillId="0" borderId="0"/>
    <xf numFmtId="166" fontId="21" fillId="0" borderId="0">
      <alignment horizontal="center" vertical="center"/>
    </xf>
    <xf numFmtId="166" fontId="21" fillId="0" borderId="0">
      <alignment horizontal="center" vertical="center"/>
    </xf>
    <xf numFmtId="166" fontId="32" fillId="0" borderId="0"/>
    <xf numFmtId="166" fontId="32" fillId="0" borderId="0"/>
    <xf numFmtId="166" fontId="32" fillId="0" borderId="0"/>
    <xf numFmtId="166" fontId="32" fillId="0" borderId="0"/>
    <xf numFmtId="166" fontId="104" fillId="0" borderId="0">
      <alignment vertical="center"/>
    </xf>
    <xf numFmtId="166" fontId="104" fillId="0" borderId="0">
      <alignment vertical="center"/>
    </xf>
    <xf numFmtId="166" fontId="32" fillId="0" borderId="0"/>
    <xf numFmtId="166" fontId="33" fillId="0" borderId="0"/>
    <xf numFmtId="166" fontId="33" fillId="0" borderId="0"/>
    <xf numFmtId="166" fontId="21" fillId="0" borderId="0">
      <alignment horizontal="center" vertical="center"/>
    </xf>
    <xf numFmtId="166" fontId="21" fillId="0" borderId="0">
      <alignment horizontal="center" vertical="center"/>
    </xf>
    <xf numFmtId="166" fontId="21" fillId="0" borderId="0">
      <alignment horizontal="center" vertical="center"/>
    </xf>
    <xf numFmtId="166" fontId="33" fillId="0" borderId="0"/>
    <xf numFmtId="166" fontId="33" fillId="0" borderId="0"/>
    <xf numFmtId="166" fontId="46" fillId="17" borderId="27" applyProtection="0">
      <alignment vertical="center"/>
    </xf>
    <xf numFmtId="166" fontId="47" fillId="17" borderId="27" applyProtection="0">
      <alignment vertical="center"/>
    </xf>
    <xf numFmtId="166" fontId="48" fillId="17" borderId="27" applyProtection="0">
      <alignment vertical="center"/>
    </xf>
    <xf numFmtId="166" fontId="48" fillId="17" borderId="27" applyProtection="0">
      <alignment vertical="center"/>
    </xf>
    <xf numFmtId="166" fontId="48" fillId="17" borderId="27" applyProtection="0">
      <alignment vertical="center"/>
    </xf>
    <xf numFmtId="166" fontId="48" fillId="17" borderId="27" applyProtection="0">
      <alignment vertical="center"/>
    </xf>
    <xf numFmtId="166" fontId="47" fillId="17" borderId="27" applyProtection="0">
      <alignment vertical="center"/>
    </xf>
    <xf numFmtId="166" fontId="105" fillId="5" borderId="28" applyNumberFormat="0" applyFont="0" applyAlignment="0" applyProtection="0"/>
    <xf numFmtId="166" fontId="105" fillId="5" borderId="28" applyNumberFormat="0" applyFont="0" applyAlignment="0" applyProtection="0"/>
    <xf numFmtId="166" fontId="47" fillId="17" borderId="27" applyProtection="0">
      <alignment vertical="center"/>
    </xf>
    <xf numFmtId="166" fontId="47" fillId="17" borderId="27" applyProtection="0">
      <alignment vertical="center"/>
    </xf>
    <xf numFmtId="166" fontId="46" fillId="17" borderId="27" applyProtection="0">
      <alignment vertical="center"/>
    </xf>
    <xf numFmtId="166" fontId="46" fillId="17" borderId="27" applyProtection="0">
      <alignment vertical="center"/>
    </xf>
    <xf numFmtId="166" fontId="46" fillId="17" borderId="27" applyProtection="0">
      <alignment vertical="center"/>
    </xf>
    <xf numFmtId="166" fontId="46" fillId="17" borderId="27" applyProtection="0">
      <alignment vertical="center"/>
    </xf>
    <xf numFmtId="166" fontId="46" fillId="17" borderId="27" applyProtection="0">
      <alignment vertical="center"/>
    </xf>
    <xf numFmtId="166" fontId="46" fillId="17" borderId="27" applyProtection="0">
      <alignment vertical="center"/>
    </xf>
    <xf numFmtId="166" fontId="46" fillId="17" borderId="27" applyProtection="0">
      <alignment vertical="center"/>
    </xf>
    <xf numFmtId="166" fontId="105" fillId="5" borderId="28" applyNumberFormat="0" applyFont="0" applyAlignment="0" applyProtection="0"/>
    <xf numFmtId="166" fontId="105" fillId="5" borderId="28" applyNumberFormat="0" applyFont="0" applyAlignment="0" applyProtection="0"/>
    <xf numFmtId="166" fontId="46" fillId="17" borderId="27" applyProtection="0">
      <alignment vertical="center"/>
    </xf>
    <xf numFmtId="166" fontId="46" fillId="17" borderId="27" applyProtection="0">
      <alignment vertical="center"/>
    </xf>
    <xf numFmtId="166" fontId="46" fillId="17" borderId="27" applyProtection="0">
      <alignment vertical="center"/>
    </xf>
    <xf numFmtId="166" fontId="21" fillId="17" borderId="28" applyProtection="0">
      <alignment horizontal="center" vertical="center"/>
    </xf>
    <xf numFmtId="166" fontId="21" fillId="17" borderId="28" applyProtection="0">
      <alignment horizontal="center" vertical="center"/>
    </xf>
    <xf numFmtId="166" fontId="32" fillId="5" borderId="28" applyNumberFormat="0" applyFont="0" applyAlignment="0" applyProtection="0"/>
    <xf numFmtId="166" fontId="32" fillId="5" borderId="28" applyNumberFormat="0" applyFont="0" applyAlignment="0" applyProtection="0"/>
    <xf numFmtId="166" fontId="32" fillId="5" borderId="28" applyNumberFormat="0" applyFont="0" applyAlignment="0" applyProtection="0"/>
    <xf numFmtId="166" fontId="32" fillId="5" borderId="28" applyNumberFormat="0" applyFont="0" applyAlignment="0" applyProtection="0"/>
    <xf numFmtId="166" fontId="32" fillId="5" borderId="28" applyNumberFormat="0" applyFont="0" applyAlignment="0" applyProtection="0"/>
    <xf numFmtId="166" fontId="32" fillId="5" borderId="28" applyNumberFormat="0" applyFont="0" applyAlignment="0" applyProtection="0"/>
    <xf numFmtId="166" fontId="32" fillId="5" borderId="28" applyNumberFormat="0" applyFont="0" applyAlignment="0" applyProtection="0"/>
    <xf numFmtId="166" fontId="32" fillId="5" borderId="28" applyNumberFormat="0" applyFont="0" applyAlignment="0" applyProtection="0"/>
    <xf numFmtId="166" fontId="21" fillId="17" borderId="28" applyProtection="0">
      <alignment horizontal="center" vertical="center"/>
    </xf>
    <xf numFmtId="166" fontId="21" fillId="17" borderId="28" applyProtection="0">
      <alignment horizontal="center" vertical="center"/>
    </xf>
    <xf numFmtId="166" fontId="106" fillId="61" borderId="29" applyProtection="0">
      <alignment vertical="center"/>
    </xf>
    <xf numFmtId="166" fontId="107" fillId="62" borderId="29" applyProtection="0">
      <alignment vertical="center"/>
    </xf>
    <xf numFmtId="166" fontId="107" fillId="62" borderId="29" applyProtection="0">
      <alignment vertical="center"/>
    </xf>
    <xf numFmtId="166" fontId="106"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6" fillId="61" borderId="29" applyProtection="0">
      <alignment vertical="center"/>
    </xf>
    <xf numFmtId="166" fontId="106" fillId="61"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8" fillId="62"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2"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6" fillId="61" borderId="29" applyProtection="0">
      <alignment vertical="center"/>
    </xf>
    <xf numFmtId="166" fontId="107" fillId="31" borderId="29" applyProtection="0">
      <alignment horizontal="center" vertical="center"/>
    </xf>
    <xf numFmtId="166" fontId="106" fillId="31" borderId="29" applyProtection="0">
      <alignment horizontal="center" vertical="center"/>
    </xf>
    <xf numFmtId="166" fontId="13" fillId="32" borderId="2" applyNumberFormat="0" applyAlignment="0" applyProtection="0"/>
    <xf numFmtId="166" fontId="13" fillId="32" borderId="2" applyNumberFormat="0" applyAlignment="0" applyProtection="0"/>
    <xf numFmtId="166" fontId="13" fillId="32" borderId="2" applyNumberFormat="0" applyAlignment="0" applyProtection="0"/>
    <xf numFmtId="166" fontId="13" fillId="32" borderId="2" applyNumberFormat="0" applyAlignment="0" applyProtection="0"/>
    <xf numFmtId="166" fontId="106" fillId="31" borderId="29" applyProtection="0">
      <alignment horizontal="center" vertical="center"/>
    </xf>
    <xf numFmtId="166" fontId="107" fillId="31" borderId="29" applyProtection="0">
      <alignment horizontal="center" vertical="center"/>
    </xf>
    <xf numFmtId="166" fontId="13" fillId="32" borderId="2" applyNumberFormat="0" applyAlignment="0" applyProtection="0"/>
    <xf numFmtId="166" fontId="13" fillId="32" borderId="2" applyNumberFormat="0" applyAlignment="0" applyProtection="0"/>
    <xf numFmtId="166" fontId="13" fillId="32" borderId="2" applyNumberFormat="0" applyAlignment="0" applyProtection="0"/>
    <xf numFmtId="166" fontId="13" fillId="32" borderId="2" applyNumberFormat="0" applyAlignment="0" applyProtection="0"/>
    <xf numFmtId="166" fontId="13" fillId="32" borderId="2" applyNumberFormat="0" applyAlignment="0" applyProtection="0"/>
    <xf numFmtId="166" fontId="13" fillId="32" borderId="2" applyNumberFormat="0" applyAlignment="0" applyProtection="0"/>
    <xf numFmtId="166" fontId="109" fillId="0" borderId="0" applyNumberFormat="0" applyFill="0" applyBorder="0" applyAlignment="0" applyProtection="0"/>
    <xf numFmtId="9" fontId="23" fillId="0" borderId="0" applyFill="0" applyBorder="0" applyAlignment="0" applyProtection="0"/>
    <xf numFmtId="9" fontId="23" fillId="0" borderId="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23" fillId="0" borderId="0" applyFill="0" applyBorder="0" applyAlignment="0" applyProtection="0"/>
    <xf numFmtId="9" fontId="23" fillId="0" borderId="0" applyFill="0" applyBorder="0" applyAlignment="0" applyProtection="0"/>
    <xf numFmtId="9" fontId="23" fillId="0" borderId="0" applyFill="0" applyBorder="0" applyAlignment="0" applyProtection="0"/>
    <xf numFmtId="166" fontId="110" fillId="0" borderId="0" applyNumberFormat="0" applyFill="0" applyBorder="0" applyAlignment="0" applyProtection="0"/>
    <xf numFmtId="166" fontId="110" fillId="0" borderId="0" applyFill="0" applyBorder="0" applyProtection="0">
      <alignment horizontal="center" vertical="center"/>
    </xf>
    <xf numFmtId="166" fontId="110" fillId="0" borderId="0" applyFill="0" applyBorder="0" applyProtection="0">
      <alignment horizontal="center" vertical="center"/>
    </xf>
    <xf numFmtId="166" fontId="111" fillId="0" borderId="0" applyNumberFormat="0" applyFill="0" applyBorder="0" applyAlignment="0" applyProtection="0"/>
    <xf numFmtId="166" fontId="111" fillId="0" borderId="0" applyFill="0" applyBorder="0" applyProtection="0">
      <alignment horizontal="center" vertical="center"/>
    </xf>
    <xf numFmtId="166" fontId="111" fillId="0" borderId="0" applyNumberFormat="0" applyFill="0" applyBorder="0" applyAlignment="0" applyProtection="0"/>
    <xf numFmtId="166" fontId="111" fillId="0" borderId="0" applyFill="0" applyBorder="0" applyProtection="0">
      <alignment horizontal="center" vertical="center"/>
    </xf>
    <xf numFmtId="166" fontId="112"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2"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3"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Fill="0" applyBorder="0" applyProtection="0">
      <alignment horizontal="center" vertical="center"/>
    </xf>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NumberFormat="0" applyFill="0" applyBorder="0" applyAlignment="0" applyProtection="0"/>
    <xf numFmtId="166" fontId="111" fillId="0" borderId="0" applyFill="0" applyBorder="0" applyProtection="0">
      <alignment horizontal="center" vertical="center"/>
    </xf>
    <xf numFmtId="166" fontId="110" fillId="0" borderId="0" applyNumberFormat="0" applyFill="0" applyBorder="0" applyAlignment="0" applyProtection="0"/>
    <xf numFmtId="166" fontId="110" fillId="0" borderId="0" applyFill="0" applyBorder="0" applyProtection="0">
      <alignment horizontal="center" vertical="center"/>
    </xf>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Fill="0" applyBorder="0" applyProtection="0">
      <alignment horizontal="center" vertical="center"/>
    </xf>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Fill="0" applyBorder="0" applyProtection="0">
      <alignment horizontal="center" vertical="center"/>
    </xf>
    <xf numFmtId="166" fontId="110" fillId="0" borderId="0" applyNumberFormat="0" applyFill="0" applyBorder="0" applyAlignment="0" applyProtection="0"/>
    <xf numFmtId="166" fontId="110" fillId="0" borderId="0" applyFill="0" applyBorder="0" applyProtection="0">
      <alignment horizontal="center" vertical="center"/>
    </xf>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4"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5"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Fill="0" applyBorder="0" applyProtection="0">
      <alignment horizontal="center" vertical="center"/>
    </xf>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NumberFormat="0" applyFill="0" applyBorder="0" applyAlignment="0" applyProtection="0"/>
    <xf numFmtId="166" fontId="110" fillId="0" borderId="0" applyFill="0" applyBorder="0" applyProtection="0">
      <alignment horizontal="center" vertical="center"/>
    </xf>
    <xf numFmtId="166" fontId="116" fillId="0" borderId="0" applyProtection="0">
      <alignment vertical="center"/>
    </xf>
    <xf numFmtId="166" fontId="116"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6" fillId="0" borderId="0" applyProtection="0">
      <alignment vertical="center"/>
    </xf>
    <xf numFmtId="166" fontId="118" fillId="0" borderId="0" applyNumberFormat="0" applyFill="0" applyBorder="0" applyAlignment="0" applyProtection="0"/>
    <xf numFmtId="166" fontId="118" fillId="0" borderId="0" applyNumberFormat="0" applyFill="0" applyBorder="0" applyAlignment="0" applyProtection="0"/>
    <xf numFmtId="166" fontId="116" fillId="0" borderId="0" applyProtection="0">
      <alignment vertical="center"/>
    </xf>
    <xf numFmtId="166" fontId="116"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8" fillId="0" borderId="0" applyNumberFormat="0" applyFill="0" applyBorder="0" applyAlignment="0" applyProtection="0"/>
    <xf numFmtId="166" fontId="118" fillId="0" borderId="0" applyNumberFormat="0" applyFill="0" applyBorder="0" applyAlignment="0" applyProtection="0"/>
    <xf numFmtId="166" fontId="117" fillId="0" borderId="0" applyProtection="0">
      <alignment vertical="center"/>
    </xf>
    <xf numFmtId="166" fontId="117" fillId="0" borderId="0" applyProtection="0">
      <alignment vertical="center"/>
    </xf>
    <xf numFmtId="166" fontId="117" fillId="0" borderId="0" applyProtection="0">
      <alignment vertical="center"/>
    </xf>
    <xf numFmtId="166" fontId="116" fillId="0" borderId="0" applyProtection="0">
      <alignment vertical="center"/>
    </xf>
    <xf numFmtId="166" fontId="116" fillId="0" borderId="0" applyProtection="0">
      <alignment vertical="center"/>
    </xf>
    <xf numFmtId="166" fontId="116" fillId="0" borderId="0" applyProtection="0">
      <alignment vertical="center"/>
    </xf>
    <xf numFmtId="166" fontId="118" fillId="0" borderId="0" applyNumberFormat="0" applyFill="0" applyBorder="0" applyAlignment="0" applyProtection="0"/>
    <xf numFmtId="166" fontId="118" fillId="0" borderId="0" applyNumberFormat="0" applyFill="0" applyBorder="0" applyAlignment="0" applyProtection="0"/>
    <xf numFmtId="166" fontId="116" fillId="0" borderId="0" applyProtection="0">
      <alignment vertical="center"/>
    </xf>
    <xf numFmtId="166" fontId="116" fillId="0" borderId="0" applyProtection="0">
      <alignment vertical="center"/>
    </xf>
    <xf numFmtId="166" fontId="119" fillId="0" borderId="0" applyProtection="0">
      <alignment vertical="center"/>
    </xf>
    <xf numFmtId="166" fontId="119" fillId="0" borderId="0" applyProtection="0">
      <alignment vertical="center"/>
    </xf>
    <xf numFmtId="166" fontId="120" fillId="0" borderId="0" applyNumberFormat="0" applyFill="0" applyBorder="0" applyAlignment="0" applyProtection="0"/>
    <xf numFmtId="166" fontId="118" fillId="0" borderId="0" applyNumberFormat="0" applyFill="0" applyBorder="0" applyAlignment="0" applyProtection="0"/>
    <xf numFmtId="166" fontId="118" fillId="0" borderId="0" applyNumberFormat="0" applyFill="0" applyBorder="0" applyAlignment="0" applyProtection="0"/>
    <xf numFmtId="166" fontId="120" fillId="0" borderId="0" applyNumberFormat="0" applyFill="0" applyBorder="0" applyAlignment="0" applyProtection="0"/>
    <xf numFmtId="166" fontId="120" fillId="0" borderId="0" applyNumberFormat="0" applyFill="0" applyBorder="0" applyAlignment="0" applyProtection="0"/>
    <xf numFmtId="166" fontId="120" fillId="0" borderId="0" applyNumberFormat="0" applyFill="0" applyBorder="0" applyAlignment="0" applyProtection="0"/>
    <xf numFmtId="166" fontId="21" fillId="67" borderId="0" applyProtection="0">
      <alignment horizontal="center" vertical="center"/>
    </xf>
    <xf numFmtId="166" fontId="22"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2" fillId="67" borderId="0" applyProtection="0">
      <alignment horizontal="center" vertical="center"/>
    </xf>
    <xf numFmtId="166" fontId="22" fillId="67" borderId="0" applyProtection="0">
      <alignment horizontal="center" vertical="center"/>
    </xf>
    <xf numFmtId="166" fontId="22"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2" fillId="67" borderId="0" applyProtection="0">
      <alignment horizontal="center" vertical="center"/>
    </xf>
    <xf numFmtId="166" fontId="22" fillId="67" borderId="0" applyProtection="0">
      <alignment horizontal="center" vertical="center"/>
    </xf>
    <xf numFmtId="166" fontId="22"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21" fillId="67" borderId="0" applyProtection="0">
      <alignment horizontal="center" vertical="center"/>
    </xf>
    <xf numFmtId="166" fontId="121" fillId="0" borderId="30" applyProtection="0">
      <alignment vertical="center"/>
    </xf>
    <xf numFmtId="166" fontId="121"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1" fillId="0" borderId="30" applyProtection="0">
      <alignment vertical="center"/>
    </xf>
    <xf numFmtId="166" fontId="121" fillId="0" borderId="30" applyProtection="0">
      <alignment vertical="center"/>
    </xf>
    <xf numFmtId="166" fontId="121"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2" fillId="0" borderId="30" applyProtection="0">
      <alignment vertical="center"/>
    </xf>
    <xf numFmtId="166" fontId="121" fillId="0" borderId="30" applyProtection="0">
      <alignment vertical="center"/>
    </xf>
    <xf numFmtId="166" fontId="121" fillId="0" borderId="30" applyProtection="0">
      <alignment vertical="center"/>
    </xf>
    <xf numFmtId="166" fontId="121" fillId="0" borderId="30" applyProtection="0">
      <alignment vertical="center"/>
    </xf>
    <xf numFmtId="166" fontId="121" fillId="0" borderId="30" applyProtection="0">
      <alignment vertical="center"/>
    </xf>
    <xf numFmtId="166" fontId="121" fillId="0" borderId="30" applyProtection="0">
      <alignment vertical="center"/>
    </xf>
    <xf numFmtId="166" fontId="123" fillId="0" borderId="30" applyProtection="0">
      <alignment vertical="center"/>
    </xf>
    <xf numFmtId="166" fontId="123" fillId="0" borderId="30" applyProtection="0">
      <alignment vertical="center"/>
    </xf>
    <xf numFmtId="166" fontId="123" fillId="0" borderId="31" applyFill="0" applyProtection="0">
      <alignment horizontal="center" vertical="center"/>
    </xf>
    <xf numFmtId="166" fontId="121" fillId="0" borderId="31" applyFill="0" applyProtection="0">
      <alignment horizontal="center" vertical="center"/>
    </xf>
    <xf numFmtId="166" fontId="19" fillId="0" borderId="31" applyNumberFormat="0" applyFill="0" applyAlignment="0" applyProtection="0"/>
    <xf numFmtId="166" fontId="19" fillId="0" borderId="31" applyNumberFormat="0" applyFill="0" applyAlignment="0" applyProtection="0"/>
    <xf numFmtId="166" fontId="19" fillId="0" borderId="31" applyNumberFormat="0" applyFill="0" applyAlignment="0" applyProtection="0"/>
    <xf numFmtId="166" fontId="19" fillId="0" borderId="31" applyNumberFormat="0" applyFill="0" applyAlignment="0" applyProtection="0"/>
    <xf numFmtId="166" fontId="121" fillId="0" borderId="31" applyFill="0" applyProtection="0">
      <alignment horizontal="center" vertical="center"/>
    </xf>
    <xf numFmtId="166" fontId="123" fillId="0" borderId="31" applyFill="0" applyProtection="0">
      <alignment horizontal="center" vertical="center"/>
    </xf>
    <xf numFmtId="166" fontId="19" fillId="0" borderId="31" applyNumberFormat="0" applyFill="0" applyAlignment="0" applyProtection="0"/>
    <xf numFmtId="166" fontId="19" fillId="0" borderId="31" applyNumberFormat="0" applyFill="0" applyAlignment="0" applyProtection="0"/>
    <xf numFmtId="166" fontId="19" fillId="0" borderId="31" applyNumberFormat="0" applyFill="0" applyAlignment="0" applyProtection="0"/>
    <xf numFmtId="166" fontId="19" fillId="0" borderId="31" applyNumberFormat="0" applyFill="0" applyAlignment="0" applyProtection="0"/>
    <xf numFmtId="166" fontId="19" fillId="0" borderId="31" applyNumberFormat="0" applyFill="0" applyAlignment="0" applyProtection="0"/>
    <xf numFmtId="166" fontId="19" fillId="0" borderId="31" applyNumberFormat="0" applyFill="0" applyAlignment="0" applyProtection="0"/>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3" fillId="67" borderId="0" applyProtection="0">
      <alignment vertical="center"/>
    </xf>
    <xf numFmtId="166" fontId="26" fillId="67" borderId="0" applyProtection="0">
      <alignment vertical="center"/>
    </xf>
    <xf numFmtId="166" fontId="26" fillId="67" borderId="0" applyProtection="0">
      <alignment vertical="center"/>
    </xf>
    <xf numFmtId="166" fontId="26" fillId="67" borderId="0" applyProtection="0">
      <alignment vertical="center"/>
    </xf>
    <xf numFmtId="166" fontId="26" fillId="67" borderId="0" applyProtection="0">
      <alignment vertical="center"/>
    </xf>
    <xf numFmtId="166" fontId="23" fillId="67" borderId="0" applyProtection="0">
      <alignment vertical="center"/>
    </xf>
    <xf numFmtId="166" fontId="23" fillId="67" borderId="0" applyProtection="0">
      <alignment vertical="center"/>
    </xf>
    <xf numFmtId="166" fontId="23"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54" fillId="65" borderId="0" applyNumberFormat="0" applyBorder="0" applyAlignment="0" applyProtection="0"/>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125" fillId="65" borderId="0" applyNumberFormat="0" applyBorder="0" applyProtection="0">
      <alignment horizontal="left"/>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124" fillId="65" borderId="0" applyNumberFormat="0" applyBorder="0" applyProtection="0">
      <alignment horizontal="left"/>
    </xf>
    <xf numFmtId="166" fontId="124" fillId="65" borderId="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Border="0" applyProtection="0">
      <alignment horizontal="left"/>
    </xf>
    <xf numFmtId="166" fontId="124" fillId="65" borderId="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124" fillId="65" borderId="0" applyNumberFormat="0" applyBorder="0" applyProtection="0">
      <alignment horizontal="left"/>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8" fillId="67" borderId="0" applyProtection="0">
      <alignment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68" borderId="0" applyBorder="0"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66" borderId="32"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21" fillId="44" borderId="32" applyProtection="0">
      <alignment horizontal="center" vertical="center"/>
    </xf>
    <xf numFmtId="166" fontId="126" fillId="0" borderId="0" applyProtection="0">
      <alignment vertical="center"/>
    </xf>
    <xf numFmtId="166" fontId="29"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29" fillId="0" borderId="0" applyProtection="0">
      <alignment vertical="center"/>
    </xf>
    <xf numFmtId="166" fontId="29" fillId="0" borderId="0" applyProtection="0">
      <alignment vertical="center"/>
    </xf>
    <xf numFmtId="166" fontId="29"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29" fillId="0" borderId="0" applyProtection="0">
      <alignment vertical="center"/>
    </xf>
    <xf numFmtId="166" fontId="29" fillId="0" borderId="0" applyProtection="0">
      <alignment vertical="center"/>
    </xf>
    <xf numFmtId="166" fontId="29"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126" fillId="0"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69" borderId="0" applyProtection="0">
      <alignment vertical="center"/>
    </xf>
    <xf numFmtId="166" fontId="28" fillId="69" borderId="0" applyProtection="0">
      <alignment vertical="center"/>
    </xf>
    <xf numFmtId="166" fontId="26" fillId="69" borderId="0" applyProtection="0">
      <alignment vertical="center"/>
    </xf>
    <xf numFmtId="166" fontId="26" fillId="69" borderId="0" applyProtection="0">
      <alignment vertical="center"/>
    </xf>
    <xf numFmtId="166" fontId="26" fillId="69" borderId="0" applyProtection="0">
      <alignment vertical="center"/>
    </xf>
    <xf numFmtId="166" fontId="26"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3" fillId="69" borderId="0" applyProtection="0">
      <alignment vertical="center"/>
    </xf>
    <xf numFmtId="166" fontId="23" fillId="69" borderId="0" applyProtection="0">
      <alignment vertical="center"/>
    </xf>
    <xf numFmtId="166" fontId="23" fillId="69" borderId="0" applyProtection="0">
      <alignment vertical="center"/>
    </xf>
    <xf numFmtId="166" fontId="23"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Fill="0" applyBorder="0" applyProtection="0">
      <alignment horizontal="center" vertical="center"/>
    </xf>
    <xf numFmtId="166" fontId="25" fillId="0" borderId="0" applyFill="0" applyBorder="0" applyProtection="0">
      <alignment horizontal="center" vertical="center"/>
    </xf>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127" fillId="0" borderId="0" applyFill="0" applyBorder="0" applyProtection="0">
      <alignment horizontal="center" vertical="center"/>
    </xf>
    <xf numFmtId="166" fontId="127" fillId="0" borderId="0" applyFill="0" applyBorder="0" applyProtection="0">
      <alignment horizontal="center"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26" borderId="0" applyProtection="0">
      <alignment vertical="center"/>
    </xf>
    <xf numFmtId="166" fontId="28" fillId="26" borderId="0" applyProtection="0">
      <alignment vertical="center"/>
    </xf>
    <xf numFmtId="166" fontId="28" fillId="26" borderId="0" applyProtection="0">
      <alignment vertical="center"/>
    </xf>
    <xf numFmtId="166" fontId="28" fillId="69" borderId="0" applyProtection="0">
      <alignment vertical="center"/>
    </xf>
    <xf numFmtId="166" fontId="28" fillId="69" borderId="0" applyProtection="0">
      <alignment vertical="center"/>
    </xf>
    <xf numFmtId="166" fontId="28" fillId="69"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29" borderId="0" applyProtection="0">
      <alignment vertical="center"/>
    </xf>
    <xf numFmtId="166" fontId="28" fillId="29" borderId="0" applyProtection="0">
      <alignment vertical="center"/>
    </xf>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128" fillId="0" borderId="0" applyNumberFormat="0" applyFill="0" applyBorder="0" applyAlignment="0" applyProtection="0"/>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70" borderId="0" applyProtection="0">
      <alignment vertical="center"/>
    </xf>
    <xf numFmtId="166" fontId="28" fillId="29" borderId="0" applyProtection="0">
      <alignment vertical="center"/>
    </xf>
    <xf numFmtId="166" fontId="28" fillId="29" borderId="0" applyProtection="0">
      <alignment vertical="center"/>
    </xf>
    <xf numFmtId="166" fontId="54" fillId="65" borderId="0" applyNumberFormat="0" applyBorder="0" applyAlignment="0" applyProtection="0"/>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Fill="0" applyBorder="0" applyProtection="0">
      <alignment horizontal="center" vertical="center"/>
    </xf>
    <xf numFmtId="166" fontId="127" fillId="0" borderId="0" applyFill="0" applyBorder="0" applyProtection="0">
      <alignment horizontal="center" vertical="center"/>
    </xf>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NumberFormat="0" applyFill="0" applyBorder="0" applyAlignment="0" applyProtection="0"/>
    <xf numFmtId="166" fontId="127" fillId="0" borderId="0" applyFill="0" applyBorder="0" applyProtection="0">
      <alignment horizontal="center" vertical="center"/>
    </xf>
    <xf numFmtId="166" fontId="127" fillId="0" borderId="0" applyFill="0" applyBorder="0" applyProtection="0">
      <alignment horizontal="center"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5" fillId="0" borderId="0" applyNumberFormat="0" applyFill="0" applyBorder="0" applyAlignment="0" applyProtection="0"/>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13" borderId="0" applyProtection="0">
      <alignment vertical="center"/>
    </xf>
    <xf numFmtId="166" fontId="28" fillId="26" borderId="0" applyProtection="0">
      <alignment vertical="center"/>
    </xf>
    <xf numFmtId="166" fontId="28" fillId="26" borderId="0" applyProtection="0">
      <alignment vertical="center"/>
    </xf>
    <xf numFmtId="166" fontId="28" fillId="26" borderId="0" applyProtection="0">
      <alignment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Border="0" applyProtection="0">
      <alignment horizontal="center" vertical="center"/>
    </xf>
    <xf numFmtId="166" fontId="28" fillId="54" borderId="0" applyBorder="0" applyProtection="0">
      <alignment horizontal="center" vertical="center"/>
    </xf>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NumberFormat="0" applyBorder="0" applyAlignment="0" applyProtection="0"/>
    <xf numFmtId="166" fontId="28" fillId="54" borderId="0" applyBorder="0" applyProtection="0">
      <alignment horizontal="center" vertical="center"/>
    </xf>
    <xf numFmtId="166" fontId="28" fillId="54" borderId="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9" fillId="0" borderId="0" applyFill="0" applyBorder="0" applyProtection="0">
      <alignment horizontal="center" vertical="center"/>
    </xf>
    <xf numFmtId="166" fontId="126"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126" fillId="0" borderId="0" applyFill="0" applyBorder="0" applyProtection="0">
      <alignment horizontal="center" vertical="center"/>
    </xf>
    <xf numFmtId="166" fontId="21" fillId="15" borderId="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NumberFormat="0" applyBorder="0" applyAlignment="0" applyProtection="0"/>
    <xf numFmtId="166" fontId="54" fillId="67" borderId="0" applyBorder="0" applyProtection="0">
      <alignment horizontal="center" vertical="center"/>
    </xf>
    <xf numFmtId="166" fontId="54" fillId="67"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NumberFormat="0" applyBorder="0" applyAlignment="0" applyProtection="0"/>
    <xf numFmtId="166" fontId="54" fillId="65" borderId="0" applyBorder="0" applyProtection="0">
      <alignment horizontal="center" vertical="center"/>
    </xf>
    <xf numFmtId="166" fontId="54" fillId="6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15" borderId="0" applyBorder="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21" fillId="0" borderId="32" applyFill="0" applyProtection="0">
      <alignment horizontal="center" vertical="center"/>
    </xf>
    <xf numFmtId="166" fontId="50" fillId="0" borderId="0" applyProtection="0">
      <alignment vertical="center"/>
    </xf>
    <xf numFmtId="166" fontId="5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50" fillId="0" borderId="0" applyProtection="0">
      <alignment vertical="center"/>
    </xf>
    <xf numFmtId="166" fontId="50" fillId="0" borderId="0" applyProtection="0">
      <alignment vertical="center"/>
    </xf>
    <xf numFmtId="166" fontId="5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130" fillId="0" borderId="0" applyProtection="0">
      <alignment vertical="center"/>
    </xf>
    <xf numFmtId="166" fontId="50" fillId="0" borderId="0" applyProtection="0">
      <alignment vertical="center"/>
    </xf>
    <xf numFmtId="166" fontId="50" fillId="0" borderId="0" applyProtection="0">
      <alignment vertical="center"/>
    </xf>
    <xf numFmtId="166" fontId="50" fillId="0" borderId="0" applyProtection="0">
      <alignment vertical="center"/>
    </xf>
    <xf numFmtId="166" fontId="50" fillId="0" borderId="0" applyProtection="0">
      <alignment vertical="center"/>
    </xf>
    <xf numFmtId="166" fontId="50" fillId="0" borderId="0" applyProtection="0">
      <alignment vertical="center"/>
    </xf>
    <xf numFmtId="166" fontId="131" fillId="0" borderId="0" applyProtection="0">
      <alignment vertical="center"/>
    </xf>
    <xf numFmtId="166" fontId="131" fillId="0" borderId="0" applyProtection="0">
      <alignment vertical="center"/>
    </xf>
    <xf numFmtId="166" fontId="131" fillId="0" borderId="0" applyFill="0" applyBorder="0" applyProtection="0">
      <alignment horizontal="center" vertical="center"/>
    </xf>
    <xf numFmtId="166" fontId="50" fillId="0" borderId="0" applyFill="0" applyBorder="0" applyProtection="0">
      <alignment horizontal="center" vertical="center"/>
    </xf>
    <xf numFmtId="166" fontId="17" fillId="0" borderId="0" applyNumberFormat="0" applyFill="0" applyBorder="0" applyAlignment="0" applyProtection="0"/>
    <xf numFmtId="166" fontId="17" fillId="0" borderId="0" applyNumberFormat="0" applyFill="0" applyBorder="0" applyAlignment="0" applyProtection="0"/>
    <xf numFmtId="166" fontId="17" fillId="0" borderId="0" applyNumberFormat="0" applyFill="0" applyBorder="0" applyAlignment="0" applyProtection="0"/>
    <xf numFmtId="166" fontId="17" fillId="0" borderId="0" applyNumberFormat="0" applyFill="0" applyBorder="0" applyAlignment="0" applyProtection="0"/>
    <xf numFmtId="166" fontId="50" fillId="0" borderId="0" applyFill="0" applyBorder="0" applyProtection="0">
      <alignment horizontal="center" vertical="center"/>
    </xf>
    <xf numFmtId="166" fontId="131" fillId="0" borderId="0" applyFill="0" applyBorder="0" applyProtection="0">
      <alignment horizontal="center" vertical="center"/>
    </xf>
    <xf numFmtId="166" fontId="17" fillId="0" borderId="0" applyNumberFormat="0" applyFill="0" applyBorder="0" applyAlignment="0" applyProtection="0"/>
    <xf numFmtId="166" fontId="17" fillId="0" borderId="0" applyNumberFormat="0" applyFill="0" applyBorder="0" applyAlignment="0" applyProtection="0"/>
    <xf numFmtId="166" fontId="17" fillId="0" borderId="0" applyNumberFormat="0" applyFill="0" applyBorder="0" applyAlignment="0" applyProtection="0"/>
    <xf numFmtId="166" fontId="17" fillId="0" borderId="0" applyNumberFormat="0" applyFill="0" applyBorder="0" applyAlignment="0" applyProtection="0"/>
    <xf numFmtId="166" fontId="17" fillId="0" borderId="0" applyNumberFormat="0" applyFill="0" applyBorder="0" applyAlignment="0" applyProtection="0"/>
    <xf numFmtId="166" fontId="17" fillId="0" borderId="0" applyNumberFormat="0" applyFill="0" applyBorder="0" applyAlignment="0" applyProtection="0"/>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95"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48" fillId="0" borderId="0">
      <alignment vertical="center"/>
    </xf>
    <xf numFmtId="166" fontId="95" fillId="0" borderId="0">
      <alignment vertical="center"/>
    </xf>
    <xf numFmtId="166" fontId="95" fillId="0" borderId="0">
      <alignment vertical="center"/>
    </xf>
    <xf numFmtId="166" fontId="47" fillId="0" borderId="0">
      <alignment vertical="center"/>
    </xf>
    <xf numFmtId="166" fontId="47" fillId="0" borderId="0">
      <alignment vertical="center"/>
    </xf>
    <xf numFmtId="166" fontId="47"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95" fillId="0" borderId="0">
      <alignment vertical="center"/>
    </xf>
    <xf numFmtId="166" fontId="101" fillId="0" borderId="0"/>
    <xf numFmtId="166" fontId="101" fillId="0" borderId="0"/>
    <xf numFmtId="166" fontId="101" fillId="0" borderId="0"/>
    <xf numFmtId="166" fontId="132" fillId="0" borderId="0"/>
    <xf numFmtId="166" fontId="132" fillId="0" borderId="0"/>
    <xf numFmtId="166" fontId="132" fillId="0" borderId="0"/>
    <xf numFmtId="166" fontId="132" fillId="0" borderId="0"/>
    <xf numFmtId="166" fontId="132" fillId="0" borderId="0"/>
    <xf numFmtId="166" fontId="132" fillId="0" borderId="0"/>
    <xf numFmtId="166" fontId="132" fillId="0" borderId="0"/>
    <xf numFmtId="166" fontId="132" fillId="0" borderId="0"/>
    <xf numFmtId="166" fontId="132" fillId="0" borderId="0"/>
    <xf numFmtId="166" fontId="132" fillId="0" borderId="0"/>
    <xf numFmtId="166" fontId="132"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33" fillId="0" borderId="0"/>
    <xf numFmtId="166" fontId="133" fillId="0" borderId="0"/>
    <xf numFmtId="166" fontId="133" fillId="0" borderId="0"/>
    <xf numFmtId="166" fontId="133" fillId="0" borderId="0"/>
    <xf numFmtId="166" fontId="133" fillId="0" borderId="0"/>
    <xf numFmtId="166" fontId="133" fillId="0" borderId="0"/>
    <xf numFmtId="166" fontId="133" fillId="0" borderId="0"/>
    <xf numFmtId="166" fontId="133" fillId="0" borderId="0"/>
    <xf numFmtId="166" fontId="133" fillId="0" borderId="0"/>
    <xf numFmtId="166" fontId="133" fillId="0" borderId="0"/>
    <xf numFmtId="166" fontId="133"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01"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5"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6"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4" fillId="0" borderId="0"/>
    <xf numFmtId="166" fontId="137" fillId="0" borderId="0" applyProtection="0">
      <alignment vertical="center"/>
    </xf>
    <xf numFmtId="166" fontId="138"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8" fillId="0" borderId="0" applyProtection="0">
      <alignment vertical="center"/>
    </xf>
    <xf numFmtId="166" fontId="138" fillId="0" borderId="0" applyProtection="0">
      <alignment vertical="center"/>
    </xf>
    <xf numFmtId="166" fontId="137"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9" fillId="0" borderId="0" applyProtection="0">
      <alignment vertical="center"/>
    </xf>
    <xf numFmtId="166" fontId="137" fillId="0" borderId="0" applyProtection="0">
      <alignment vertical="center"/>
    </xf>
    <xf numFmtId="166" fontId="137" fillId="0" borderId="0" applyProtection="0">
      <alignment vertical="center"/>
    </xf>
    <xf numFmtId="166" fontId="138" fillId="0" borderId="0" applyProtection="0">
      <alignment vertical="center"/>
    </xf>
    <xf numFmtId="166" fontId="138" fillId="0" borderId="0" applyProtection="0">
      <alignment vertical="center"/>
    </xf>
    <xf numFmtId="166" fontId="138"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137" fillId="0" borderId="0" applyProtection="0">
      <alignment vertical="center"/>
    </xf>
    <xf numFmtId="166" fontId="95" fillId="0" borderId="0">
      <alignment vertical="center"/>
    </xf>
    <xf numFmtId="166" fontId="21" fillId="0" borderId="0">
      <alignment horizontal="center" vertical="center"/>
    </xf>
    <xf numFmtId="166" fontId="21" fillId="0" borderId="0">
      <alignment horizontal="center" vertical="center"/>
    </xf>
    <xf numFmtId="166" fontId="8" fillId="0" borderId="0"/>
    <xf numFmtId="43" fontId="142" fillId="0" borderId="0" applyFill="0" applyBorder="0" applyAlignment="0" applyProtection="0"/>
    <xf numFmtId="166" fontId="31" fillId="0" borderId="0" applyFill="0" applyBorder="0" applyProtection="0">
      <alignment horizontal="center" vertical="center"/>
    </xf>
    <xf numFmtId="166" fontId="30" fillId="0" borderId="0" applyNumberFormat="0" applyFill="0" applyBorder="0" applyAlignment="0" applyProtection="0">
      <alignment horizontal="center" vertical="center"/>
    </xf>
    <xf numFmtId="166" fontId="21" fillId="0" borderId="0">
      <alignment horizontal="center" vertical="center"/>
    </xf>
    <xf numFmtId="166" fontId="30" fillId="0" borderId="0" applyNumberFormat="0" applyFill="0" applyBorder="0" applyAlignment="0" applyProtection="0">
      <alignment horizontal="center" vertical="center"/>
    </xf>
    <xf numFmtId="166" fontId="2" fillId="0" borderId="0"/>
  </cellStyleXfs>
  <cellXfs count="128">
    <xf numFmtId="166" fontId="0" fillId="0" borderId="0" xfId="0">
      <alignment horizontal="center" vertical="center"/>
    </xf>
    <xf numFmtId="166" fontId="96" fillId="0" borderId="5" xfId="12413" applyNumberFormat="1" applyFont="1" applyFill="1" applyBorder="1" applyAlignment="1">
      <alignment horizontal="left" vertical="top" wrapText="1"/>
    </xf>
    <xf numFmtId="166" fontId="96" fillId="0" borderId="5" xfId="12413" applyNumberFormat="1" applyFont="1" applyFill="1" applyBorder="1" applyAlignment="1">
      <alignment horizontal="left" vertical="top"/>
    </xf>
    <xf numFmtId="166" fontId="140" fillId="0" borderId="0" xfId="0" applyFont="1" applyAlignment="1">
      <alignment horizontal="left" vertical="top"/>
    </xf>
    <xf numFmtId="166" fontId="27" fillId="0" borderId="0" xfId="0" applyFont="1" applyAlignment="1">
      <alignment horizontal="left" vertical="top"/>
    </xf>
    <xf numFmtId="166" fontId="140" fillId="15" borderId="5" xfId="0" applyFont="1" applyFill="1" applyBorder="1" applyAlignment="1">
      <alignment horizontal="left" vertical="top"/>
    </xf>
    <xf numFmtId="166" fontId="140" fillId="15" borderId="5" xfId="0" applyFont="1" applyFill="1" applyBorder="1" applyAlignment="1">
      <alignment horizontal="left" vertical="top" wrapText="1"/>
    </xf>
    <xf numFmtId="49" fontId="140" fillId="15" borderId="5" xfId="0" applyNumberFormat="1" applyFont="1" applyFill="1" applyBorder="1" applyAlignment="1">
      <alignment horizontal="left" vertical="top" wrapText="1"/>
    </xf>
    <xf numFmtId="166" fontId="140" fillId="16" borderId="5" xfId="0" applyFont="1" applyFill="1" applyBorder="1" applyAlignment="1">
      <alignment horizontal="left" vertical="top" wrapText="1"/>
    </xf>
    <xf numFmtId="14" fontId="140" fillId="15" borderId="5" xfId="0" applyNumberFormat="1" applyFont="1" applyFill="1" applyBorder="1" applyAlignment="1">
      <alignment horizontal="left" vertical="top" wrapText="1"/>
    </xf>
    <xf numFmtId="166" fontId="140" fillId="0" borderId="0" xfId="12413" applyFont="1" applyAlignment="1">
      <alignment horizontal="left" vertical="top" wrapText="1"/>
    </xf>
    <xf numFmtId="3" fontId="96" fillId="0" borderId="0" xfId="12413" applyNumberFormat="1" applyFont="1" applyAlignment="1">
      <alignment horizontal="left" vertical="top" wrapText="1"/>
    </xf>
    <xf numFmtId="166" fontId="96" fillId="0" borderId="0" xfId="12413" applyFont="1" applyAlignment="1">
      <alignment horizontal="left" vertical="top" wrapText="1"/>
    </xf>
    <xf numFmtId="166" fontId="96" fillId="0" borderId="5" xfId="12413" applyFont="1" applyBorder="1" applyAlignment="1">
      <alignment horizontal="left" vertical="top" wrapText="1"/>
    </xf>
    <xf numFmtId="14" fontId="96" fillId="0" borderId="5" xfId="12413" applyNumberFormat="1" applyFont="1" applyBorder="1" applyAlignment="1">
      <alignment horizontal="left" vertical="top" wrapText="1"/>
    </xf>
    <xf numFmtId="49" fontId="140" fillId="13" borderId="5" xfId="12413" applyNumberFormat="1" applyFont="1" applyFill="1" applyBorder="1" applyAlignment="1">
      <alignment horizontal="left" vertical="top" wrapText="1"/>
    </xf>
    <xf numFmtId="14" fontId="140" fillId="13" borderId="5" xfId="12413" applyNumberFormat="1" applyFont="1" applyFill="1" applyBorder="1" applyAlignment="1">
      <alignment horizontal="left" vertical="top" wrapText="1"/>
    </xf>
    <xf numFmtId="49" fontId="140" fillId="0" borderId="5" xfId="12413" applyNumberFormat="1" applyFont="1" applyFill="1" applyBorder="1" applyAlignment="1">
      <alignment horizontal="left" vertical="top" wrapText="1"/>
    </xf>
    <xf numFmtId="166" fontId="96" fillId="0" borderId="5" xfId="12413" applyFont="1" applyFill="1" applyBorder="1" applyAlignment="1">
      <alignment horizontal="left" vertical="top" wrapText="1"/>
    </xf>
    <xf numFmtId="166" fontId="96" fillId="0" borderId="0" xfId="12413" applyFont="1" applyFill="1" applyAlignment="1">
      <alignment horizontal="left" vertical="top" wrapText="1"/>
    </xf>
    <xf numFmtId="3" fontId="96" fillId="0" borderId="5" xfId="12413" applyNumberFormat="1" applyFont="1" applyBorder="1" applyAlignment="1">
      <alignment horizontal="left" vertical="top"/>
    </xf>
    <xf numFmtId="166" fontId="96" fillId="0" borderId="10" xfId="12413" applyFont="1" applyBorder="1" applyAlignment="1">
      <alignment horizontal="left" vertical="top" wrapText="1"/>
    </xf>
    <xf numFmtId="166" fontId="96" fillId="0" borderId="5" xfId="12413" quotePrefix="1" applyFont="1" applyBorder="1" applyAlignment="1">
      <alignment horizontal="left" vertical="top" wrapText="1"/>
    </xf>
    <xf numFmtId="166" fontId="96" fillId="0" borderId="5" xfId="12413" applyFont="1" applyBorder="1" applyAlignment="1">
      <alignment horizontal="left" vertical="top"/>
    </xf>
    <xf numFmtId="166" fontId="7" fillId="0" borderId="5" xfId="12414" applyFont="1" applyBorder="1" applyAlignment="1">
      <alignment horizontal="left" vertical="top" wrapText="1"/>
    </xf>
    <xf numFmtId="166" fontId="7" fillId="0" borderId="5" xfId="12414" applyFont="1" applyFill="1" applyBorder="1" applyAlignment="1">
      <alignment horizontal="left" vertical="top" wrapText="1"/>
    </xf>
    <xf numFmtId="166" fontId="96" fillId="0" borderId="5" xfId="12413" applyFont="1" applyBorder="1" applyAlignment="1">
      <alignment horizontal="left" vertical="top"/>
    </xf>
    <xf numFmtId="166" fontId="6" fillId="0" borderId="5" xfId="12414" applyFont="1" applyBorder="1" applyAlignment="1">
      <alignment horizontal="left" vertical="top" wrapText="1"/>
    </xf>
    <xf numFmtId="3" fontId="96" fillId="0" borderId="5" xfId="12413" applyNumberFormat="1" applyFont="1" applyBorder="1" applyAlignment="1">
      <alignment horizontal="left" vertical="top" wrapText="1"/>
    </xf>
    <xf numFmtId="166" fontId="5" fillId="0" borderId="5" xfId="12414" applyFont="1" applyBorder="1" applyAlignment="1">
      <alignment horizontal="left" vertical="top" wrapText="1"/>
    </xf>
    <xf numFmtId="166" fontId="151" fillId="0" borderId="5" xfId="12414" applyFont="1" applyBorder="1" applyAlignment="1">
      <alignment horizontal="left" vertical="top" wrapText="1"/>
    </xf>
    <xf numFmtId="166" fontId="96" fillId="0" borderId="0" xfId="12413" applyNumberFormat="1" applyFont="1" applyAlignment="1">
      <alignment horizontal="left" vertical="top"/>
    </xf>
    <xf numFmtId="166" fontId="27" fillId="0" borderId="0" xfId="3962" applyNumberFormat="1" applyFont="1" applyAlignment="1">
      <alignment horizontal="left" vertical="top" wrapText="1"/>
    </xf>
    <xf numFmtId="166" fontId="150" fillId="0" borderId="0" xfId="12413" applyNumberFormat="1" applyFont="1" applyAlignment="1">
      <alignment horizontal="left" vertical="top" wrapText="1"/>
    </xf>
    <xf numFmtId="166" fontId="7" fillId="0" borderId="5" xfId="12414" applyNumberFormat="1" applyFont="1" applyBorder="1" applyAlignment="1">
      <alignment horizontal="left" vertical="top" wrapText="1"/>
    </xf>
    <xf numFmtId="166" fontId="140" fillId="13" borderId="5" xfId="12413" applyNumberFormat="1" applyFont="1" applyFill="1" applyBorder="1" applyAlignment="1">
      <alignment horizontal="left" vertical="top" wrapText="1"/>
    </xf>
    <xf numFmtId="166" fontId="7" fillId="0" borderId="5" xfId="12414" applyNumberFormat="1" applyFont="1" applyFill="1" applyBorder="1" applyAlignment="1">
      <alignment horizontal="left" vertical="top" wrapText="1"/>
    </xf>
    <xf numFmtId="166" fontId="96" fillId="0" borderId="0" xfId="12413" applyNumberFormat="1" applyFont="1" applyAlignment="1">
      <alignment horizontal="left" vertical="top" wrapText="1"/>
    </xf>
    <xf numFmtId="49" fontId="140" fillId="74" borderId="5" xfId="12413" applyNumberFormat="1" applyFont="1" applyFill="1" applyBorder="1" applyAlignment="1">
      <alignment horizontal="left" vertical="top"/>
    </xf>
    <xf numFmtId="49" fontId="147" fillId="74" borderId="5" xfId="12413" applyNumberFormat="1" applyFont="1" applyFill="1" applyBorder="1" applyAlignment="1">
      <alignment horizontal="left" vertical="top"/>
    </xf>
    <xf numFmtId="166" fontId="96" fillId="73" borderId="5" xfId="12413" applyFont="1" applyFill="1" applyBorder="1" applyAlignment="1">
      <alignment horizontal="left" vertical="top"/>
    </xf>
    <xf numFmtId="166" fontId="96" fillId="73" borderId="5" xfId="12413" applyFont="1" applyFill="1" applyBorder="1" applyAlignment="1">
      <alignment horizontal="left" vertical="top" wrapText="1"/>
    </xf>
    <xf numFmtId="166" fontId="4" fillId="0" borderId="5" xfId="12414" applyFont="1" applyBorder="1" applyAlignment="1">
      <alignment horizontal="left" vertical="top" wrapText="1"/>
    </xf>
    <xf numFmtId="166" fontId="4" fillId="0" borderId="5" xfId="12414" applyFont="1" applyFill="1" applyBorder="1" applyAlignment="1">
      <alignment horizontal="left" vertical="top" wrapText="1"/>
    </xf>
    <xf numFmtId="166" fontId="27" fillId="75" borderId="16" xfId="0" applyNumberFormat="1" applyFont="1" applyFill="1" applyBorder="1" applyAlignment="1">
      <alignment horizontal="left" vertical="top" wrapText="1"/>
    </xf>
    <xf numFmtId="166" fontId="27" fillId="75" borderId="16" xfId="0" applyNumberFormat="1" applyFont="1" applyFill="1" applyBorder="1" applyAlignment="1">
      <alignment horizontal="right" vertical="top" wrapText="1"/>
    </xf>
    <xf numFmtId="166" fontId="27" fillId="0" borderId="5" xfId="0" applyNumberFormat="1" applyFont="1" applyBorder="1" applyAlignment="1">
      <alignment horizontal="right" vertical="top" wrapText="1"/>
    </xf>
    <xf numFmtId="166" fontId="27" fillId="0" borderId="5" xfId="0" applyNumberFormat="1" applyFont="1" applyBorder="1" applyAlignment="1">
      <alignment horizontal="right" vertical="top"/>
    </xf>
    <xf numFmtId="166" fontId="27" fillId="0" borderId="0" xfId="0" applyNumberFormat="1" applyFont="1" applyAlignment="1">
      <alignment horizontal="right" vertical="top"/>
    </xf>
    <xf numFmtId="166" fontId="149" fillId="16" borderId="5" xfId="0" applyFont="1" applyFill="1" applyBorder="1" applyAlignment="1">
      <alignment horizontal="left" vertical="top" wrapText="1"/>
    </xf>
    <xf numFmtId="166" fontId="153" fillId="16" borderId="5" xfId="0" applyFont="1" applyFill="1" applyBorder="1" applyAlignment="1">
      <alignment horizontal="left" vertical="top" wrapText="1"/>
    </xf>
    <xf numFmtId="166" fontId="27" fillId="0" borderId="0" xfId="0" applyNumberFormat="1" applyFont="1" applyAlignment="1">
      <alignment horizontal="left" vertical="top" wrapText="1"/>
    </xf>
    <xf numFmtId="166" fontId="27" fillId="0" borderId="0" xfId="0" applyNumberFormat="1" applyFont="1" applyAlignment="1">
      <alignment horizontal="left" vertical="top"/>
    </xf>
    <xf numFmtId="166" fontId="27" fillId="0" borderId="0" xfId="1" applyNumberFormat="1" applyFont="1" applyAlignment="1">
      <alignment horizontal="left" vertical="top" wrapText="1"/>
    </xf>
    <xf numFmtId="166" fontId="140" fillId="71" borderId="5" xfId="0" applyNumberFormat="1" applyFont="1" applyFill="1" applyBorder="1" applyAlignment="1">
      <alignment horizontal="right" vertical="top"/>
    </xf>
    <xf numFmtId="166" fontId="140" fillId="14" borderId="5" xfId="5" applyNumberFormat="1" applyFont="1" applyFill="1" applyBorder="1" applyAlignment="1">
      <alignment horizontal="left" vertical="top" wrapText="1"/>
    </xf>
    <xf numFmtId="166" fontId="140" fillId="14" borderId="5" xfId="5" applyNumberFormat="1" applyFont="1" applyFill="1" applyBorder="1" applyAlignment="1">
      <alignment horizontal="right" vertical="top" wrapText="1"/>
    </xf>
    <xf numFmtId="166" fontId="140" fillId="0" borderId="0" xfId="0" applyNumberFormat="1" applyFont="1" applyAlignment="1">
      <alignment horizontal="left" vertical="top"/>
    </xf>
    <xf numFmtId="166" fontId="140" fillId="77" borderId="5" xfId="5" applyNumberFormat="1" applyFont="1" applyFill="1" applyBorder="1" applyAlignment="1">
      <alignment horizontal="left" vertical="top" wrapText="1"/>
    </xf>
    <xf numFmtId="166" fontId="140" fillId="77" borderId="5" xfId="5" applyNumberFormat="1" applyFont="1" applyFill="1" applyBorder="1" applyAlignment="1">
      <alignment horizontal="right" vertical="top" wrapText="1"/>
    </xf>
    <xf numFmtId="166" fontId="27" fillId="77" borderId="5" xfId="4" applyNumberFormat="1" applyFont="1" applyFill="1" applyBorder="1" applyAlignment="1">
      <alignment horizontal="left" vertical="top"/>
    </xf>
    <xf numFmtId="166" fontId="27" fillId="77" borderId="5" xfId="0" applyNumberFormat="1" applyFont="1" applyFill="1" applyBorder="1" applyAlignment="1">
      <alignment horizontal="right" vertical="top"/>
    </xf>
    <xf numFmtId="166" fontId="27" fillId="0" borderId="0" xfId="4" applyNumberFormat="1" applyFont="1" applyFill="1" applyAlignment="1">
      <alignment horizontal="left" vertical="top"/>
    </xf>
    <xf numFmtId="166" fontId="96" fillId="0" borderId="0" xfId="0" applyNumberFormat="1" applyFont="1" applyAlignment="1">
      <alignment horizontal="left" vertical="top" wrapText="1"/>
    </xf>
    <xf numFmtId="166" fontId="27" fillId="0" borderId="5" xfId="0" applyNumberFormat="1" applyFont="1" applyFill="1" applyBorder="1" applyAlignment="1">
      <alignment horizontal="right" vertical="top"/>
    </xf>
    <xf numFmtId="166" fontId="27" fillId="0" borderId="5" xfId="0" applyNumberFormat="1" applyFont="1" applyBorder="1" applyAlignment="1">
      <alignment horizontal="left" vertical="top"/>
    </xf>
    <xf numFmtId="166" fontId="27" fillId="77" borderId="0" xfId="0" applyNumberFormat="1" applyFont="1" applyFill="1" applyBorder="1" applyAlignment="1">
      <alignment horizontal="left" vertical="top" wrapText="1"/>
    </xf>
    <xf numFmtId="166" fontId="27" fillId="77" borderId="0" xfId="0" applyNumberFormat="1" applyFont="1" applyFill="1" applyBorder="1" applyAlignment="1">
      <alignment horizontal="left" vertical="top"/>
    </xf>
    <xf numFmtId="166" fontId="0" fillId="77" borderId="0" xfId="0" applyNumberFormat="1" applyFill="1">
      <alignment horizontal="center" vertical="center"/>
    </xf>
    <xf numFmtId="166" fontId="27" fillId="0" borderId="0" xfId="0" applyNumberFormat="1" applyFont="1" applyAlignment="1">
      <alignment horizontal="left" vertical="top" wrapText="1"/>
    </xf>
    <xf numFmtId="166" fontId="27" fillId="0" borderId="0" xfId="0" applyNumberFormat="1" applyFont="1" applyAlignment="1">
      <alignment horizontal="left" vertical="top"/>
    </xf>
    <xf numFmtId="166" fontId="27" fillId="0" borderId="0" xfId="0" applyNumberFormat="1" applyFont="1" applyBorder="1" applyAlignment="1">
      <alignment horizontal="right" vertical="top" wrapText="1"/>
    </xf>
    <xf numFmtId="166" fontId="27" fillId="0" borderId="0" xfId="1" applyNumberFormat="1" applyFont="1" applyAlignment="1">
      <alignment horizontal="left" vertical="top" wrapText="1"/>
    </xf>
    <xf numFmtId="166" fontId="96" fillId="0" borderId="0" xfId="12413" applyNumberFormat="1" applyFont="1" applyAlignment="1">
      <alignment horizontal="left" vertical="top"/>
    </xf>
    <xf numFmtId="166" fontId="27" fillId="0" borderId="0" xfId="3962" applyNumberFormat="1" applyFont="1" applyAlignment="1">
      <alignment horizontal="left" vertical="top" wrapText="1"/>
    </xf>
    <xf numFmtId="166" fontId="150" fillId="0" borderId="0" xfId="0" applyNumberFormat="1" applyFont="1" applyAlignment="1">
      <alignment horizontal="left" vertical="top" wrapText="1"/>
    </xf>
    <xf numFmtId="166" fontId="27" fillId="0" borderId="0" xfId="0" applyNumberFormat="1" applyFont="1" applyAlignment="1">
      <alignment horizontal="right" vertical="top" wrapText="1"/>
    </xf>
    <xf numFmtId="166" fontId="140" fillId="0" borderId="0" xfId="0" applyNumberFormat="1" applyFont="1" applyAlignment="1">
      <alignment horizontal="left" vertical="top"/>
    </xf>
    <xf numFmtId="166" fontId="79" fillId="0" borderId="0" xfId="12419" applyNumberFormat="1" applyFont="1" applyAlignment="1">
      <alignment horizontal="left" vertical="top"/>
    </xf>
    <xf numFmtId="166" fontId="27" fillId="0" borderId="17" xfId="0" applyNumberFormat="1" applyFont="1" applyBorder="1" applyAlignment="1">
      <alignment horizontal="left" vertical="top" wrapText="1"/>
    </xf>
    <xf numFmtId="166" fontId="27" fillId="77" borderId="16" xfId="0" applyNumberFormat="1" applyFont="1" applyFill="1" applyBorder="1" applyAlignment="1">
      <alignment horizontal="left" vertical="top" wrapText="1"/>
    </xf>
    <xf numFmtId="166" fontId="27" fillId="77" borderId="15" xfId="6" applyNumberFormat="1" applyFont="1" applyFill="1" applyBorder="1" applyAlignment="1">
      <alignment horizontal="left" vertical="top" wrapText="1"/>
    </xf>
    <xf numFmtId="166" fontId="148" fillId="0" borderId="11" xfId="0" applyNumberFormat="1" applyFont="1" applyBorder="1" applyAlignment="1">
      <alignment horizontal="left" vertical="top"/>
    </xf>
    <xf numFmtId="166" fontId="154" fillId="0" borderId="11" xfId="0" applyNumberFormat="1" applyFont="1" applyBorder="1" applyAlignment="1">
      <alignment horizontal="right" vertical="top"/>
    </xf>
    <xf numFmtId="166" fontId="96" fillId="0" borderId="0" xfId="0" applyNumberFormat="1" applyFont="1" applyAlignment="1">
      <alignment horizontal="left" vertical="top"/>
    </xf>
    <xf numFmtId="166" fontId="143" fillId="0" borderId="0" xfId="0" applyNumberFormat="1" applyFont="1" applyAlignment="1">
      <alignment horizontal="left" vertical="top"/>
    </xf>
    <xf numFmtId="166" fontId="144" fillId="0" borderId="0" xfId="12419" applyNumberFormat="1" applyFont="1" applyAlignment="1">
      <alignment horizontal="left" vertical="top"/>
    </xf>
    <xf numFmtId="166" fontId="150" fillId="0" borderId="0" xfId="0" applyNumberFormat="1" applyFont="1" applyAlignment="1">
      <alignment horizontal="left" vertical="top" wrapText="1"/>
    </xf>
    <xf numFmtId="166" fontId="140" fillId="19" borderId="8" xfId="0" applyNumberFormat="1" applyFont="1" applyFill="1" applyBorder="1" applyAlignment="1">
      <alignment horizontal="left" vertical="top" wrapText="1"/>
    </xf>
    <xf numFmtId="166" fontId="140" fillId="0" borderId="5" xfId="0" applyNumberFormat="1" applyFont="1" applyBorder="1" applyAlignment="1">
      <alignment horizontal="left" vertical="top" wrapText="1"/>
    </xf>
    <xf numFmtId="166" fontId="27" fillId="18" borderId="5" xfId="0" applyNumberFormat="1" applyFont="1" applyFill="1" applyBorder="1" applyAlignment="1">
      <alignment horizontal="left" vertical="top" wrapText="1"/>
    </xf>
    <xf numFmtId="166" fontId="140" fillId="0" borderId="7" xfId="0" applyNumberFormat="1" applyFont="1" applyBorder="1" applyAlignment="1">
      <alignment horizontal="left" vertical="top" wrapText="1"/>
    </xf>
    <xf numFmtId="166" fontId="140" fillId="0" borderId="9" xfId="0" applyNumberFormat="1" applyFont="1" applyBorder="1" applyAlignment="1">
      <alignment horizontal="left" vertical="top" wrapText="1"/>
    </xf>
    <xf numFmtId="166" fontId="145" fillId="19" borderId="8" xfId="0" applyNumberFormat="1" applyFont="1" applyFill="1" applyBorder="1" applyAlignment="1">
      <alignment horizontal="left" vertical="top" wrapText="1"/>
    </xf>
    <xf numFmtId="166" fontId="145" fillId="0" borderId="5" xfId="0" applyNumberFormat="1" applyFont="1" applyBorder="1" applyAlignment="1">
      <alignment horizontal="left" vertical="top" wrapText="1"/>
    </xf>
    <xf numFmtId="166" fontId="145" fillId="0" borderId="7" xfId="0" applyNumberFormat="1" applyFont="1" applyBorder="1" applyAlignment="1">
      <alignment horizontal="left" vertical="top" wrapText="1"/>
    </xf>
    <xf numFmtId="166" fontId="145" fillId="0" borderId="9" xfId="0" applyNumberFormat="1" applyFont="1" applyBorder="1" applyAlignment="1">
      <alignment horizontal="left" vertical="top" wrapText="1"/>
    </xf>
    <xf numFmtId="166" fontId="146" fillId="19" borderId="8" xfId="0" applyNumberFormat="1" applyFont="1" applyFill="1" applyBorder="1" applyAlignment="1">
      <alignment horizontal="left" vertical="top" wrapText="1"/>
    </xf>
    <xf numFmtId="166" fontId="146" fillId="0" borderId="5" xfId="0" applyNumberFormat="1" applyFont="1" applyBorder="1" applyAlignment="1">
      <alignment horizontal="left" vertical="top" wrapText="1"/>
    </xf>
    <xf numFmtId="166" fontId="141" fillId="0" borderId="0" xfId="0" applyNumberFormat="1" applyFont="1" applyAlignment="1">
      <alignment horizontal="left" vertical="top"/>
    </xf>
    <xf numFmtId="166" fontId="27" fillId="0" borderId="0" xfId="0" quotePrefix="1" applyNumberFormat="1" applyFont="1" applyAlignment="1">
      <alignment horizontal="left" vertical="top"/>
    </xf>
    <xf numFmtId="166" fontId="27" fillId="0" borderId="0" xfId="0" applyNumberFormat="1" applyFont="1" applyBorder="1" applyAlignment="1">
      <alignment horizontal="left" vertical="top"/>
    </xf>
    <xf numFmtId="166" fontId="27" fillId="19" borderId="14" xfId="0" applyNumberFormat="1" applyFont="1" applyFill="1" applyBorder="1" applyAlignment="1">
      <alignment horizontal="left" vertical="top" wrapText="1"/>
    </xf>
    <xf numFmtId="166" fontId="146" fillId="0" borderId="13" xfId="0" applyNumberFormat="1" applyFont="1" applyBorder="1" applyAlignment="1">
      <alignment horizontal="left" vertical="top" wrapText="1"/>
    </xf>
    <xf numFmtId="166" fontId="145" fillId="0" borderId="12" xfId="0" applyNumberFormat="1" applyFont="1" applyBorder="1" applyAlignment="1">
      <alignment horizontal="left" vertical="top" wrapText="1"/>
    </xf>
    <xf numFmtId="166" fontId="145" fillId="0" borderId="36" xfId="0" applyNumberFormat="1" applyFont="1" applyBorder="1" applyAlignment="1">
      <alignment horizontal="left" vertical="top" wrapText="1"/>
    </xf>
    <xf numFmtId="166" fontId="27" fillId="76" borderId="11" xfId="0" applyNumberFormat="1" applyFont="1" applyFill="1" applyBorder="1" applyAlignment="1">
      <alignment horizontal="right" vertical="top" wrapText="1"/>
    </xf>
    <xf numFmtId="166" fontId="27" fillId="76" borderId="33" xfId="0" applyNumberFormat="1" applyFont="1" applyFill="1" applyBorder="1" applyAlignment="1">
      <alignment horizontal="right" vertical="top"/>
    </xf>
    <xf numFmtId="166" fontId="96" fillId="0" borderId="0" xfId="0" applyNumberFormat="1" applyFont="1" applyAlignment="1">
      <alignment horizontal="left" vertical="top"/>
    </xf>
    <xf numFmtId="166" fontId="143" fillId="0" borderId="0" xfId="0" applyNumberFormat="1" applyFont="1" applyAlignment="1">
      <alignment horizontal="left" vertical="top"/>
    </xf>
    <xf numFmtId="166" fontId="140" fillId="72" borderId="5" xfId="0" applyFont="1" applyFill="1" applyBorder="1" applyAlignment="1">
      <alignment horizontal="left" vertical="top" wrapText="1"/>
    </xf>
    <xf numFmtId="166" fontId="96" fillId="77" borderId="5" xfId="12413" applyFont="1" applyFill="1" applyBorder="1" applyAlignment="1">
      <alignment horizontal="left" vertical="top" wrapText="1"/>
    </xf>
    <xf numFmtId="3" fontId="96" fillId="77" borderId="5" xfId="12413" applyNumberFormat="1" applyFont="1" applyFill="1" applyBorder="1" applyAlignment="1">
      <alignment horizontal="left" vertical="top" wrapText="1"/>
    </xf>
    <xf numFmtId="2" fontId="27" fillId="76" borderId="11" xfId="0" applyNumberFormat="1" applyFont="1" applyFill="1" applyBorder="1" applyAlignment="1">
      <alignment horizontal="right" vertical="top" wrapText="1"/>
    </xf>
    <xf numFmtId="166" fontId="3" fillId="0" borderId="5" xfId="12414" applyFont="1" applyFill="1" applyBorder="1" applyAlignment="1">
      <alignment horizontal="left" vertical="top" wrapText="1"/>
    </xf>
    <xf numFmtId="166" fontId="3" fillId="0" borderId="5" xfId="12414" applyFont="1" applyBorder="1" applyAlignment="1">
      <alignment horizontal="left" vertical="top" wrapText="1"/>
    </xf>
    <xf numFmtId="166" fontId="140" fillId="78" borderId="9" xfId="0" applyNumberFormat="1" applyFont="1" applyFill="1" applyBorder="1" applyAlignment="1">
      <alignment horizontal="center" vertical="top"/>
    </xf>
    <xf numFmtId="166" fontId="140" fillId="78" borderId="6" xfId="0" applyNumberFormat="1" applyFont="1" applyFill="1" applyBorder="1" applyAlignment="1">
      <alignment horizontal="center" vertical="top"/>
    </xf>
    <xf numFmtId="166" fontId="147" fillId="17" borderId="5" xfId="0" applyNumberFormat="1" applyFont="1" applyFill="1" applyBorder="1" applyAlignment="1">
      <alignment horizontal="left" vertical="top" wrapText="1"/>
    </xf>
    <xf numFmtId="166" fontId="148" fillId="0" borderId="35" xfId="0" applyNumberFormat="1" applyFont="1" applyBorder="1" applyAlignment="1">
      <alignment horizontal="center" vertical="top"/>
    </xf>
    <xf numFmtId="166" fontId="140" fillId="78" borderId="9" xfId="0" applyNumberFormat="1" applyFont="1" applyFill="1" applyBorder="1" applyAlignment="1">
      <alignment horizontal="center" vertical="top" wrapText="1"/>
    </xf>
    <xf numFmtId="166" fontId="140" fillId="78" borderId="6" xfId="0" applyNumberFormat="1" applyFont="1" applyFill="1" applyBorder="1" applyAlignment="1">
      <alignment horizontal="center" vertical="top" wrapText="1"/>
    </xf>
    <xf numFmtId="166" fontId="149" fillId="16" borderId="9" xfId="0" applyFont="1" applyFill="1" applyBorder="1" applyAlignment="1">
      <alignment vertical="top" wrapText="1"/>
    </xf>
    <xf numFmtId="166" fontId="149" fillId="16" borderId="6" xfId="0" applyFont="1" applyFill="1" applyBorder="1" applyAlignment="1">
      <alignment vertical="top" wrapText="1"/>
    </xf>
    <xf numFmtId="166" fontId="140" fillId="72" borderId="5" xfId="0" applyFont="1" applyFill="1" applyBorder="1" applyAlignment="1">
      <alignment horizontal="left" vertical="top" wrapText="1"/>
    </xf>
    <xf numFmtId="166" fontId="147" fillId="17" borderId="9" xfId="0" applyNumberFormat="1" applyFont="1" applyFill="1" applyBorder="1" applyAlignment="1">
      <alignment horizontal="left" vertical="top" wrapText="1"/>
    </xf>
    <xf numFmtId="166" fontId="147" fillId="17" borderId="34" xfId="0" applyNumberFormat="1" applyFont="1" applyFill="1" applyBorder="1" applyAlignment="1">
      <alignment horizontal="left" vertical="top" wrapText="1"/>
    </xf>
    <xf numFmtId="166" fontId="147" fillId="17" borderId="6" xfId="0" applyNumberFormat="1" applyFont="1" applyFill="1" applyBorder="1" applyAlignment="1">
      <alignment horizontal="left" vertical="top" wrapText="1"/>
    </xf>
  </cellXfs>
  <cellStyles count="12421">
    <cellStyle name="20% - Accent1 2" xfId="7"/>
    <cellStyle name="20% - Accent1 2 10" xfId="8"/>
    <cellStyle name="20% - Accent1 2 11" xfId="9"/>
    <cellStyle name="20% - Accent1 2 2" xfId="10"/>
    <cellStyle name="20% - Accent1 2 2 2" xfId="11"/>
    <cellStyle name="20% - Accent1 2 2 2 2" xfId="12"/>
    <cellStyle name="20% - Accent1 2 2 2 2 2" xfId="13"/>
    <cellStyle name="20% - Accent1 2 2 2 2 2 2" xfId="14"/>
    <cellStyle name="20% - Accent1 2 2 2 2 2 3" xfId="15"/>
    <cellStyle name="20% - Accent1 2 2 2 2 2 4" xfId="16"/>
    <cellStyle name="20% - Accent1 2 2 2 2 3" xfId="17"/>
    <cellStyle name="20% - Accent1 2 2 2 2 3 2" xfId="18"/>
    <cellStyle name="20% - Accent1 2 2 2 2 3 3" xfId="19"/>
    <cellStyle name="20% - Accent1 2 2 2 2 4" xfId="20"/>
    <cellStyle name="20% - Accent1 2 2 2 2 5" xfId="21"/>
    <cellStyle name="20% - Accent1 2 2 2 2 6" xfId="22"/>
    <cellStyle name="20% - Accent1 2 2 2 3" xfId="23"/>
    <cellStyle name="20% - Accent1 2 2 2 3 2" xfId="24"/>
    <cellStyle name="20% - Accent1 2 2 2 3 3" xfId="25"/>
    <cellStyle name="20% - Accent1 2 2 2 3 4" xfId="26"/>
    <cellStyle name="20% - Accent1 2 2 2 4" xfId="27"/>
    <cellStyle name="20% - Accent1 2 2 2 4 2" xfId="28"/>
    <cellStyle name="20% - Accent1 2 2 2 4 3" xfId="29"/>
    <cellStyle name="20% - Accent1 2 2 2 4 4" xfId="30"/>
    <cellStyle name="20% - Accent1 2 2 2 5" xfId="31"/>
    <cellStyle name="20% - Accent1 2 2 2 5 2" xfId="32"/>
    <cellStyle name="20% - Accent1 2 2 2 5 3" xfId="33"/>
    <cellStyle name="20% - Accent1 2 2 2 6" xfId="34"/>
    <cellStyle name="20% - Accent1 2 2 2 7" xfId="35"/>
    <cellStyle name="20% - Accent1 2 2 2 8" xfId="36"/>
    <cellStyle name="20% - Accent1 2 2 3" xfId="37"/>
    <cellStyle name="20% - Accent1 2 2 3 2" xfId="38"/>
    <cellStyle name="20% - Accent1 2 2 3 2 2" xfId="39"/>
    <cellStyle name="20% - Accent1 2 2 3 2 3" xfId="40"/>
    <cellStyle name="20% - Accent1 2 2 3 2 4" xfId="41"/>
    <cellStyle name="20% - Accent1 2 2 3 3" xfId="42"/>
    <cellStyle name="20% - Accent1 2 2 3 3 2" xfId="43"/>
    <cellStyle name="20% - Accent1 2 2 3 3 3" xfId="44"/>
    <cellStyle name="20% - Accent1 2 2 3 4" xfId="45"/>
    <cellStyle name="20% - Accent1 2 2 3 5" xfId="46"/>
    <cellStyle name="20% - Accent1 2 2 3 6" xfId="47"/>
    <cellStyle name="20% - Accent1 2 2 4" xfId="48"/>
    <cellStyle name="20% - Accent1 2 2 4 2" xfId="49"/>
    <cellStyle name="20% - Accent1 2 2 4 3" xfId="50"/>
    <cellStyle name="20% - Accent1 2 2 4 4" xfId="51"/>
    <cellStyle name="20% - Accent1 2 2 5" xfId="52"/>
    <cellStyle name="20% - Accent1 2 2 5 2" xfId="53"/>
    <cellStyle name="20% - Accent1 2 2 5 3" xfId="54"/>
    <cellStyle name="20% - Accent1 2 2 5 4" xfId="55"/>
    <cellStyle name="20% - Accent1 2 2 6" xfId="56"/>
    <cellStyle name="20% - Accent1 2 2 6 2" xfId="57"/>
    <cellStyle name="20% - Accent1 2 2 6 3" xfId="58"/>
    <cellStyle name="20% - Accent1 2 2 7" xfId="59"/>
    <cellStyle name="20% - Accent1 2 2 8" xfId="60"/>
    <cellStyle name="20% - Accent1 2 2 9" xfId="61"/>
    <cellStyle name="20% - Accent1 2 3" xfId="62"/>
    <cellStyle name="20% - Accent1 2 3 2" xfId="63"/>
    <cellStyle name="20% - Accent1 2 3 2 2" xfId="64"/>
    <cellStyle name="20% - Accent1 2 3 2 2 2" xfId="65"/>
    <cellStyle name="20% - Accent1 2 3 2 2 3" xfId="66"/>
    <cellStyle name="20% - Accent1 2 3 2 2 4" xfId="67"/>
    <cellStyle name="20% - Accent1 2 3 2 3" xfId="68"/>
    <cellStyle name="20% - Accent1 2 3 2 3 2" xfId="69"/>
    <cellStyle name="20% - Accent1 2 3 2 3 3" xfId="70"/>
    <cellStyle name="20% - Accent1 2 3 2 4" xfId="71"/>
    <cellStyle name="20% - Accent1 2 3 2 5" xfId="72"/>
    <cellStyle name="20% - Accent1 2 3 2 6" xfId="73"/>
    <cellStyle name="20% - Accent1 2 3 3" xfId="74"/>
    <cellStyle name="20% - Accent1 2 3 3 2" xfId="75"/>
    <cellStyle name="20% - Accent1 2 3 3 2 2" xfId="76"/>
    <cellStyle name="20% - Accent1 2 3 3 2 3" xfId="77"/>
    <cellStyle name="20% - Accent1 2 3 3 2 4" xfId="78"/>
    <cellStyle name="20% - Accent1 2 3 3 3" xfId="79"/>
    <cellStyle name="20% - Accent1 2 3 3 3 2" xfId="80"/>
    <cellStyle name="20% - Accent1 2 3 3 3 3" xfId="81"/>
    <cellStyle name="20% - Accent1 2 3 3 4" xfId="82"/>
    <cellStyle name="20% - Accent1 2 3 3 5" xfId="83"/>
    <cellStyle name="20% - Accent1 2 3 3 6" xfId="84"/>
    <cellStyle name="20% - Accent1 2 3 4" xfId="85"/>
    <cellStyle name="20% - Accent1 2 3 4 2" xfId="86"/>
    <cellStyle name="20% - Accent1 2 3 4 3" xfId="87"/>
    <cellStyle name="20% - Accent1 2 3 4 4" xfId="88"/>
    <cellStyle name="20% - Accent1 2 3 5" xfId="89"/>
    <cellStyle name="20% - Accent1 2 3 5 2" xfId="90"/>
    <cellStyle name="20% - Accent1 2 3 5 3" xfId="91"/>
    <cellStyle name="20% - Accent1 2 3 6" xfId="92"/>
    <cellStyle name="20% - Accent1 2 3 7" xfId="93"/>
    <cellStyle name="20% - Accent1 2 3 8" xfId="94"/>
    <cellStyle name="20% - Accent1 2 4" xfId="95"/>
    <cellStyle name="20% - Accent1 2 4 2" xfId="96"/>
    <cellStyle name="20% - Accent1 2 4 2 2" xfId="97"/>
    <cellStyle name="20% - Accent1 2 4 2 3" xfId="98"/>
    <cellStyle name="20% - Accent1 2 4 2 4" xfId="99"/>
    <cellStyle name="20% - Accent1 2 4 3" xfId="100"/>
    <cellStyle name="20% - Accent1 2 4 3 2" xfId="101"/>
    <cellStyle name="20% - Accent1 2 4 3 3" xfId="102"/>
    <cellStyle name="20% - Accent1 2 4 4" xfId="103"/>
    <cellStyle name="20% - Accent1 2 4 5" xfId="104"/>
    <cellStyle name="20% - Accent1 2 4 6" xfId="105"/>
    <cellStyle name="20% - Accent1 2 5" xfId="106"/>
    <cellStyle name="20% - Accent1 2 5 2" xfId="107"/>
    <cellStyle name="20% - Accent1 2 5 2 2" xfId="108"/>
    <cellStyle name="20% - Accent1 2 5 2 3" xfId="109"/>
    <cellStyle name="20% - Accent1 2 5 2 4" xfId="110"/>
    <cellStyle name="20% - Accent1 2 5 3" xfId="111"/>
    <cellStyle name="20% - Accent1 2 5 3 2" xfId="112"/>
    <cellStyle name="20% - Accent1 2 5 3 3" xfId="113"/>
    <cellStyle name="20% - Accent1 2 5 4" xfId="114"/>
    <cellStyle name="20% - Accent1 2 5 5" xfId="115"/>
    <cellStyle name="20% - Accent1 2 5 6" xfId="116"/>
    <cellStyle name="20% - Accent1 2 6" xfId="117"/>
    <cellStyle name="20% - Accent1 2 6 2" xfId="118"/>
    <cellStyle name="20% - Accent1 2 6 3" xfId="119"/>
    <cellStyle name="20% - Accent1 2 6 4" xfId="120"/>
    <cellStyle name="20% - Accent1 2 7" xfId="121"/>
    <cellStyle name="20% - Accent1 2 7 2" xfId="122"/>
    <cellStyle name="20% - Accent1 2 7 3" xfId="123"/>
    <cellStyle name="20% - Accent1 2 8" xfId="124"/>
    <cellStyle name="20% - Accent1 2 9" xfId="125"/>
    <cellStyle name="20% - Accent1 3" xfId="126"/>
    <cellStyle name="20% - Accent1 3 2" xfId="127"/>
    <cellStyle name="20% - Accent1 3 2 2" xfId="128"/>
    <cellStyle name="20% - Accent1 3 2 2 2" xfId="129"/>
    <cellStyle name="20% - Accent1 3 2 2 2 2" xfId="130"/>
    <cellStyle name="20% - Accent1 3 2 2 2 2 2" xfId="131"/>
    <cellStyle name="20% - Accent1 3 2 2 2 2 2 2" xfId="132"/>
    <cellStyle name="20% - Accent1 3 2 2 2 2 2 2 2" xfId="133"/>
    <cellStyle name="20% - Accent1 3 2 2 2 2 2 3" xfId="134"/>
    <cellStyle name="20% - Accent1 3 2 2 2 2 2 3 2" xfId="135"/>
    <cellStyle name="20% - Accent1 3 2 2 2 2 2 4" xfId="136"/>
    <cellStyle name="20% - Accent1 3 2 2 2 2 3" xfId="137"/>
    <cellStyle name="20% - Accent1 3 2 2 2 2 3 2" xfId="138"/>
    <cellStyle name="20% - Accent1 3 2 2 2 2 4" xfId="139"/>
    <cellStyle name="20% - Accent1 3 2 2 2 2 4 2" xfId="140"/>
    <cellStyle name="20% - Accent1 3 2 2 2 2 5" xfId="141"/>
    <cellStyle name="20% - Accent1 3 2 2 2 3" xfId="142"/>
    <cellStyle name="20% - Accent1 3 2 2 2 3 2" xfId="143"/>
    <cellStyle name="20% - Accent1 3 2 2 2 3 2 2" xfId="144"/>
    <cellStyle name="20% - Accent1 3 2 2 2 3 3" xfId="145"/>
    <cellStyle name="20% - Accent1 3 2 2 2 3 3 2" xfId="146"/>
    <cellStyle name="20% - Accent1 3 2 2 2 3 4" xfId="147"/>
    <cellStyle name="20% - Accent1 3 2 2 2 4" xfId="148"/>
    <cellStyle name="20% - Accent1 3 2 2 2 4 2" xfId="149"/>
    <cellStyle name="20% - Accent1 3 2 2 2 5" xfId="150"/>
    <cellStyle name="20% - Accent1 3 2 2 2 5 2" xfId="151"/>
    <cellStyle name="20% - Accent1 3 2 2 2 6" xfId="152"/>
    <cellStyle name="20% - Accent1 3 2 2 3" xfId="153"/>
    <cellStyle name="20% - Accent1 3 2 2 3 2" xfId="154"/>
    <cellStyle name="20% - Accent1 3 2 2 3 2 2" xfId="155"/>
    <cellStyle name="20% - Accent1 3 2 2 3 2 2 2" xfId="156"/>
    <cellStyle name="20% - Accent1 3 2 2 3 2 3" xfId="157"/>
    <cellStyle name="20% - Accent1 3 2 2 3 2 3 2" xfId="158"/>
    <cellStyle name="20% - Accent1 3 2 2 3 2 4" xfId="159"/>
    <cellStyle name="20% - Accent1 3 2 2 3 3" xfId="160"/>
    <cellStyle name="20% - Accent1 3 2 2 3 3 2" xfId="161"/>
    <cellStyle name="20% - Accent1 3 2 2 3 4" xfId="162"/>
    <cellStyle name="20% - Accent1 3 2 2 3 4 2" xfId="163"/>
    <cellStyle name="20% - Accent1 3 2 2 3 5" xfId="164"/>
    <cellStyle name="20% - Accent1 3 2 2 4" xfId="165"/>
    <cellStyle name="20% - Accent1 3 2 2 4 2" xfId="166"/>
    <cellStyle name="20% - Accent1 3 2 2 4 2 2" xfId="167"/>
    <cellStyle name="20% - Accent1 3 2 2 4 3" xfId="168"/>
    <cellStyle name="20% - Accent1 3 2 2 4 3 2" xfId="169"/>
    <cellStyle name="20% - Accent1 3 2 2 4 4" xfId="170"/>
    <cellStyle name="20% - Accent1 3 2 2 5" xfId="171"/>
    <cellStyle name="20% - Accent1 3 2 2 5 2" xfId="172"/>
    <cellStyle name="20% - Accent1 3 2 2 6" xfId="173"/>
    <cellStyle name="20% - Accent1 3 2 2 6 2" xfId="174"/>
    <cellStyle name="20% - Accent1 3 2 2 7" xfId="175"/>
    <cellStyle name="20% - Accent1 3 2 3" xfId="176"/>
    <cellStyle name="20% - Accent1 3 3" xfId="177"/>
    <cellStyle name="20% - Accent1 4" xfId="178"/>
    <cellStyle name="20% - Accent1 4 2" xfId="179"/>
    <cellStyle name="20% - Accent1 4 2 2" xfId="180"/>
    <cellStyle name="20% - Accent1 4 2 2 2" xfId="181"/>
    <cellStyle name="20% - Accent1 4 2 2 2 2" xfId="182"/>
    <cellStyle name="20% - Accent1 4 2 2 2 2 2" xfId="183"/>
    <cellStyle name="20% - Accent1 4 2 2 2 3" xfId="184"/>
    <cellStyle name="20% - Accent1 4 2 2 2 3 2" xfId="185"/>
    <cellStyle name="20% - Accent1 4 2 2 2 4" xfId="186"/>
    <cellStyle name="20% - Accent1 4 2 2 3" xfId="187"/>
    <cellStyle name="20% - Accent1 4 2 2 3 2" xfId="188"/>
    <cellStyle name="20% - Accent1 4 2 2 4" xfId="189"/>
    <cellStyle name="20% - Accent1 4 2 2 4 2" xfId="190"/>
    <cellStyle name="20% - Accent1 4 2 2 5" xfId="191"/>
    <cellStyle name="20% - Accent1 4 2 3" xfId="192"/>
    <cellStyle name="20% - Accent1 4 2 3 2" xfId="193"/>
    <cellStyle name="20% - Accent1 4 2 3 2 2" xfId="194"/>
    <cellStyle name="20% - Accent1 4 2 3 3" xfId="195"/>
    <cellStyle name="20% - Accent1 4 2 3 3 2" xfId="196"/>
    <cellStyle name="20% - Accent1 4 2 3 4" xfId="197"/>
    <cellStyle name="20% - Accent1 4 2 4" xfId="198"/>
    <cellStyle name="20% - Accent1 4 2 4 2" xfId="199"/>
    <cellStyle name="20% - Accent1 4 2 5" xfId="200"/>
    <cellStyle name="20% - Accent1 4 2 5 2" xfId="201"/>
    <cellStyle name="20% - Accent1 4 2 6" xfId="202"/>
    <cellStyle name="20% - Accent1 4 3" xfId="203"/>
    <cellStyle name="20% - Accent1 4 3 2" xfId="204"/>
    <cellStyle name="20% - Accent1 4 3 2 2" xfId="205"/>
    <cellStyle name="20% - Accent1 4 3 2 2 2" xfId="206"/>
    <cellStyle name="20% - Accent1 4 3 2 3" xfId="207"/>
    <cellStyle name="20% - Accent1 4 3 2 3 2" xfId="208"/>
    <cellStyle name="20% - Accent1 4 3 2 4" xfId="209"/>
    <cellStyle name="20% - Accent1 4 3 3" xfId="210"/>
    <cellStyle name="20% - Accent1 4 3 3 2" xfId="211"/>
    <cellStyle name="20% - Accent1 4 3 4" xfId="212"/>
    <cellStyle name="20% - Accent1 4 3 4 2" xfId="213"/>
    <cellStyle name="20% - Accent1 4 3 5" xfId="214"/>
    <cellStyle name="20% - Accent1 4 4" xfId="215"/>
    <cellStyle name="20% - Accent1 4 4 2" xfId="216"/>
    <cellStyle name="20% - Accent1 4 4 2 2" xfId="217"/>
    <cellStyle name="20% - Accent1 4 4 3" xfId="218"/>
    <cellStyle name="20% - Accent1 4 4 3 2" xfId="219"/>
    <cellStyle name="20% - Accent1 4 4 4" xfId="220"/>
    <cellStyle name="20% - Accent1 4 5" xfId="221"/>
    <cellStyle name="20% - Accent1 4 5 2" xfId="222"/>
    <cellStyle name="20% - Accent1 4 6" xfId="223"/>
    <cellStyle name="20% - Accent1 4 6 2" xfId="224"/>
    <cellStyle name="20% - Accent1 4 7" xfId="225"/>
    <cellStyle name="20% - Accent1 5" xfId="226"/>
    <cellStyle name="20% - Accent1 5 2" xfId="227"/>
    <cellStyle name="20% - Accent1 5 2 2" xfId="228"/>
    <cellStyle name="20% - Accent1 5 2 2 2" xfId="229"/>
    <cellStyle name="20% - Accent1 5 2 2 2 2" xfId="230"/>
    <cellStyle name="20% - Accent1 5 2 2 3" xfId="231"/>
    <cellStyle name="20% - Accent1 5 2 2 3 2" xfId="232"/>
    <cellStyle name="20% - Accent1 5 2 2 4" xfId="233"/>
    <cellStyle name="20% - Accent1 5 2 3" xfId="234"/>
    <cellStyle name="20% - Accent1 5 2 3 2" xfId="235"/>
    <cellStyle name="20% - Accent1 5 2 4" xfId="236"/>
    <cellStyle name="20% - Accent1 5 2 4 2" xfId="237"/>
    <cellStyle name="20% - Accent1 5 2 5" xfId="238"/>
    <cellStyle name="20% - Accent1 5 3" xfId="239"/>
    <cellStyle name="20% - Accent1 5 3 2" xfId="240"/>
    <cellStyle name="20% - Accent1 5 3 2 2" xfId="241"/>
    <cellStyle name="20% - Accent1 5 3 2 2 2" xfId="242"/>
    <cellStyle name="20% - Accent1 5 3 2 3" xfId="243"/>
    <cellStyle name="20% - Accent1 5 3 2 3 2" xfId="244"/>
    <cellStyle name="20% - Accent1 5 3 2 4" xfId="245"/>
    <cellStyle name="20% - Accent1 5 3 3" xfId="246"/>
    <cellStyle name="20% - Accent1 5 3 3 2" xfId="247"/>
    <cellStyle name="20% - Accent1 5 3 3 2 2" xfId="248"/>
    <cellStyle name="20% - Accent1 5 3 3 3" xfId="249"/>
    <cellStyle name="20% - Accent1 5 3 3 3 2" xfId="250"/>
    <cellStyle name="20% - Accent1 5 3 3 4" xfId="251"/>
    <cellStyle name="20% - Accent1 5 3 4" xfId="252"/>
    <cellStyle name="20% - Accent1 5 3 4 2" xfId="253"/>
    <cellStyle name="20% - Accent1 5 3 5" xfId="254"/>
    <cellStyle name="20% - Accent1 5 3 5 2" xfId="255"/>
    <cellStyle name="20% - Accent1 5 3 6" xfId="256"/>
    <cellStyle name="20% - Accent1 5 4" xfId="257"/>
    <cellStyle name="20% - Accent1 5 4 2" xfId="258"/>
    <cellStyle name="20% - Accent1 5 4 2 2" xfId="259"/>
    <cellStyle name="20% - Accent1 5 4 3" xfId="260"/>
    <cellStyle name="20% - Accent1 5 4 3 2" xfId="261"/>
    <cellStyle name="20% - Accent1 5 4 4" xfId="262"/>
    <cellStyle name="20% - Accent1 5 5" xfId="263"/>
    <cellStyle name="20% - Accent1 5 5 2" xfId="264"/>
    <cellStyle name="20% - Accent1 5 6" xfId="265"/>
    <cellStyle name="20% - Accent1 5 6 2" xfId="266"/>
    <cellStyle name="20% - Accent1 5 7" xfId="267"/>
    <cellStyle name="20% - Accent1 6" xfId="268"/>
    <cellStyle name="20% - Accent1 6 2" xfId="269"/>
    <cellStyle name="20% - Accent1 6 2 2" xfId="270"/>
    <cellStyle name="20% - Accent1 6 2 2 2" xfId="271"/>
    <cellStyle name="20% - Accent1 6 2 3" xfId="272"/>
    <cellStyle name="20% - Accent1 6 2 3 2" xfId="273"/>
    <cellStyle name="20% - Accent1 6 2 4" xfId="274"/>
    <cellStyle name="20% - Accent1 6 3" xfId="275"/>
    <cellStyle name="20% - Accent1 6 3 2" xfId="276"/>
    <cellStyle name="20% - Accent1 6 4" xfId="277"/>
    <cellStyle name="20% - Accent1 6 4 2" xfId="278"/>
    <cellStyle name="20% - Accent1 6 5" xfId="279"/>
    <cellStyle name="20% - Accent2 2" xfId="280"/>
    <cellStyle name="20% - Accent2 2 2" xfId="281"/>
    <cellStyle name="20% - Accent2 2 2 2" xfId="282"/>
    <cellStyle name="20% - Accent2 2 2 2 2" xfId="283"/>
    <cellStyle name="20% - Accent2 2 2 2 2 2" xfId="284"/>
    <cellStyle name="20% - Accent2 2 2 2 2 2 2" xfId="285"/>
    <cellStyle name="20% - Accent2 2 2 2 2 2 3" xfId="286"/>
    <cellStyle name="20% - Accent2 2 2 2 2 2 4" xfId="287"/>
    <cellStyle name="20% - Accent2 2 2 2 2 3" xfId="288"/>
    <cellStyle name="20% - Accent2 2 2 2 2 3 2" xfId="289"/>
    <cellStyle name="20% - Accent2 2 2 2 2 3 3" xfId="290"/>
    <cellStyle name="20% - Accent2 2 2 2 2 4" xfId="291"/>
    <cellStyle name="20% - Accent2 2 2 2 2 5" xfId="292"/>
    <cellStyle name="20% - Accent2 2 2 2 2 6" xfId="293"/>
    <cellStyle name="20% - Accent2 2 2 2 3" xfId="294"/>
    <cellStyle name="20% - Accent2 2 2 2 3 2" xfId="295"/>
    <cellStyle name="20% - Accent2 2 2 2 3 3" xfId="296"/>
    <cellStyle name="20% - Accent2 2 2 2 3 4" xfId="297"/>
    <cellStyle name="20% - Accent2 2 2 2 4" xfId="298"/>
    <cellStyle name="20% - Accent2 2 2 2 4 2" xfId="299"/>
    <cellStyle name="20% - Accent2 2 2 2 4 3" xfId="300"/>
    <cellStyle name="20% - Accent2 2 2 2 4 4" xfId="301"/>
    <cellStyle name="20% - Accent2 2 2 2 5" xfId="302"/>
    <cellStyle name="20% - Accent2 2 2 2 5 2" xfId="303"/>
    <cellStyle name="20% - Accent2 2 2 2 5 3" xfId="304"/>
    <cellStyle name="20% - Accent2 2 2 2 6" xfId="305"/>
    <cellStyle name="20% - Accent2 2 2 2 7" xfId="306"/>
    <cellStyle name="20% - Accent2 2 2 2 8" xfId="307"/>
    <cellStyle name="20% - Accent2 2 2 3" xfId="308"/>
    <cellStyle name="20% - Accent2 2 2 3 2" xfId="309"/>
    <cellStyle name="20% - Accent2 2 2 3 2 2" xfId="310"/>
    <cellStyle name="20% - Accent2 2 2 3 2 3" xfId="311"/>
    <cellStyle name="20% - Accent2 2 2 3 2 4" xfId="312"/>
    <cellStyle name="20% - Accent2 2 2 3 3" xfId="313"/>
    <cellStyle name="20% - Accent2 2 2 3 3 2" xfId="314"/>
    <cellStyle name="20% - Accent2 2 2 3 3 3" xfId="315"/>
    <cellStyle name="20% - Accent2 2 2 3 4" xfId="316"/>
    <cellStyle name="20% - Accent2 2 2 3 5" xfId="317"/>
    <cellStyle name="20% - Accent2 2 2 3 6" xfId="318"/>
    <cellStyle name="20% - Accent2 2 2 4" xfId="319"/>
    <cellStyle name="20% - Accent2 2 2 4 2" xfId="320"/>
    <cellStyle name="20% - Accent2 2 2 4 3" xfId="321"/>
    <cellStyle name="20% - Accent2 2 2 4 4" xfId="322"/>
    <cellStyle name="20% - Accent2 2 2 5" xfId="323"/>
    <cellStyle name="20% - Accent2 2 2 5 2" xfId="324"/>
    <cellStyle name="20% - Accent2 2 2 5 3" xfId="325"/>
    <cellStyle name="20% - Accent2 2 2 6" xfId="326"/>
    <cellStyle name="20% - Accent2 2 2 7" xfId="327"/>
    <cellStyle name="20% - Accent2 2 2 8" xfId="328"/>
    <cellStyle name="20% - Accent2 2 3" xfId="329"/>
    <cellStyle name="20% - Accent2 2 3 2" xfId="330"/>
    <cellStyle name="20% - Accent2 2 3 2 2" xfId="331"/>
    <cellStyle name="20% - Accent2 2 3 2 2 2" xfId="332"/>
    <cellStyle name="20% - Accent2 2 3 2 2 3" xfId="333"/>
    <cellStyle name="20% - Accent2 2 3 2 2 4" xfId="334"/>
    <cellStyle name="20% - Accent2 2 3 2 3" xfId="335"/>
    <cellStyle name="20% - Accent2 2 3 2 3 2" xfId="336"/>
    <cellStyle name="20% - Accent2 2 3 2 3 3" xfId="337"/>
    <cellStyle name="20% - Accent2 2 3 2 4" xfId="338"/>
    <cellStyle name="20% - Accent2 2 3 2 5" xfId="339"/>
    <cellStyle name="20% - Accent2 2 3 2 6" xfId="340"/>
    <cellStyle name="20% - Accent2 2 3 3" xfId="341"/>
    <cellStyle name="20% - Accent2 2 3 3 2" xfId="342"/>
    <cellStyle name="20% - Accent2 2 3 3 2 2" xfId="343"/>
    <cellStyle name="20% - Accent2 2 3 3 2 3" xfId="344"/>
    <cellStyle name="20% - Accent2 2 3 3 2 4" xfId="345"/>
    <cellStyle name="20% - Accent2 2 3 3 3" xfId="346"/>
    <cellStyle name="20% - Accent2 2 3 3 3 2" xfId="347"/>
    <cellStyle name="20% - Accent2 2 3 3 3 3" xfId="348"/>
    <cellStyle name="20% - Accent2 2 3 3 4" xfId="349"/>
    <cellStyle name="20% - Accent2 2 3 3 5" xfId="350"/>
    <cellStyle name="20% - Accent2 2 3 3 6" xfId="351"/>
    <cellStyle name="20% - Accent2 2 3 4" xfId="352"/>
    <cellStyle name="20% - Accent2 2 3 4 2" xfId="353"/>
    <cellStyle name="20% - Accent2 2 3 4 3" xfId="354"/>
    <cellStyle name="20% - Accent2 2 3 4 4" xfId="355"/>
    <cellStyle name="20% - Accent2 2 3 5" xfId="356"/>
    <cellStyle name="20% - Accent2 2 3 5 2" xfId="357"/>
    <cellStyle name="20% - Accent2 2 3 5 3" xfId="358"/>
    <cellStyle name="20% - Accent2 2 3 6" xfId="359"/>
    <cellStyle name="20% - Accent2 2 3 7" xfId="360"/>
    <cellStyle name="20% - Accent2 2 3 8" xfId="361"/>
    <cellStyle name="20% - Accent2 2 4" xfId="362"/>
    <cellStyle name="20% - Accent2 2 4 2" xfId="363"/>
    <cellStyle name="20% - Accent2 2 4 2 2" xfId="364"/>
    <cellStyle name="20% - Accent2 2 4 2 3" xfId="365"/>
    <cellStyle name="20% - Accent2 2 4 2 4" xfId="366"/>
    <cellStyle name="20% - Accent2 2 4 3" xfId="367"/>
    <cellStyle name="20% - Accent2 2 4 3 2" xfId="368"/>
    <cellStyle name="20% - Accent2 2 4 3 3" xfId="369"/>
    <cellStyle name="20% - Accent2 2 4 4" xfId="370"/>
    <cellStyle name="20% - Accent2 2 4 5" xfId="371"/>
    <cellStyle name="20% - Accent2 2 4 6" xfId="372"/>
    <cellStyle name="20% - Accent2 2 5" xfId="373"/>
    <cellStyle name="20% - Accent2 2 5 2" xfId="374"/>
    <cellStyle name="20% - Accent2 2 5 3" xfId="375"/>
    <cellStyle name="20% - Accent2 2 6" xfId="376"/>
    <cellStyle name="20% - Accent2 2 7" xfId="377"/>
    <cellStyle name="20% - Accent2 2 8" xfId="378"/>
    <cellStyle name="20% - Accent2 2 9" xfId="379"/>
    <cellStyle name="20% - Accent2 3" xfId="380"/>
    <cellStyle name="20% - Accent2 3 2" xfId="381"/>
    <cellStyle name="20% - Accent2 3 2 2" xfId="382"/>
    <cellStyle name="20% - Accent2 3 2 2 2" xfId="383"/>
    <cellStyle name="20% - Accent2 3 2 2 2 2" xfId="384"/>
    <cellStyle name="20% - Accent2 3 2 2 2 2 2" xfId="385"/>
    <cellStyle name="20% - Accent2 3 2 2 2 2 2 2" xfId="386"/>
    <cellStyle name="20% - Accent2 3 2 2 2 2 2 2 2" xfId="387"/>
    <cellStyle name="20% - Accent2 3 2 2 2 2 2 3" xfId="388"/>
    <cellStyle name="20% - Accent2 3 2 2 2 2 2 3 2" xfId="389"/>
    <cellStyle name="20% - Accent2 3 2 2 2 2 2 4" xfId="390"/>
    <cellStyle name="20% - Accent2 3 2 2 2 2 3" xfId="391"/>
    <cellStyle name="20% - Accent2 3 2 2 2 2 3 2" xfId="392"/>
    <cellStyle name="20% - Accent2 3 2 2 2 2 4" xfId="393"/>
    <cellStyle name="20% - Accent2 3 2 2 2 2 4 2" xfId="394"/>
    <cellStyle name="20% - Accent2 3 2 2 2 2 5" xfId="395"/>
    <cellStyle name="20% - Accent2 3 2 2 2 3" xfId="396"/>
    <cellStyle name="20% - Accent2 3 2 2 2 3 2" xfId="397"/>
    <cellStyle name="20% - Accent2 3 2 2 2 3 2 2" xfId="398"/>
    <cellStyle name="20% - Accent2 3 2 2 2 3 3" xfId="399"/>
    <cellStyle name="20% - Accent2 3 2 2 2 3 3 2" xfId="400"/>
    <cellStyle name="20% - Accent2 3 2 2 2 3 4" xfId="401"/>
    <cellStyle name="20% - Accent2 3 2 2 2 4" xfId="402"/>
    <cellStyle name="20% - Accent2 3 2 2 2 4 2" xfId="403"/>
    <cellStyle name="20% - Accent2 3 2 2 2 5" xfId="404"/>
    <cellStyle name="20% - Accent2 3 2 2 2 5 2" xfId="405"/>
    <cellStyle name="20% - Accent2 3 2 2 2 6" xfId="406"/>
    <cellStyle name="20% - Accent2 3 2 2 3" xfId="407"/>
    <cellStyle name="20% - Accent2 3 2 2 3 2" xfId="408"/>
    <cellStyle name="20% - Accent2 3 2 2 3 2 2" xfId="409"/>
    <cellStyle name="20% - Accent2 3 2 2 3 2 2 2" xfId="410"/>
    <cellStyle name="20% - Accent2 3 2 2 3 2 3" xfId="411"/>
    <cellStyle name="20% - Accent2 3 2 2 3 2 3 2" xfId="412"/>
    <cellStyle name="20% - Accent2 3 2 2 3 2 4" xfId="413"/>
    <cellStyle name="20% - Accent2 3 2 2 3 3" xfId="414"/>
    <cellStyle name="20% - Accent2 3 2 2 3 3 2" xfId="415"/>
    <cellStyle name="20% - Accent2 3 2 2 3 4" xfId="416"/>
    <cellStyle name="20% - Accent2 3 2 2 3 4 2" xfId="417"/>
    <cellStyle name="20% - Accent2 3 2 2 3 5" xfId="418"/>
    <cellStyle name="20% - Accent2 3 2 2 4" xfId="419"/>
    <cellStyle name="20% - Accent2 3 2 2 4 2" xfId="420"/>
    <cellStyle name="20% - Accent2 3 2 2 4 2 2" xfId="421"/>
    <cellStyle name="20% - Accent2 3 2 2 4 3" xfId="422"/>
    <cellStyle name="20% - Accent2 3 2 2 4 3 2" xfId="423"/>
    <cellStyle name="20% - Accent2 3 2 2 4 4" xfId="424"/>
    <cellStyle name="20% - Accent2 3 2 2 5" xfId="425"/>
    <cellStyle name="20% - Accent2 3 2 2 5 2" xfId="426"/>
    <cellStyle name="20% - Accent2 3 2 2 6" xfId="427"/>
    <cellStyle name="20% - Accent2 3 2 2 6 2" xfId="428"/>
    <cellStyle name="20% - Accent2 3 2 2 7" xfId="429"/>
    <cellStyle name="20% - Accent2 3 2 3" xfId="430"/>
    <cellStyle name="20% - Accent2 3 3" xfId="431"/>
    <cellStyle name="20% - Accent2 4" xfId="432"/>
    <cellStyle name="20% - Accent2 4 2" xfId="433"/>
    <cellStyle name="20% - Accent2 4 2 2" xfId="434"/>
    <cellStyle name="20% - Accent2 4 2 2 2" xfId="435"/>
    <cellStyle name="20% - Accent2 4 2 2 2 2" xfId="436"/>
    <cellStyle name="20% - Accent2 4 2 2 2 2 2" xfId="437"/>
    <cellStyle name="20% - Accent2 4 2 2 2 3" xfId="438"/>
    <cellStyle name="20% - Accent2 4 2 2 2 3 2" xfId="439"/>
    <cellStyle name="20% - Accent2 4 2 2 2 4" xfId="440"/>
    <cellStyle name="20% - Accent2 4 2 2 3" xfId="441"/>
    <cellStyle name="20% - Accent2 4 2 2 3 2" xfId="442"/>
    <cellStyle name="20% - Accent2 4 2 2 4" xfId="443"/>
    <cellStyle name="20% - Accent2 4 2 2 4 2" xfId="444"/>
    <cellStyle name="20% - Accent2 4 2 2 5" xfId="445"/>
    <cellStyle name="20% - Accent2 4 2 3" xfId="446"/>
    <cellStyle name="20% - Accent2 4 2 3 2" xfId="447"/>
    <cellStyle name="20% - Accent2 4 2 3 2 2" xfId="448"/>
    <cellStyle name="20% - Accent2 4 2 3 3" xfId="449"/>
    <cellStyle name="20% - Accent2 4 2 3 3 2" xfId="450"/>
    <cellStyle name="20% - Accent2 4 2 3 4" xfId="451"/>
    <cellStyle name="20% - Accent2 4 2 4" xfId="452"/>
    <cellStyle name="20% - Accent2 4 2 4 2" xfId="453"/>
    <cellStyle name="20% - Accent2 4 2 5" xfId="454"/>
    <cellStyle name="20% - Accent2 4 2 5 2" xfId="455"/>
    <cellStyle name="20% - Accent2 4 2 6" xfId="456"/>
    <cellStyle name="20% - Accent2 4 3" xfId="457"/>
    <cellStyle name="20% - Accent2 4 3 2" xfId="458"/>
    <cellStyle name="20% - Accent2 4 3 2 2" xfId="459"/>
    <cellStyle name="20% - Accent2 4 3 2 2 2" xfId="460"/>
    <cellStyle name="20% - Accent2 4 3 2 3" xfId="461"/>
    <cellStyle name="20% - Accent2 4 3 2 3 2" xfId="462"/>
    <cellStyle name="20% - Accent2 4 3 2 4" xfId="463"/>
    <cellStyle name="20% - Accent2 4 3 3" xfId="464"/>
    <cellStyle name="20% - Accent2 4 3 3 2" xfId="465"/>
    <cellStyle name="20% - Accent2 4 3 4" xfId="466"/>
    <cellStyle name="20% - Accent2 4 3 4 2" xfId="467"/>
    <cellStyle name="20% - Accent2 4 3 5" xfId="468"/>
    <cellStyle name="20% - Accent2 4 4" xfId="469"/>
    <cellStyle name="20% - Accent2 4 4 2" xfId="470"/>
    <cellStyle name="20% - Accent2 4 4 2 2" xfId="471"/>
    <cellStyle name="20% - Accent2 4 4 3" xfId="472"/>
    <cellStyle name="20% - Accent2 4 4 3 2" xfId="473"/>
    <cellStyle name="20% - Accent2 4 4 4" xfId="474"/>
    <cellStyle name="20% - Accent2 4 5" xfId="475"/>
    <cellStyle name="20% - Accent2 4 5 2" xfId="476"/>
    <cellStyle name="20% - Accent2 4 6" xfId="477"/>
    <cellStyle name="20% - Accent2 4 6 2" xfId="478"/>
    <cellStyle name="20% - Accent2 4 7" xfId="479"/>
    <cellStyle name="20% - Accent2 5" xfId="480"/>
    <cellStyle name="20% - Accent2 5 2" xfId="481"/>
    <cellStyle name="20% - Accent2 5 2 2" xfId="482"/>
    <cellStyle name="20% - Accent2 5 2 2 2" xfId="483"/>
    <cellStyle name="20% - Accent2 5 2 2 2 2" xfId="484"/>
    <cellStyle name="20% - Accent2 5 2 2 3" xfId="485"/>
    <cellStyle name="20% - Accent2 5 2 2 3 2" xfId="486"/>
    <cellStyle name="20% - Accent2 5 2 2 4" xfId="487"/>
    <cellStyle name="20% - Accent2 5 2 3" xfId="488"/>
    <cellStyle name="20% - Accent2 5 2 3 2" xfId="489"/>
    <cellStyle name="20% - Accent2 5 2 4" xfId="490"/>
    <cellStyle name="20% - Accent2 5 2 4 2" xfId="491"/>
    <cellStyle name="20% - Accent2 5 2 5" xfId="492"/>
    <cellStyle name="20% - Accent2 5 3" xfId="493"/>
    <cellStyle name="20% - Accent2 5 3 2" xfId="494"/>
    <cellStyle name="20% - Accent2 5 3 2 2" xfId="495"/>
    <cellStyle name="20% - Accent2 5 3 2 2 2" xfId="496"/>
    <cellStyle name="20% - Accent2 5 3 2 3" xfId="497"/>
    <cellStyle name="20% - Accent2 5 3 2 3 2" xfId="498"/>
    <cellStyle name="20% - Accent2 5 3 2 4" xfId="499"/>
    <cellStyle name="20% - Accent2 5 3 3" xfId="500"/>
    <cellStyle name="20% - Accent2 5 3 3 2" xfId="501"/>
    <cellStyle name="20% - Accent2 5 3 3 2 2" xfId="502"/>
    <cellStyle name="20% - Accent2 5 3 3 3" xfId="503"/>
    <cellStyle name="20% - Accent2 5 3 3 3 2" xfId="504"/>
    <cellStyle name="20% - Accent2 5 3 3 4" xfId="505"/>
    <cellStyle name="20% - Accent2 5 3 4" xfId="506"/>
    <cellStyle name="20% - Accent2 5 3 4 2" xfId="507"/>
    <cellStyle name="20% - Accent2 5 3 5" xfId="508"/>
    <cellStyle name="20% - Accent2 5 3 5 2" xfId="509"/>
    <cellStyle name="20% - Accent2 5 3 6" xfId="510"/>
    <cellStyle name="20% - Accent2 5 4" xfId="511"/>
    <cellStyle name="20% - Accent2 5 4 2" xfId="512"/>
    <cellStyle name="20% - Accent2 5 4 2 2" xfId="513"/>
    <cellStyle name="20% - Accent2 5 4 3" xfId="514"/>
    <cellStyle name="20% - Accent2 5 4 3 2" xfId="515"/>
    <cellStyle name="20% - Accent2 5 4 4" xfId="516"/>
    <cellStyle name="20% - Accent2 5 5" xfId="517"/>
    <cellStyle name="20% - Accent2 5 5 2" xfId="518"/>
    <cellStyle name="20% - Accent2 5 6" xfId="519"/>
    <cellStyle name="20% - Accent2 5 6 2" xfId="520"/>
    <cellStyle name="20% - Accent2 5 7" xfId="521"/>
    <cellStyle name="20% - Accent2 6" xfId="522"/>
    <cellStyle name="20% - Accent2 6 2" xfId="523"/>
    <cellStyle name="20% - Accent2 6 2 2" xfId="524"/>
    <cellStyle name="20% - Accent2 6 2 2 2" xfId="525"/>
    <cellStyle name="20% - Accent2 6 2 3" xfId="526"/>
    <cellStyle name="20% - Accent2 6 2 3 2" xfId="527"/>
    <cellStyle name="20% - Accent2 6 2 4" xfId="528"/>
    <cellStyle name="20% - Accent2 6 3" xfId="529"/>
    <cellStyle name="20% - Accent2 6 3 2" xfId="530"/>
    <cellStyle name="20% - Accent2 6 4" xfId="531"/>
    <cellStyle name="20% - Accent2 6 4 2" xfId="532"/>
    <cellStyle name="20% - Accent2 6 5" xfId="533"/>
    <cellStyle name="20% - Accent3 2" xfId="534"/>
    <cellStyle name="20% - Accent3 2 2" xfId="535"/>
    <cellStyle name="20% - Accent3 2 2 2" xfId="536"/>
    <cellStyle name="20% - Accent3 2 2 2 2" xfId="537"/>
    <cellStyle name="20% - Accent3 2 2 2 2 2" xfId="538"/>
    <cellStyle name="20% - Accent3 2 2 2 2 2 2" xfId="539"/>
    <cellStyle name="20% - Accent3 2 2 2 2 2 3" xfId="540"/>
    <cellStyle name="20% - Accent3 2 2 2 2 2 4" xfId="541"/>
    <cellStyle name="20% - Accent3 2 2 2 2 3" xfId="542"/>
    <cellStyle name="20% - Accent3 2 2 2 2 3 2" xfId="543"/>
    <cellStyle name="20% - Accent3 2 2 2 2 3 3" xfId="544"/>
    <cellStyle name="20% - Accent3 2 2 2 2 4" xfId="545"/>
    <cellStyle name="20% - Accent3 2 2 2 2 5" xfId="546"/>
    <cellStyle name="20% - Accent3 2 2 2 2 6" xfId="547"/>
    <cellStyle name="20% - Accent3 2 2 2 3" xfId="548"/>
    <cellStyle name="20% - Accent3 2 2 2 3 2" xfId="549"/>
    <cellStyle name="20% - Accent3 2 2 2 3 3" xfId="550"/>
    <cellStyle name="20% - Accent3 2 2 2 3 4" xfId="551"/>
    <cellStyle name="20% - Accent3 2 2 2 4" xfId="552"/>
    <cellStyle name="20% - Accent3 2 2 2 4 2" xfId="553"/>
    <cellStyle name="20% - Accent3 2 2 2 4 3" xfId="554"/>
    <cellStyle name="20% - Accent3 2 2 2 4 4" xfId="555"/>
    <cellStyle name="20% - Accent3 2 2 2 5" xfId="556"/>
    <cellStyle name="20% - Accent3 2 2 2 5 2" xfId="557"/>
    <cellStyle name="20% - Accent3 2 2 2 5 3" xfId="558"/>
    <cellStyle name="20% - Accent3 2 2 2 6" xfId="559"/>
    <cellStyle name="20% - Accent3 2 2 2 7" xfId="560"/>
    <cellStyle name="20% - Accent3 2 2 2 8" xfId="561"/>
    <cellStyle name="20% - Accent3 2 2 3" xfId="562"/>
    <cellStyle name="20% - Accent3 2 2 3 2" xfId="563"/>
    <cellStyle name="20% - Accent3 2 2 3 2 2" xfId="564"/>
    <cellStyle name="20% - Accent3 2 2 3 2 3" xfId="565"/>
    <cellStyle name="20% - Accent3 2 2 3 2 4" xfId="566"/>
    <cellStyle name="20% - Accent3 2 2 3 3" xfId="567"/>
    <cellStyle name="20% - Accent3 2 2 3 3 2" xfId="568"/>
    <cellStyle name="20% - Accent3 2 2 3 3 3" xfId="569"/>
    <cellStyle name="20% - Accent3 2 2 3 4" xfId="570"/>
    <cellStyle name="20% - Accent3 2 2 3 5" xfId="571"/>
    <cellStyle name="20% - Accent3 2 2 3 6" xfId="572"/>
    <cellStyle name="20% - Accent3 2 2 4" xfId="573"/>
    <cellStyle name="20% - Accent3 2 2 4 2" xfId="574"/>
    <cellStyle name="20% - Accent3 2 2 4 3" xfId="575"/>
    <cellStyle name="20% - Accent3 2 2 4 4" xfId="576"/>
    <cellStyle name="20% - Accent3 2 2 5" xfId="577"/>
    <cellStyle name="20% - Accent3 2 2 5 2" xfId="578"/>
    <cellStyle name="20% - Accent3 2 2 5 3" xfId="579"/>
    <cellStyle name="20% - Accent3 2 2 6" xfId="580"/>
    <cellStyle name="20% - Accent3 2 2 7" xfId="581"/>
    <cellStyle name="20% - Accent3 2 2 8" xfId="582"/>
    <cellStyle name="20% - Accent3 2 2 9" xfId="583"/>
    <cellStyle name="20% - Accent3 2 3" xfId="584"/>
    <cellStyle name="20% - Accent3 2 3 2" xfId="585"/>
    <cellStyle name="20% - Accent3 2 3 2 2" xfId="586"/>
    <cellStyle name="20% - Accent3 2 3 2 2 2" xfId="587"/>
    <cellStyle name="20% - Accent3 2 3 2 2 3" xfId="588"/>
    <cellStyle name="20% - Accent3 2 3 2 2 4" xfId="589"/>
    <cellStyle name="20% - Accent3 2 3 2 3" xfId="590"/>
    <cellStyle name="20% - Accent3 2 3 2 3 2" xfId="591"/>
    <cellStyle name="20% - Accent3 2 3 2 3 3" xfId="592"/>
    <cellStyle name="20% - Accent3 2 3 2 4" xfId="593"/>
    <cellStyle name="20% - Accent3 2 3 2 5" xfId="594"/>
    <cellStyle name="20% - Accent3 2 3 2 6" xfId="595"/>
    <cellStyle name="20% - Accent3 2 3 3" xfId="596"/>
    <cellStyle name="20% - Accent3 2 3 3 2" xfId="597"/>
    <cellStyle name="20% - Accent3 2 3 3 2 2" xfId="598"/>
    <cellStyle name="20% - Accent3 2 3 3 2 3" xfId="599"/>
    <cellStyle name="20% - Accent3 2 3 3 2 4" xfId="600"/>
    <cellStyle name="20% - Accent3 2 3 3 3" xfId="601"/>
    <cellStyle name="20% - Accent3 2 3 3 3 2" xfId="602"/>
    <cellStyle name="20% - Accent3 2 3 3 3 3" xfId="603"/>
    <cellStyle name="20% - Accent3 2 3 3 4" xfId="604"/>
    <cellStyle name="20% - Accent3 2 3 3 5" xfId="605"/>
    <cellStyle name="20% - Accent3 2 3 3 6" xfId="606"/>
    <cellStyle name="20% - Accent3 2 3 4" xfId="607"/>
    <cellStyle name="20% - Accent3 2 3 4 2" xfId="608"/>
    <cellStyle name="20% - Accent3 2 3 4 3" xfId="609"/>
    <cellStyle name="20% - Accent3 2 3 4 4" xfId="610"/>
    <cellStyle name="20% - Accent3 2 3 5" xfId="611"/>
    <cellStyle name="20% - Accent3 2 3 5 2" xfId="612"/>
    <cellStyle name="20% - Accent3 2 3 5 3" xfId="613"/>
    <cellStyle name="20% - Accent3 2 3 6" xfId="614"/>
    <cellStyle name="20% - Accent3 2 3 7" xfId="615"/>
    <cellStyle name="20% - Accent3 2 3 8" xfId="616"/>
    <cellStyle name="20% - Accent3 2 4" xfId="617"/>
    <cellStyle name="20% - Accent3 2 4 2" xfId="618"/>
    <cellStyle name="20% - Accent3 2 4 2 2" xfId="619"/>
    <cellStyle name="20% - Accent3 2 4 2 3" xfId="620"/>
    <cellStyle name="20% - Accent3 2 4 2 4" xfId="621"/>
    <cellStyle name="20% - Accent3 2 4 3" xfId="622"/>
    <cellStyle name="20% - Accent3 2 4 3 2" xfId="623"/>
    <cellStyle name="20% - Accent3 2 4 3 3" xfId="624"/>
    <cellStyle name="20% - Accent3 2 4 4" xfId="625"/>
    <cellStyle name="20% - Accent3 2 4 5" xfId="626"/>
    <cellStyle name="20% - Accent3 2 4 6" xfId="627"/>
    <cellStyle name="20% - Accent3 2 5" xfId="628"/>
    <cellStyle name="20% - Accent3 2 5 2" xfId="629"/>
    <cellStyle name="20% - Accent3 2 5 3" xfId="630"/>
    <cellStyle name="20% - Accent3 2 6" xfId="631"/>
    <cellStyle name="20% - Accent3 2 7" xfId="632"/>
    <cellStyle name="20% - Accent3 2 8" xfId="633"/>
    <cellStyle name="20% - Accent3 2 9" xfId="634"/>
    <cellStyle name="20% - Accent3 3" xfId="635"/>
    <cellStyle name="20% - Accent3 3 2" xfId="636"/>
    <cellStyle name="20% - Accent3 3 2 2" xfId="637"/>
    <cellStyle name="20% - Accent3 3 2 2 2" xfId="638"/>
    <cellStyle name="20% - Accent3 3 2 2 2 2" xfId="639"/>
    <cellStyle name="20% - Accent3 3 2 2 2 2 2" xfId="640"/>
    <cellStyle name="20% - Accent3 3 2 2 2 2 2 2" xfId="641"/>
    <cellStyle name="20% - Accent3 3 2 2 2 2 2 2 2" xfId="642"/>
    <cellStyle name="20% - Accent3 3 2 2 2 2 2 3" xfId="643"/>
    <cellStyle name="20% - Accent3 3 2 2 2 2 2 3 2" xfId="644"/>
    <cellStyle name="20% - Accent3 3 2 2 2 2 2 4" xfId="645"/>
    <cellStyle name="20% - Accent3 3 2 2 2 2 3" xfId="646"/>
    <cellStyle name="20% - Accent3 3 2 2 2 2 3 2" xfId="647"/>
    <cellStyle name="20% - Accent3 3 2 2 2 2 4" xfId="648"/>
    <cellStyle name="20% - Accent3 3 2 2 2 2 4 2" xfId="649"/>
    <cellStyle name="20% - Accent3 3 2 2 2 2 5" xfId="650"/>
    <cellStyle name="20% - Accent3 3 2 2 2 3" xfId="651"/>
    <cellStyle name="20% - Accent3 3 2 2 2 3 2" xfId="652"/>
    <cellStyle name="20% - Accent3 3 2 2 2 3 2 2" xfId="653"/>
    <cellStyle name="20% - Accent3 3 2 2 2 3 3" xfId="654"/>
    <cellStyle name="20% - Accent3 3 2 2 2 3 3 2" xfId="655"/>
    <cellStyle name="20% - Accent3 3 2 2 2 3 4" xfId="656"/>
    <cellStyle name="20% - Accent3 3 2 2 2 4" xfId="657"/>
    <cellStyle name="20% - Accent3 3 2 2 2 4 2" xfId="658"/>
    <cellStyle name="20% - Accent3 3 2 2 2 5" xfId="659"/>
    <cellStyle name="20% - Accent3 3 2 2 2 5 2" xfId="660"/>
    <cellStyle name="20% - Accent3 3 2 2 2 6" xfId="661"/>
    <cellStyle name="20% - Accent3 3 2 2 3" xfId="662"/>
    <cellStyle name="20% - Accent3 3 2 2 3 2" xfId="663"/>
    <cellStyle name="20% - Accent3 3 2 2 3 2 2" xfId="664"/>
    <cellStyle name="20% - Accent3 3 2 2 3 2 2 2" xfId="665"/>
    <cellStyle name="20% - Accent3 3 2 2 3 2 3" xfId="666"/>
    <cellStyle name="20% - Accent3 3 2 2 3 2 3 2" xfId="667"/>
    <cellStyle name="20% - Accent3 3 2 2 3 2 4" xfId="668"/>
    <cellStyle name="20% - Accent3 3 2 2 3 3" xfId="669"/>
    <cellStyle name="20% - Accent3 3 2 2 3 3 2" xfId="670"/>
    <cellStyle name="20% - Accent3 3 2 2 3 4" xfId="671"/>
    <cellStyle name="20% - Accent3 3 2 2 3 4 2" xfId="672"/>
    <cellStyle name="20% - Accent3 3 2 2 3 5" xfId="673"/>
    <cellStyle name="20% - Accent3 3 2 2 4" xfId="674"/>
    <cellStyle name="20% - Accent3 3 2 2 4 2" xfId="675"/>
    <cellStyle name="20% - Accent3 3 2 2 4 2 2" xfId="676"/>
    <cellStyle name="20% - Accent3 3 2 2 4 3" xfId="677"/>
    <cellStyle name="20% - Accent3 3 2 2 4 3 2" xfId="678"/>
    <cellStyle name="20% - Accent3 3 2 2 4 4" xfId="679"/>
    <cellStyle name="20% - Accent3 3 2 2 5" xfId="680"/>
    <cellStyle name="20% - Accent3 3 2 2 5 2" xfId="681"/>
    <cellStyle name="20% - Accent3 3 2 2 6" xfId="682"/>
    <cellStyle name="20% - Accent3 3 2 2 6 2" xfId="683"/>
    <cellStyle name="20% - Accent3 3 2 2 7" xfId="684"/>
    <cellStyle name="20% - Accent3 3 2 3" xfId="685"/>
    <cellStyle name="20% - Accent3 3 3" xfId="686"/>
    <cellStyle name="20% - Accent3 4" xfId="687"/>
    <cellStyle name="20% - Accent3 4 2" xfId="688"/>
    <cellStyle name="20% - Accent3 4 2 2" xfId="689"/>
    <cellStyle name="20% - Accent3 4 2 2 2" xfId="690"/>
    <cellStyle name="20% - Accent3 4 2 2 2 2" xfId="691"/>
    <cellStyle name="20% - Accent3 4 2 2 2 2 2" xfId="692"/>
    <cellStyle name="20% - Accent3 4 2 2 2 3" xfId="693"/>
    <cellStyle name="20% - Accent3 4 2 2 2 3 2" xfId="694"/>
    <cellStyle name="20% - Accent3 4 2 2 2 4" xfId="695"/>
    <cellStyle name="20% - Accent3 4 2 2 3" xfId="696"/>
    <cellStyle name="20% - Accent3 4 2 2 3 2" xfId="697"/>
    <cellStyle name="20% - Accent3 4 2 2 4" xfId="698"/>
    <cellStyle name="20% - Accent3 4 2 2 4 2" xfId="699"/>
    <cellStyle name="20% - Accent3 4 2 2 5" xfId="700"/>
    <cellStyle name="20% - Accent3 4 2 3" xfId="701"/>
    <cellStyle name="20% - Accent3 4 2 3 2" xfId="702"/>
    <cellStyle name="20% - Accent3 4 2 3 2 2" xfId="703"/>
    <cellStyle name="20% - Accent3 4 2 3 3" xfId="704"/>
    <cellStyle name="20% - Accent3 4 2 3 3 2" xfId="705"/>
    <cellStyle name="20% - Accent3 4 2 3 4" xfId="706"/>
    <cellStyle name="20% - Accent3 4 2 4" xfId="707"/>
    <cellStyle name="20% - Accent3 4 2 4 2" xfId="708"/>
    <cellStyle name="20% - Accent3 4 2 5" xfId="709"/>
    <cellStyle name="20% - Accent3 4 2 5 2" xfId="710"/>
    <cellStyle name="20% - Accent3 4 2 6" xfId="711"/>
    <cellStyle name="20% - Accent3 4 3" xfId="712"/>
    <cellStyle name="20% - Accent3 4 3 2" xfId="713"/>
    <cellStyle name="20% - Accent3 4 3 2 2" xfId="714"/>
    <cellStyle name="20% - Accent3 4 3 2 2 2" xfId="715"/>
    <cellStyle name="20% - Accent3 4 3 2 3" xfId="716"/>
    <cellStyle name="20% - Accent3 4 3 2 3 2" xfId="717"/>
    <cellStyle name="20% - Accent3 4 3 2 4" xfId="718"/>
    <cellStyle name="20% - Accent3 4 3 3" xfId="719"/>
    <cellStyle name="20% - Accent3 4 3 3 2" xfId="720"/>
    <cellStyle name="20% - Accent3 4 3 4" xfId="721"/>
    <cellStyle name="20% - Accent3 4 3 4 2" xfId="722"/>
    <cellStyle name="20% - Accent3 4 3 5" xfId="723"/>
    <cellStyle name="20% - Accent3 4 4" xfId="724"/>
    <cellStyle name="20% - Accent3 4 4 2" xfId="725"/>
    <cellStyle name="20% - Accent3 4 4 2 2" xfId="726"/>
    <cellStyle name="20% - Accent3 4 4 3" xfId="727"/>
    <cellStyle name="20% - Accent3 4 4 3 2" xfId="728"/>
    <cellStyle name="20% - Accent3 4 4 4" xfId="729"/>
    <cellStyle name="20% - Accent3 4 5" xfId="730"/>
    <cellStyle name="20% - Accent3 4 5 2" xfId="731"/>
    <cellStyle name="20% - Accent3 4 6" xfId="732"/>
    <cellStyle name="20% - Accent3 4 6 2" xfId="733"/>
    <cellStyle name="20% - Accent3 4 7" xfId="734"/>
    <cellStyle name="20% - Accent3 5" xfId="735"/>
    <cellStyle name="20% - Accent3 5 2" xfId="736"/>
    <cellStyle name="20% - Accent3 5 2 2" xfId="737"/>
    <cellStyle name="20% - Accent3 5 2 2 2" xfId="738"/>
    <cellStyle name="20% - Accent3 5 2 2 2 2" xfId="739"/>
    <cellStyle name="20% - Accent3 5 2 2 3" xfId="740"/>
    <cellStyle name="20% - Accent3 5 2 2 3 2" xfId="741"/>
    <cellStyle name="20% - Accent3 5 2 2 4" xfId="742"/>
    <cellStyle name="20% - Accent3 5 2 3" xfId="743"/>
    <cellStyle name="20% - Accent3 5 2 3 2" xfId="744"/>
    <cellStyle name="20% - Accent3 5 2 4" xfId="745"/>
    <cellStyle name="20% - Accent3 5 2 4 2" xfId="746"/>
    <cellStyle name="20% - Accent3 5 2 5" xfId="747"/>
    <cellStyle name="20% - Accent3 5 3" xfId="748"/>
    <cellStyle name="20% - Accent3 5 3 2" xfId="749"/>
    <cellStyle name="20% - Accent3 5 3 2 2" xfId="750"/>
    <cellStyle name="20% - Accent3 5 3 2 2 2" xfId="751"/>
    <cellStyle name="20% - Accent3 5 3 2 3" xfId="752"/>
    <cellStyle name="20% - Accent3 5 3 2 3 2" xfId="753"/>
    <cellStyle name="20% - Accent3 5 3 2 4" xfId="754"/>
    <cellStyle name="20% - Accent3 5 3 3" xfId="755"/>
    <cellStyle name="20% - Accent3 5 3 3 2" xfId="756"/>
    <cellStyle name="20% - Accent3 5 3 3 2 2" xfId="757"/>
    <cellStyle name="20% - Accent3 5 3 3 3" xfId="758"/>
    <cellStyle name="20% - Accent3 5 3 3 3 2" xfId="759"/>
    <cellStyle name="20% - Accent3 5 3 3 4" xfId="760"/>
    <cellStyle name="20% - Accent3 5 3 4" xfId="761"/>
    <cellStyle name="20% - Accent3 5 3 4 2" xfId="762"/>
    <cellStyle name="20% - Accent3 5 3 5" xfId="763"/>
    <cellStyle name="20% - Accent3 5 3 5 2" xfId="764"/>
    <cellStyle name="20% - Accent3 5 3 6" xfId="765"/>
    <cellStyle name="20% - Accent3 5 4" xfId="766"/>
    <cellStyle name="20% - Accent3 5 4 2" xfId="767"/>
    <cellStyle name="20% - Accent3 5 4 2 2" xfId="768"/>
    <cellStyle name="20% - Accent3 5 4 3" xfId="769"/>
    <cellStyle name="20% - Accent3 5 4 3 2" xfId="770"/>
    <cellStyle name="20% - Accent3 5 4 4" xfId="771"/>
    <cellStyle name="20% - Accent3 5 5" xfId="772"/>
    <cellStyle name="20% - Accent3 5 5 2" xfId="773"/>
    <cellStyle name="20% - Accent3 5 6" xfId="774"/>
    <cellStyle name="20% - Accent3 5 6 2" xfId="775"/>
    <cellStyle name="20% - Accent3 5 7" xfId="776"/>
    <cellStyle name="20% - Accent3 6" xfId="777"/>
    <cellStyle name="20% - Accent3 6 2" xfId="778"/>
    <cellStyle name="20% - Accent3 6 2 2" xfId="779"/>
    <cellStyle name="20% - Accent3 6 2 2 2" xfId="780"/>
    <cellStyle name="20% - Accent3 6 2 3" xfId="781"/>
    <cellStyle name="20% - Accent3 6 2 3 2" xfId="782"/>
    <cellStyle name="20% - Accent3 6 2 4" xfId="783"/>
    <cellStyle name="20% - Accent3 6 3" xfId="784"/>
    <cellStyle name="20% - Accent3 6 3 2" xfId="785"/>
    <cellStyle name="20% - Accent3 6 4" xfId="786"/>
    <cellStyle name="20% - Accent3 6 4 2" xfId="787"/>
    <cellStyle name="20% - Accent3 6 5" xfId="788"/>
    <cellStyle name="20% - Accent4 2" xfId="789"/>
    <cellStyle name="20% - Accent4 2 10" xfId="790"/>
    <cellStyle name="20% - Accent4 2 11" xfId="791"/>
    <cellStyle name="20% - Accent4 2 2" xfId="792"/>
    <cellStyle name="20% - Accent4 2 2 10" xfId="793"/>
    <cellStyle name="20% - Accent4 2 2 2" xfId="794"/>
    <cellStyle name="20% - Accent4 2 2 2 2" xfId="795"/>
    <cellStyle name="20% - Accent4 2 2 2 2 2" xfId="796"/>
    <cellStyle name="20% - Accent4 2 2 2 2 2 2" xfId="797"/>
    <cellStyle name="20% - Accent4 2 2 2 2 2 3" xfId="798"/>
    <cellStyle name="20% - Accent4 2 2 2 2 2 4" xfId="799"/>
    <cellStyle name="20% - Accent4 2 2 2 2 3" xfId="800"/>
    <cellStyle name="20% - Accent4 2 2 2 2 3 2" xfId="801"/>
    <cellStyle name="20% - Accent4 2 2 2 2 3 3" xfId="802"/>
    <cellStyle name="20% - Accent4 2 2 2 2 4" xfId="803"/>
    <cellStyle name="20% - Accent4 2 2 2 2 5" xfId="804"/>
    <cellStyle name="20% - Accent4 2 2 2 2 6" xfId="805"/>
    <cellStyle name="20% - Accent4 2 2 2 3" xfId="806"/>
    <cellStyle name="20% - Accent4 2 2 2 3 2" xfId="807"/>
    <cellStyle name="20% - Accent4 2 2 2 3 3" xfId="808"/>
    <cellStyle name="20% - Accent4 2 2 2 3 4" xfId="809"/>
    <cellStyle name="20% - Accent4 2 2 2 4" xfId="810"/>
    <cellStyle name="20% - Accent4 2 2 2 4 2" xfId="811"/>
    <cellStyle name="20% - Accent4 2 2 2 4 3" xfId="812"/>
    <cellStyle name="20% - Accent4 2 2 2 4 4" xfId="813"/>
    <cellStyle name="20% - Accent4 2 2 2 5" xfId="814"/>
    <cellStyle name="20% - Accent4 2 2 2 5 2" xfId="815"/>
    <cellStyle name="20% - Accent4 2 2 2 5 3" xfId="816"/>
    <cellStyle name="20% - Accent4 2 2 2 6" xfId="817"/>
    <cellStyle name="20% - Accent4 2 2 2 7" xfId="818"/>
    <cellStyle name="20% - Accent4 2 2 2 8" xfId="819"/>
    <cellStyle name="20% - Accent4 2 2 3" xfId="820"/>
    <cellStyle name="20% - Accent4 2 2 3 2" xfId="821"/>
    <cellStyle name="20% - Accent4 2 2 3 2 2" xfId="822"/>
    <cellStyle name="20% - Accent4 2 2 3 2 3" xfId="823"/>
    <cellStyle name="20% - Accent4 2 2 3 2 4" xfId="824"/>
    <cellStyle name="20% - Accent4 2 2 3 3" xfId="825"/>
    <cellStyle name="20% - Accent4 2 2 3 3 2" xfId="826"/>
    <cellStyle name="20% - Accent4 2 2 3 3 3" xfId="827"/>
    <cellStyle name="20% - Accent4 2 2 3 4" xfId="828"/>
    <cellStyle name="20% - Accent4 2 2 3 5" xfId="829"/>
    <cellStyle name="20% - Accent4 2 2 3 6" xfId="830"/>
    <cellStyle name="20% - Accent4 2 2 4" xfId="831"/>
    <cellStyle name="20% - Accent4 2 2 4 2" xfId="832"/>
    <cellStyle name="20% - Accent4 2 2 4 3" xfId="833"/>
    <cellStyle name="20% - Accent4 2 2 4 4" xfId="834"/>
    <cellStyle name="20% - Accent4 2 2 5" xfId="835"/>
    <cellStyle name="20% - Accent4 2 2 5 2" xfId="836"/>
    <cellStyle name="20% - Accent4 2 2 5 3" xfId="837"/>
    <cellStyle name="20% - Accent4 2 2 5 4" xfId="838"/>
    <cellStyle name="20% - Accent4 2 2 6" xfId="839"/>
    <cellStyle name="20% - Accent4 2 2 6 2" xfId="840"/>
    <cellStyle name="20% - Accent4 2 2 6 3" xfId="841"/>
    <cellStyle name="20% - Accent4 2 2 7" xfId="842"/>
    <cellStyle name="20% - Accent4 2 2 8" xfId="843"/>
    <cellStyle name="20% - Accent4 2 2 9" xfId="844"/>
    <cellStyle name="20% - Accent4 2 3" xfId="845"/>
    <cellStyle name="20% - Accent4 2 3 2" xfId="846"/>
    <cellStyle name="20% - Accent4 2 3 2 2" xfId="847"/>
    <cellStyle name="20% - Accent4 2 3 2 2 2" xfId="848"/>
    <cellStyle name="20% - Accent4 2 3 2 2 3" xfId="849"/>
    <cellStyle name="20% - Accent4 2 3 2 2 4" xfId="850"/>
    <cellStyle name="20% - Accent4 2 3 2 3" xfId="851"/>
    <cellStyle name="20% - Accent4 2 3 2 3 2" xfId="852"/>
    <cellStyle name="20% - Accent4 2 3 2 3 3" xfId="853"/>
    <cellStyle name="20% - Accent4 2 3 2 4" xfId="854"/>
    <cellStyle name="20% - Accent4 2 3 2 5" xfId="855"/>
    <cellStyle name="20% - Accent4 2 3 2 6" xfId="856"/>
    <cellStyle name="20% - Accent4 2 3 3" xfId="857"/>
    <cellStyle name="20% - Accent4 2 3 3 2" xfId="858"/>
    <cellStyle name="20% - Accent4 2 3 3 2 2" xfId="859"/>
    <cellStyle name="20% - Accent4 2 3 3 2 3" xfId="860"/>
    <cellStyle name="20% - Accent4 2 3 3 2 4" xfId="861"/>
    <cellStyle name="20% - Accent4 2 3 3 3" xfId="862"/>
    <cellStyle name="20% - Accent4 2 3 3 3 2" xfId="863"/>
    <cellStyle name="20% - Accent4 2 3 3 3 3" xfId="864"/>
    <cellStyle name="20% - Accent4 2 3 3 4" xfId="865"/>
    <cellStyle name="20% - Accent4 2 3 3 5" xfId="866"/>
    <cellStyle name="20% - Accent4 2 3 3 6" xfId="867"/>
    <cellStyle name="20% - Accent4 2 3 4" xfId="868"/>
    <cellStyle name="20% - Accent4 2 3 4 2" xfId="869"/>
    <cellStyle name="20% - Accent4 2 3 4 3" xfId="870"/>
    <cellStyle name="20% - Accent4 2 3 4 4" xfId="871"/>
    <cellStyle name="20% - Accent4 2 3 5" xfId="872"/>
    <cellStyle name="20% - Accent4 2 3 5 2" xfId="873"/>
    <cellStyle name="20% - Accent4 2 3 5 3" xfId="874"/>
    <cellStyle name="20% - Accent4 2 3 6" xfId="875"/>
    <cellStyle name="20% - Accent4 2 3 7" xfId="876"/>
    <cellStyle name="20% - Accent4 2 3 8" xfId="877"/>
    <cellStyle name="20% - Accent4 2 4" xfId="878"/>
    <cellStyle name="20% - Accent4 2 4 2" xfId="879"/>
    <cellStyle name="20% - Accent4 2 4 2 2" xfId="880"/>
    <cellStyle name="20% - Accent4 2 4 2 3" xfId="881"/>
    <cellStyle name="20% - Accent4 2 4 2 4" xfId="882"/>
    <cellStyle name="20% - Accent4 2 4 3" xfId="883"/>
    <cellStyle name="20% - Accent4 2 4 3 2" xfId="884"/>
    <cellStyle name="20% - Accent4 2 4 3 3" xfId="885"/>
    <cellStyle name="20% - Accent4 2 4 4" xfId="886"/>
    <cellStyle name="20% - Accent4 2 4 5" xfId="887"/>
    <cellStyle name="20% - Accent4 2 4 6" xfId="888"/>
    <cellStyle name="20% - Accent4 2 5" xfId="889"/>
    <cellStyle name="20% - Accent4 2 5 2" xfId="890"/>
    <cellStyle name="20% - Accent4 2 5 2 2" xfId="891"/>
    <cellStyle name="20% - Accent4 2 5 2 3" xfId="892"/>
    <cellStyle name="20% - Accent4 2 5 2 4" xfId="893"/>
    <cellStyle name="20% - Accent4 2 5 3" xfId="894"/>
    <cellStyle name="20% - Accent4 2 5 3 2" xfId="895"/>
    <cellStyle name="20% - Accent4 2 5 3 3" xfId="896"/>
    <cellStyle name="20% - Accent4 2 5 4" xfId="897"/>
    <cellStyle name="20% - Accent4 2 5 5" xfId="898"/>
    <cellStyle name="20% - Accent4 2 5 6" xfId="899"/>
    <cellStyle name="20% - Accent4 2 6" xfId="900"/>
    <cellStyle name="20% - Accent4 2 6 2" xfId="901"/>
    <cellStyle name="20% - Accent4 2 6 3" xfId="902"/>
    <cellStyle name="20% - Accent4 2 6 4" xfId="903"/>
    <cellStyle name="20% - Accent4 2 7" xfId="904"/>
    <cellStyle name="20% - Accent4 2 7 2" xfId="905"/>
    <cellStyle name="20% - Accent4 2 7 3" xfId="906"/>
    <cellStyle name="20% - Accent4 2 8" xfId="907"/>
    <cellStyle name="20% - Accent4 2 9" xfId="908"/>
    <cellStyle name="20% - Accent4 3" xfId="909"/>
    <cellStyle name="20% - Accent4 3 2" xfId="910"/>
    <cellStyle name="20% - Accent4 3 2 2" xfId="911"/>
    <cellStyle name="20% - Accent4 3 2 2 2" xfId="912"/>
    <cellStyle name="20% - Accent4 3 2 2 2 2" xfId="913"/>
    <cellStyle name="20% - Accent4 3 2 2 2 2 2" xfId="914"/>
    <cellStyle name="20% - Accent4 3 2 2 2 2 2 2" xfId="915"/>
    <cellStyle name="20% - Accent4 3 2 2 2 2 2 2 2" xfId="916"/>
    <cellStyle name="20% - Accent4 3 2 2 2 2 2 3" xfId="917"/>
    <cellStyle name="20% - Accent4 3 2 2 2 2 2 3 2" xfId="918"/>
    <cellStyle name="20% - Accent4 3 2 2 2 2 2 4" xfId="919"/>
    <cellStyle name="20% - Accent4 3 2 2 2 2 3" xfId="920"/>
    <cellStyle name="20% - Accent4 3 2 2 2 2 3 2" xfId="921"/>
    <cellStyle name="20% - Accent4 3 2 2 2 2 4" xfId="922"/>
    <cellStyle name="20% - Accent4 3 2 2 2 2 4 2" xfId="923"/>
    <cellStyle name="20% - Accent4 3 2 2 2 2 5" xfId="924"/>
    <cellStyle name="20% - Accent4 3 2 2 2 3" xfId="925"/>
    <cellStyle name="20% - Accent4 3 2 2 2 3 2" xfId="926"/>
    <cellStyle name="20% - Accent4 3 2 2 2 3 2 2" xfId="927"/>
    <cellStyle name="20% - Accent4 3 2 2 2 3 3" xfId="928"/>
    <cellStyle name="20% - Accent4 3 2 2 2 3 3 2" xfId="929"/>
    <cellStyle name="20% - Accent4 3 2 2 2 3 4" xfId="930"/>
    <cellStyle name="20% - Accent4 3 2 2 2 4" xfId="931"/>
    <cellStyle name="20% - Accent4 3 2 2 2 4 2" xfId="932"/>
    <cellStyle name="20% - Accent4 3 2 2 2 5" xfId="933"/>
    <cellStyle name="20% - Accent4 3 2 2 2 5 2" xfId="934"/>
    <cellStyle name="20% - Accent4 3 2 2 2 6" xfId="935"/>
    <cellStyle name="20% - Accent4 3 2 2 3" xfId="936"/>
    <cellStyle name="20% - Accent4 3 2 2 3 2" xfId="937"/>
    <cellStyle name="20% - Accent4 3 2 2 3 2 2" xfId="938"/>
    <cellStyle name="20% - Accent4 3 2 2 3 2 2 2" xfId="939"/>
    <cellStyle name="20% - Accent4 3 2 2 3 2 3" xfId="940"/>
    <cellStyle name="20% - Accent4 3 2 2 3 2 3 2" xfId="941"/>
    <cellStyle name="20% - Accent4 3 2 2 3 2 4" xfId="942"/>
    <cellStyle name="20% - Accent4 3 2 2 3 3" xfId="943"/>
    <cellStyle name="20% - Accent4 3 2 2 3 3 2" xfId="944"/>
    <cellStyle name="20% - Accent4 3 2 2 3 4" xfId="945"/>
    <cellStyle name="20% - Accent4 3 2 2 3 4 2" xfId="946"/>
    <cellStyle name="20% - Accent4 3 2 2 3 5" xfId="947"/>
    <cellStyle name="20% - Accent4 3 2 2 4" xfId="948"/>
    <cellStyle name="20% - Accent4 3 2 2 4 2" xfId="949"/>
    <cellStyle name="20% - Accent4 3 2 2 4 2 2" xfId="950"/>
    <cellStyle name="20% - Accent4 3 2 2 4 3" xfId="951"/>
    <cellStyle name="20% - Accent4 3 2 2 4 3 2" xfId="952"/>
    <cellStyle name="20% - Accent4 3 2 2 4 4" xfId="953"/>
    <cellStyle name="20% - Accent4 3 2 2 5" xfId="954"/>
    <cellStyle name="20% - Accent4 3 2 2 5 2" xfId="955"/>
    <cellStyle name="20% - Accent4 3 2 2 6" xfId="956"/>
    <cellStyle name="20% - Accent4 3 2 2 6 2" xfId="957"/>
    <cellStyle name="20% - Accent4 3 2 2 7" xfId="958"/>
    <cellStyle name="20% - Accent4 3 2 3" xfId="959"/>
    <cellStyle name="20% - Accent4 3 3" xfId="960"/>
    <cellStyle name="20% - Accent4 4" xfId="961"/>
    <cellStyle name="20% - Accent4 4 2" xfId="962"/>
    <cellStyle name="20% - Accent4 4 2 2" xfId="963"/>
    <cellStyle name="20% - Accent4 4 2 2 2" xfId="964"/>
    <cellStyle name="20% - Accent4 4 2 2 2 2" xfId="965"/>
    <cellStyle name="20% - Accent4 4 2 2 2 2 2" xfId="966"/>
    <cellStyle name="20% - Accent4 4 2 2 2 3" xfId="967"/>
    <cellStyle name="20% - Accent4 4 2 2 2 3 2" xfId="968"/>
    <cellStyle name="20% - Accent4 4 2 2 2 4" xfId="969"/>
    <cellStyle name="20% - Accent4 4 2 2 3" xfId="970"/>
    <cellStyle name="20% - Accent4 4 2 2 3 2" xfId="971"/>
    <cellStyle name="20% - Accent4 4 2 2 4" xfId="972"/>
    <cellStyle name="20% - Accent4 4 2 2 4 2" xfId="973"/>
    <cellStyle name="20% - Accent4 4 2 2 5" xfId="974"/>
    <cellStyle name="20% - Accent4 4 2 3" xfId="975"/>
    <cellStyle name="20% - Accent4 4 2 3 2" xfId="976"/>
    <cellStyle name="20% - Accent4 4 2 3 2 2" xfId="977"/>
    <cellStyle name="20% - Accent4 4 2 3 3" xfId="978"/>
    <cellStyle name="20% - Accent4 4 2 3 3 2" xfId="979"/>
    <cellStyle name="20% - Accent4 4 2 3 4" xfId="980"/>
    <cellStyle name="20% - Accent4 4 2 4" xfId="981"/>
    <cellStyle name="20% - Accent4 4 2 4 2" xfId="982"/>
    <cellStyle name="20% - Accent4 4 2 5" xfId="983"/>
    <cellStyle name="20% - Accent4 4 2 5 2" xfId="984"/>
    <cellStyle name="20% - Accent4 4 2 6" xfId="985"/>
    <cellStyle name="20% - Accent4 4 3" xfId="986"/>
    <cellStyle name="20% - Accent4 4 3 2" xfId="987"/>
    <cellStyle name="20% - Accent4 4 3 2 2" xfId="988"/>
    <cellStyle name="20% - Accent4 4 3 2 2 2" xfId="989"/>
    <cellStyle name="20% - Accent4 4 3 2 3" xfId="990"/>
    <cellStyle name="20% - Accent4 4 3 2 3 2" xfId="991"/>
    <cellStyle name="20% - Accent4 4 3 2 4" xfId="992"/>
    <cellStyle name="20% - Accent4 4 3 3" xfId="993"/>
    <cellStyle name="20% - Accent4 4 3 3 2" xfId="994"/>
    <cellStyle name="20% - Accent4 4 3 4" xfId="995"/>
    <cellStyle name="20% - Accent4 4 3 4 2" xfId="996"/>
    <cellStyle name="20% - Accent4 4 3 5" xfId="997"/>
    <cellStyle name="20% - Accent4 4 4" xfId="998"/>
    <cellStyle name="20% - Accent4 4 4 2" xfId="999"/>
    <cellStyle name="20% - Accent4 4 4 2 2" xfId="1000"/>
    <cellStyle name="20% - Accent4 4 4 3" xfId="1001"/>
    <cellStyle name="20% - Accent4 4 4 3 2" xfId="1002"/>
    <cellStyle name="20% - Accent4 4 4 4" xfId="1003"/>
    <cellStyle name="20% - Accent4 4 5" xfId="1004"/>
    <cellStyle name="20% - Accent4 4 5 2" xfId="1005"/>
    <cellStyle name="20% - Accent4 4 6" xfId="1006"/>
    <cellStyle name="20% - Accent4 4 6 2" xfId="1007"/>
    <cellStyle name="20% - Accent4 4 7" xfId="1008"/>
    <cellStyle name="20% - Accent4 5" xfId="1009"/>
    <cellStyle name="20% - Accent4 5 2" xfId="1010"/>
    <cellStyle name="20% - Accent4 5 2 2" xfId="1011"/>
    <cellStyle name="20% - Accent4 5 2 2 2" xfId="1012"/>
    <cellStyle name="20% - Accent4 5 2 2 2 2" xfId="1013"/>
    <cellStyle name="20% - Accent4 5 2 2 3" xfId="1014"/>
    <cellStyle name="20% - Accent4 5 2 2 3 2" xfId="1015"/>
    <cellStyle name="20% - Accent4 5 2 2 4" xfId="1016"/>
    <cellStyle name="20% - Accent4 5 2 3" xfId="1017"/>
    <cellStyle name="20% - Accent4 5 2 3 2" xfId="1018"/>
    <cellStyle name="20% - Accent4 5 2 4" xfId="1019"/>
    <cellStyle name="20% - Accent4 5 2 4 2" xfId="1020"/>
    <cellStyle name="20% - Accent4 5 2 5" xfId="1021"/>
    <cellStyle name="20% - Accent4 5 3" xfId="1022"/>
    <cellStyle name="20% - Accent4 5 3 2" xfId="1023"/>
    <cellStyle name="20% - Accent4 5 3 2 2" xfId="1024"/>
    <cellStyle name="20% - Accent4 5 3 2 2 2" xfId="1025"/>
    <cellStyle name="20% - Accent4 5 3 2 3" xfId="1026"/>
    <cellStyle name="20% - Accent4 5 3 2 3 2" xfId="1027"/>
    <cellStyle name="20% - Accent4 5 3 2 4" xfId="1028"/>
    <cellStyle name="20% - Accent4 5 3 3" xfId="1029"/>
    <cellStyle name="20% - Accent4 5 3 3 2" xfId="1030"/>
    <cellStyle name="20% - Accent4 5 3 3 2 2" xfId="1031"/>
    <cellStyle name="20% - Accent4 5 3 3 3" xfId="1032"/>
    <cellStyle name="20% - Accent4 5 3 3 3 2" xfId="1033"/>
    <cellStyle name="20% - Accent4 5 3 3 4" xfId="1034"/>
    <cellStyle name="20% - Accent4 5 3 4" xfId="1035"/>
    <cellStyle name="20% - Accent4 5 3 4 2" xfId="1036"/>
    <cellStyle name="20% - Accent4 5 3 5" xfId="1037"/>
    <cellStyle name="20% - Accent4 5 3 5 2" xfId="1038"/>
    <cellStyle name="20% - Accent4 5 3 6" xfId="1039"/>
    <cellStyle name="20% - Accent4 5 4" xfId="1040"/>
    <cellStyle name="20% - Accent4 5 4 2" xfId="1041"/>
    <cellStyle name="20% - Accent4 5 4 2 2" xfId="1042"/>
    <cellStyle name="20% - Accent4 5 4 3" xfId="1043"/>
    <cellStyle name="20% - Accent4 5 4 3 2" xfId="1044"/>
    <cellStyle name="20% - Accent4 5 4 4" xfId="1045"/>
    <cellStyle name="20% - Accent4 5 5" xfId="1046"/>
    <cellStyle name="20% - Accent4 5 5 2" xfId="1047"/>
    <cellStyle name="20% - Accent4 5 6" xfId="1048"/>
    <cellStyle name="20% - Accent4 5 6 2" xfId="1049"/>
    <cellStyle name="20% - Accent4 5 7" xfId="1050"/>
    <cellStyle name="20% - Accent4 6" xfId="1051"/>
    <cellStyle name="20% - Accent4 6 2" xfId="1052"/>
    <cellStyle name="20% - Accent4 6 2 2" xfId="1053"/>
    <cellStyle name="20% - Accent4 6 2 2 2" xfId="1054"/>
    <cellStyle name="20% - Accent4 6 2 3" xfId="1055"/>
    <cellStyle name="20% - Accent4 6 2 3 2" xfId="1056"/>
    <cellStyle name="20% - Accent4 6 2 4" xfId="1057"/>
    <cellStyle name="20% - Accent4 6 3" xfId="1058"/>
    <cellStyle name="20% - Accent4 6 3 2" xfId="1059"/>
    <cellStyle name="20% - Accent4 6 4" xfId="1060"/>
    <cellStyle name="20% - Accent4 6 4 2" xfId="1061"/>
    <cellStyle name="20% - Accent4 6 5" xfId="1062"/>
    <cellStyle name="20% - Accent5 2" xfId="1063"/>
    <cellStyle name="20% - Accent5 2 10" xfId="1064"/>
    <cellStyle name="20% - Accent5 2 11" xfId="1065"/>
    <cellStyle name="20% - Accent5 2 2" xfId="1066"/>
    <cellStyle name="20% - Accent5 2 2 2" xfId="1067"/>
    <cellStyle name="20% - Accent5 2 2 2 2" xfId="1068"/>
    <cellStyle name="20% - Accent5 2 2 2 2 2" xfId="1069"/>
    <cellStyle name="20% - Accent5 2 2 2 2 2 2" xfId="1070"/>
    <cellStyle name="20% - Accent5 2 2 2 2 2 3" xfId="1071"/>
    <cellStyle name="20% - Accent5 2 2 2 2 2 4" xfId="1072"/>
    <cellStyle name="20% - Accent5 2 2 2 2 3" xfId="1073"/>
    <cellStyle name="20% - Accent5 2 2 2 2 3 2" xfId="1074"/>
    <cellStyle name="20% - Accent5 2 2 2 2 3 3" xfId="1075"/>
    <cellStyle name="20% - Accent5 2 2 2 2 4" xfId="1076"/>
    <cellStyle name="20% - Accent5 2 2 2 2 5" xfId="1077"/>
    <cellStyle name="20% - Accent5 2 2 2 2 6" xfId="1078"/>
    <cellStyle name="20% - Accent5 2 2 2 3" xfId="1079"/>
    <cellStyle name="20% - Accent5 2 2 2 3 2" xfId="1080"/>
    <cellStyle name="20% - Accent5 2 2 2 3 3" xfId="1081"/>
    <cellStyle name="20% - Accent5 2 2 2 3 4" xfId="1082"/>
    <cellStyle name="20% - Accent5 2 2 2 4" xfId="1083"/>
    <cellStyle name="20% - Accent5 2 2 2 4 2" xfId="1084"/>
    <cellStyle name="20% - Accent5 2 2 2 4 3" xfId="1085"/>
    <cellStyle name="20% - Accent5 2 2 2 4 4" xfId="1086"/>
    <cellStyle name="20% - Accent5 2 2 2 5" xfId="1087"/>
    <cellStyle name="20% - Accent5 2 2 2 5 2" xfId="1088"/>
    <cellStyle name="20% - Accent5 2 2 2 5 3" xfId="1089"/>
    <cellStyle name="20% - Accent5 2 2 2 6" xfId="1090"/>
    <cellStyle name="20% - Accent5 2 2 2 7" xfId="1091"/>
    <cellStyle name="20% - Accent5 2 2 2 8" xfId="1092"/>
    <cellStyle name="20% - Accent5 2 2 3" xfId="1093"/>
    <cellStyle name="20% - Accent5 2 2 3 2" xfId="1094"/>
    <cellStyle name="20% - Accent5 2 2 3 2 2" xfId="1095"/>
    <cellStyle name="20% - Accent5 2 2 3 2 3" xfId="1096"/>
    <cellStyle name="20% - Accent5 2 2 3 2 4" xfId="1097"/>
    <cellStyle name="20% - Accent5 2 2 3 3" xfId="1098"/>
    <cellStyle name="20% - Accent5 2 2 3 3 2" xfId="1099"/>
    <cellStyle name="20% - Accent5 2 2 3 3 3" xfId="1100"/>
    <cellStyle name="20% - Accent5 2 2 3 4" xfId="1101"/>
    <cellStyle name="20% - Accent5 2 2 3 5" xfId="1102"/>
    <cellStyle name="20% - Accent5 2 2 3 6" xfId="1103"/>
    <cellStyle name="20% - Accent5 2 2 4" xfId="1104"/>
    <cellStyle name="20% - Accent5 2 2 4 2" xfId="1105"/>
    <cellStyle name="20% - Accent5 2 2 4 3" xfId="1106"/>
    <cellStyle name="20% - Accent5 2 2 4 4" xfId="1107"/>
    <cellStyle name="20% - Accent5 2 2 5" xfId="1108"/>
    <cellStyle name="20% - Accent5 2 2 5 2" xfId="1109"/>
    <cellStyle name="20% - Accent5 2 2 5 3" xfId="1110"/>
    <cellStyle name="20% - Accent5 2 2 5 4" xfId="1111"/>
    <cellStyle name="20% - Accent5 2 2 6" xfId="1112"/>
    <cellStyle name="20% - Accent5 2 2 6 2" xfId="1113"/>
    <cellStyle name="20% - Accent5 2 2 6 3" xfId="1114"/>
    <cellStyle name="20% - Accent5 2 2 7" xfId="1115"/>
    <cellStyle name="20% - Accent5 2 2 8" xfId="1116"/>
    <cellStyle name="20% - Accent5 2 2 9" xfId="1117"/>
    <cellStyle name="20% - Accent5 2 3" xfId="1118"/>
    <cellStyle name="20% - Accent5 2 3 2" xfId="1119"/>
    <cellStyle name="20% - Accent5 2 3 2 2" xfId="1120"/>
    <cellStyle name="20% - Accent5 2 3 2 2 2" xfId="1121"/>
    <cellStyle name="20% - Accent5 2 3 2 2 3" xfId="1122"/>
    <cellStyle name="20% - Accent5 2 3 2 2 4" xfId="1123"/>
    <cellStyle name="20% - Accent5 2 3 2 3" xfId="1124"/>
    <cellStyle name="20% - Accent5 2 3 2 3 2" xfId="1125"/>
    <cellStyle name="20% - Accent5 2 3 2 3 3" xfId="1126"/>
    <cellStyle name="20% - Accent5 2 3 2 4" xfId="1127"/>
    <cellStyle name="20% - Accent5 2 3 2 5" xfId="1128"/>
    <cellStyle name="20% - Accent5 2 3 2 6" xfId="1129"/>
    <cellStyle name="20% - Accent5 2 3 3" xfId="1130"/>
    <cellStyle name="20% - Accent5 2 3 3 2" xfId="1131"/>
    <cellStyle name="20% - Accent5 2 3 3 2 2" xfId="1132"/>
    <cellStyle name="20% - Accent5 2 3 3 2 3" xfId="1133"/>
    <cellStyle name="20% - Accent5 2 3 3 2 4" xfId="1134"/>
    <cellStyle name="20% - Accent5 2 3 3 3" xfId="1135"/>
    <cellStyle name="20% - Accent5 2 3 3 3 2" xfId="1136"/>
    <cellStyle name="20% - Accent5 2 3 3 3 3" xfId="1137"/>
    <cellStyle name="20% - Accent5 2 3 3 4" xfId="1138"/>
    <cellStyle name="20% - Accent5 2 3 3 5" xfId="1139"/>
    <cellStyle name="20% - Accent5 2 3 3 6" xfId="1140"/>
    <cellStyle name="20% - Accent5 2 3 4" xfId="1141"/>
    <cellStyle name="20% - Accent5 2 3 4 2" xfId="1142"/>
    <cellStyle name="20% - Accent5 2 3 4 3" xfId="1143"/>
    <cellStyle name="20% - Accent5 2 3 4 4" xfId="1144"/>
    <cellStyle name="20% - Accent5 2 3 5" xfId="1145"/>
    <cellStyle name="20% - Accent5 2 3 5 2" xfId="1146"/>
    <cellStyle name="20% - Accent5 2 3 5 3" xfId="1147"/>
    <cellStyle name="20% - Accent5 2 3 6" xfId="1148"/>
    <cellStyle name="20% - Accent5 2 3 7" xfId="1149"/>
    <cellStyle name="20% - Accent5 2 3 8" xfId="1150"/>
    <cellStyle name="20% - Accent5 2 4" xfId="1151"/>
    <cellStyle name="20% - Accent5 2 4 2" xfId="1152"/>
    <cellStyle name="20% - Accent5 2 4 2 2" xfId="1153"/>
    <cellStyle name="20% - Accent5 2 4 2 3" xfId="1154"/>
    <cellStyle name="20% - Accent5 2 4 2 4" xfId="1155"/>
    <cellStyle name="20% - Accent5 2 4 3" xfId="1156"/>
    <cellStyle name="20% - Accent5 2 4 3 2" xfId="1157"/>
    <cellStyle name="20% - Accent5 2 4 3 3" xfId="1158"/>
    <cellStyle name="20% - Accent5 2 4 4" xfId="1159"/>
    <cellStyle name="20% - Accent5 2 4 5" xfId="1160"/>
    <cellStyle name="20% - Accent5 2 4 6" xfId="1161"/>
    <cellStyle name="20% - Accent5 2 5" xfId="1162"/>
    <cellStyle name="20% - Accent5 2 5 2" xfId="1163"/>
    <cellStyle name="20% - Accent5 2 5 2 2" xfId="1164"/>
    <cellStyle name="20% - Accent5 2 5 2 3" xfId="1165"/>
    <cellStyle name="20% - Accent5 2 5 2 4" xfId="1166"/>
    <cellStyle name="20% - Accent5 2 5 3" xfId="1167"/>
    <cellStyle name="20% - Accent5 2 5 3 2" xfId="1168"/>
    <cellStyle name="20% - Accent5 2 5 3 3" xfId="1169"/>
    <cellStyle name="20% - Accent5 2 5 4" xfId="1170"/>
    <cellStyle name="20% - Accent5 2 5 5" xfId="1171"/>
    <cellStyle name="20% - Accent5 2 5 6" xfId="1172"/>
    <cellStyle name="20% - Accent5 2 6" xfId="1173"/>
    <cellStyle name="20% - Accent5 2 6 2" xfId="1174"/>
    <cellStyle name="20% - Accent5 2 6 3" xfId="1175"/>
    <cellStyle name="20% - Accent5 2 6 4" xfId="1176"/>
    <cellStyle name="20% - Accent5 2 7" xfId="1177"/>
    <cellStyle name="20% - Accent5 2 7 2" xfId="1178"/>
    <cellStyle name="20% - Accent5 2 7 3" xfId="1179"/>
    <cellStyle name="20% - Accent5 2 8" xfId="1180"/>
    <cellStyle name="20% - Accent5 2 9" xfId="1181"/>
    <cellStyle name="20% - Accent5 3" xfId="1182"/>
    <cellStyle name="20% - Accent5 3 2" xfId="1183"/>
    <cellStyle name="20% - Accent5 3 2 2" xfId="1184"/>
    <cellStyle name="20% - Accent5 3 2 2 2" xfId="1185"/>
    <cellStyle name="20% - Accent5 3 2 2 2 2" xfId="1186"/>
    <cellStyle name="20% - Accent5 3 2 2 2 2 2" xfId="1187"/>
    <cellStyle name="20% - Accent5 3 2 2 2 2 2 2" xfId="1188"/>
    <cellStyle name="20% - Accent5 3 2 2 2 2 2 2 2" xfId="1189"/>
    <cellStyle name="20% - Accent5 3 2 2 2 2 2 3" xfId="1190"/>
    <cellStyle name="20% - Accent5 3 2 2 2 2 2 3 2" xfId="1191"/>
    <cellStyle name="20% - Accent5 3 2 2 2 2 2 4" xfId="1192"/>
    <cellStyle name="20% - Accent5 3 2 2 2 2 3" xfId="1193"/>
    <cellStyle name="20% - Accent5 3 2 2 2 2 3 2" xfId="1194"/>
    <cellStyle name="20% - Accent5 3 2 2 2 2 4" xfId="1195"/>
    <cellStyle name="20% - Accent5 3 2 2 2 2 4 2" xfId="1196"/>
    <cellStyle name="20% - Accent5 3 2 2 2 2 5" xfId="1197"/>
    <cellStyle name="20% - Accent5 3 2 2 2 3" xfId="1198"/>
    <cellStyle name="20% - Accent5 3 2 2 2 3 2" xfId="1199"/>
    <cellStyle name="20% - Accent5 3 2 2 2 3 2 2" xfId="1200"/>
    <cellStyle name="20% - Accent5 3 2 2 2 3 3" xfId="1201"/>
    <cellStyle name="20% - Accent5 3 2 2 2 3 3 2" xfId="1202"/>
    <cellStyle name="20% - Accent5 3 2 2 2 3 4" xfId="1203"/>
    <cellStyle name="20% - Accent5 3 2 2 2 4" xfId="1204"/>
    <cellStyle name="20% - Accent5 3 2 2 2 4 2" xfId="1205"/>
    <cellStyle name="20% - Accent5 3 2 2 2 5" xfId="1206"/>
    <cellStyle name="20% - Accent5 3 2 2 2 5 2" xfId="1207"/>
    <cellStyle name="20% - Accent5 3 2 2 2 6" xfId="1208"/>
    <cellStyle name="20% - Accent5 3 2 2 3" xfId="1209"/>
    <cellStyle name="20% - Accent5 3 2 2 3 2" xfId="1210"/>
    <cellStyle name="20% - Accent5 3 2 2 3 2 2" xfId="1211"/>
    <cellStyle name="20% - Accent5 3 2 2 3 2 2 2" xfId="1212"/>
    <cellStyle name="20% - Accent5 3 2 2 3 2 3" xfId="1213"/>
    <cellStyle name="20% - Accent5 3 2 2 3 2 3 2" xfId="1214"/>
    <cellStyle name="20% - Accent5 3 2 2 3 2 4" xfId="1215"/>
    <cellStyle name="20% - Accent5 3 2 2 3 3" xfId="1216"/>
    <cellStyle name="20% - Accent5 3 2 2 3 3 2" xfId="1217"/>
    <cellStyle name="20% - Accent5 3 2 2 3 4" xfId="1218"/>
    <cellStyle name="20% - Accent5 3 2 2 3 4 2" xfId="1219"/>
    <cellStyle name="20% - Accent5 3 2 2 3 5" xfId="1220"/>
    <cellStyle name="20% - Accent5 3 2 2 4" xfId="1221"/>
    <cellStyle name="20% - Accent5 3 2 2 4 2" xfId="1222"/>
    <cellStyle name="20% - Accent5 3 2 2 4 2 2" xfId="1223"/>
    <cellStyle name="20% - Accent5 3 2 2 4 3" xfId="1224"/>
    <cellStyle name="20% - Accent5 3 2 2 4 3 2" xfId="1225"/>
    <cellStyle name="20% - Accent5 3 2 2 4 4" xfId="1226"/>
    <cellStyle name="20% - Accent5 3 2 2 5" xfId="1227"/>
    <cellStyle name="20% - Accent5 3 2 2 5 2" xfId="1228"/>
    <cellStyle name="20% - Accent5 3 2 2 6" xfId="1229"/>
    <cellStyle name="20% - Accent5 3 2 2 6 2" xfId="1230"/>
    <cellStyle name="20% - Accent5 3 2 2 7" xfId="1231"/>
    <cellStyle name="20% - Accent5 3 2 3" xfId="1232"/>
    <cellStyle name="20% - Accent5 3 3" xfId="1233"/>
    <cellStyle name="20% - Accent5 4" xfId="1234"/>
    <cellStyle name="20% - Accent5 4 2" xfId="1235"/>
    <cellStyle name="20% - Accent5 4 2 2" xfId="1236"/>
    <cellStyle name="20% - Accent5 4 2 2 2" xfId="1237"/>
    <cellStyle name="20% - Accent5 4 2 2 2 2" xfId="1238"/>
    <cellStyle name="20% - Accent5 4 2 2 2 2 2" xfId="1239"/>
    <cellStyle name="20% - Accent5 4 2 2 2 3" xfId="1240"/>
    <cellStyle name="20% - Accent5 4 2 2 2 3 2" xfId="1241"/>
    <cellStyle name="20% - Accent5 4 2 2 2 4" xfId="1242"/>
    <cellStyle name="20% - Accent5 4 2 2 3" xfId="1243"/>
    <cellStyle name="20% - Accent5 4 2 2 3 2" xfId="1244"/>
    <cellStyle name="20% - Accent5 4 2 2 4" xfId="1245"/>
    <cellStyle name="20% - Accent5 4 2 2 4 2" xfId="1246"/>
    <cellStyle name="20% - Accent5 4 2 2 5" xfId="1247"/>
    <cellStyle name="20% - Accent5 4 2 3" xfId="1248"/>
    <cellStyle name="20% - Accent5 4 2 3 2" xfId="1249"/>
    <cellStyle name="20% - Accent5 4 2 3 2 2" xfId="1250"/>
    <cellStyle name="20% - Accent5 4 2 3 3" xfId="1251"/>
    <cellStyle name="20% - Accent5 4 2 3 3 2" xfId="1252"/>
    <cellStyle name="20% - Accent5 4 2 3 4" xfId="1253"/>
    <cellStyle name="20% - Accent5 4 2 4" xfId="1254"/>
    <cellStyle name="20% - Accent5 4 2 4 2" xfId="1255"/>
    <cellStyle name="20% - Accent5 4 2 5" xfId="1256"/>
    <cellStyle name="20% - Accent5 4 2 5 2" xfId="1257"/>
    <cellStyle name="20% - Accent5 4 2 6" xfId="1258"/>
    <cellStyle name="20% - Accent5 4 3" xfId="1259"/>
    <cellStyle name="20% - Accent5 4 3 2" xfId="1260"/>
    <cellStyle name="20% - Accent5 4 3 2 2" xfId="1261"/>
    <cellStyle name="20% - Accent5 4 3 2 2 2" xfId="1262"/>
    <cellStyle name="20% - Accent5 4 3 2 3" xfId="1263"/>
    <cellStyle name="20% - Accent5 4 3 2 3 2" xfId="1264"/>
    <cellStyle name="20% - Accent5 4 3 2 4" xfId="1265"/>
    <cellStyle name="20% - Accent5 4 3 3" xfId="1266"/>
    <cellStyle name="20% - Accent5 4 3 3 2" xfId="1267"/>
    <cellStyle name="20% - Accent5 4 3 4" xfId="1268"/>
    <cellStyle name="20% - Accent5 4 3 4 2" xfId="1269"/>
    <cellStyle name="20% - Accent5 4 3 5" xfId="1270"/>
    <cellStyle name="20% - Accent5 4 4" xfId="1271"/>
    <cellStyle name="20% - Accent5 4 4 2" xfId="1272"/>
    <cellStyle name="20% - Accent5 4 4 2 2" xfId="1273"/>
    <cellStyle name="20% - Accent5 4 4 3" xfId="1274"/>
    <cellStyle name="20% - Accent5 4 4 3 2" xfId="1275"/>
    <cellStyle name="20% - Accent5 4 4 4" xfId="1276"/>
    <cellStyle name="20% - Accent5 4 5" xfId="1277"/>
    <cellStyle name="20% - Accent5 4 5 2" xfId="1278"/>
    <cellStyle name="20% - Accent5 4 6" xfId="1279"/>
    <cellStyle name="20% - Accent5 4 6 2" xfId="1280"/>
    <cellStyle name="20% - Accent5 4 7" xfId="1281"/>
    <cellStyle name="20% - Accent5 5" xfId="1282"/>
    <cellStyle name="20% - Accent5 5 2" xfId="1283"/>
    <cellStyle name="20% - Accent5 5 2 2" xfId="1284"/>
    <cellStyle name="20% - Accent5 5 2 2 2" xfId="1285"/>
    <cellStyle name="20% - Accent5 5 2 2 2 2" xfId="1286"/>
    <cellStyle name="20% - Accent5 5 2 2 3" xfId="1287"/>
    <cellStyle name="20% - Accent5 5 2 2 3 2" xfId="1288"/>
    <cellStyle name="20% - Accent5 5 2 2 4" xfId="1289"/>
    <cellStyle name="20% - Accent5 5 2 3" xfId="1290"/>
    <cellStyle name="20% - Accent5 5 2 3 2" xfId="1291"/>
    <cellStyle name="20% - Accent5 5 2 4" xfId="1292"/>
    <cellStyle name="20% - Accent5 5 2 4 2" xfId="1293"/>
    <cellStyle name="20% - Accent5 5 2 5" xfId="1294"/>
    <cellStyle name="20% - Accent5 5 3" xfId="1295"/>
    <cellStyle name="20% - Accent5 5 3 2" xfId="1296"/>
    <cellStyle name="20% - Accent5 5 3 2 2" xfId="1297"/>
    <cellStyle name="20% - Accent5 5 3 2 2 2" xfId="1298"/>
    <cellStyle name="20% - Accent5 5 3 2 3" xfId="1299"/>
    <cellStyle name="20% - Accent5 5 3 2 3 2" xfId="1300"/>
    <cellStyle name="20% - Accent5 5 3 2 4" xfId="1301"/>
    <cellStyle name="20% - Accent5 5 3 3" xfId="1302"/>
    <cellStyle name="20% - Accent5 5 3 3 2" xfId="1303"/>
    <cellStyle name="20% - Accent5 5 3 3 2 2" xfId="1304"/>
    <cellStyle name="20% - Accent5 5 3 3 3" xfId="1305"/>
    <cellStyle name="20% - Accent5 5 3 3 3 2" xfId="1306"/>
    <cellStyle name="20% - Accent5 5 3 3 4" xfId="1307"/>
    <cellStyle name="20% - Accent5 5 3 4" xfId="1308"/>
    <cellStyle name="20% - Accent5 5 3 4 2" xfId="1309"/>
    <cellStyle name="20% - Accent5 5 3 5" xfId="1310"/>
    <cellStyle name="20% - Accent5 5 3 5 2" xfId="1311"/>
    <cellStyle name="20% - Accent5 5 3 6" xfId="1312"/>
    <cellStyle name="20% - Accent5 5 4" xfId="1313"/>
    <cellStyle name="20% - Accent5 5 4 2" xfId="1314"/>
    <cellStyle name="20% - Accent5 5 4 2 2" xfId="1315"/>
    <cellStyle name="20% - Accent5 5 4 3" xfId="1316"/>
    <cellStyle name="20% - Accent5 5 4 3 2" xfId="1317"/>
    <cellStyle name="20% - Accent5 5 4 4" xfId="1318"/>
    <cellStyle name="20% - Accent5 5 5" xfId="1319"/>
    <cellStyle name="20% - Accent5 5 5 2" xfId="1320"/>
    <cellStyle name="20% - Accent5 5 6" xfId="1321"/>
    <cellStyle name="20% - Accent5 5 6 2" xfId="1322"/>
    <cellStyle name="20% - Accent5 5 7" xfId="1323"/>
    <cellStyle name="20% - Accent5 6" xfId="1324"/>
    <cellStyle name="20% - Accent5 6 2" xfId="1325"/>
    <cellStyle name="20% - Accent5 6 2 2" xfId="1326"/>
    <cellStyle name="20% - Accent5 6 2 2 2" xfId="1327"/>
    <cellStyle name="20% - Accent5 6 2 3" xfId="1328"/>
    <cellStyle name="20% - Accent5 6 2 3 2" xfId="1329"/>
    <cellStyle name="20% - Accent5 6 2 4" xfId="1330"/>
    <cellStyle name="20% - Accent5 6 3" xfId="1331"/>
    <cellStyle name="20% - Accent5 6 3 2" xfId="1332"/>
    <cellStyle name="20% - Accent5 6 4" xfId="1333"/>
    <cellStyle name="20% - Accent5 6 4 2" xfId="1334"/>
    <cellStyle name="20% - Accent5 6 5" xfId="1335"/>
    <cellStyle name="20% - Accent6 2" xfId="1336"/>
    <cellStyle name="20% - Accent6 2 10" xfId="1337"/>
    <cellStyle name="20% - Accent6 2 11" xfId="1338"/>
    <cellStyle name="20% - Accent6 2 2" xfId="1339"/>
    <cellStyle name="20% - Accent6 2 2 10" xfId="1340"/>
    <cellStyle name="20% - Accent6 2 2 2" xfId="1341"/>
    <cellStyle name="20% - Accent6 2 2 2 2" xfId="1342"/>
    <cellStyle name="20% - Accent6 2 2 2 2 2" xfId="1343"/>
    <cellStyle name="20% - Accent6 2 2 2 2 2 2" xfId="1344"/>
    <cellStyle name="20% - Accent6 2 2 2 2 2 3" xfId="1345"/>
    <cellStyle name="20% - Accent6 2 2 2 2 2 4" xfId="1346"/>
    <cellStyle name="20% - Accent6 2 2 2 2 3" xfId="1347"/>
    <cellStyle name="20% - Accent6 2 2 2 2 3 2" xfId="1348"/>
    <cellStyle name="20% - Accent6 2 2 2 2 3 3" xfId="1349"/>
    <cellStyle name="20% - Accent6 2 2 2 2 4" xfId="1350"/>
    <cellStyle name="20% - Accent6 2 2 2 2 5" xfId="1351"/>
    <cellStyle name="20% - Accent6 2 2 2 2 6" xfId="1352"/>
    <cellStyle name="20% - Accent6 2 2 2 3" xfId="1353"/>
    <cellStyle name="20% - Accent6 2 2 2 3 2" xfId="1354"/>
    <cellStyle name="20% - Accent6 2 2 2 3 3" xfId="1355"/>
    <cellStyle name="20% - Accent6 2 2 2 3 4" xfId="1356"/>
    <cellStyle name="20% - Accent6 2 2 2 4" xfId="1357"/>
    <cellStyle name="20% - Accent6 2 2 2 4 2" xfId="1358"/>
    <cellStyle name="20% - Accent6 2 2 2 4 3" xfId="1359"/>
    <cellStyle name="20% - Accent6 2 2 2 4 4" xfId="1360"/>
    <cellStyle name="20% - Accent6 2 2 2 5" xfId="1361"/>
    <cellStyle name="20% - Accent6 2 2 2 5 2" xfId="1362"/>
    <cellStyle name="20% - Accent6 2 2 2 5 3" xfId="1363"/>
    <cellStyle name="20% - Accent6 2 2 2 6" xfId="1364"/>
    <cellStyle name="20% - Accent6 2 2 2 7" xfId="1365"/>
    <cellStyle name="20% - Accent6 2 2 2 8" xfId="1366"/>
    <cellStyle name="20% - Accent6 2 2 3" xfId="1367"/>
    <cellStyle name="20% - Accent6 2 2 3 2" xfId="1368"/>
    <cellStyle name="20% - Accent6 2 2 3 2 2" xfId="1369"/>
    <cellStyle name="20% - Accent6 2 2 3 2 3" xfId="1370"/>
    <cellStyle name="20% - Accent6 2 2 3 2 4" xfId="1371"/>
    <cellStyle name="20% - Accent6 2 2 3 3" xfId="1372"/>
    <cellStyle name="20% - Accent6 2 2 3 3 2" xfId="1373"/>
    <cellStyle name="20% - Accent6 2 2 3 3 3" xfId="1374"/>
    <cellStyle name="20% - Accent6 2 2 3 4" xfId="1375"/>
    <cellStyle name="20% - Accent6 2 2 3 5" xfId="1376"/>
    <cellStyle name="20% - Accent6 2 2 3 6" xfId="1377"/>
    <cellStyle name="20% - Accent6 2 2 4" xfId="1378"/>
    <cellStyle name="20% - Accent6 2 2 4 2" xfId="1379"/>
    <cellStyle name="20% - Accent6 2 2 4 3" xfId="1380"/>
    <cellStyle name="20% - Accent6 2 2 4 4" xfId="1381"/>
    <cellStyle name="20% - Accent6 2 2 5" xfId="1382"/>
    <cellStyle name="20% - Accent6 2 2 5 2" xfId="1383"/>
    <cellStyle name="20% - Accent6 2 2 5 3" xfId="1384"/>
    <cellStyle name="20% - Accent6 2 2 5 4" xfId="1385"/>
    <cellStyle name="20% - Accent6 2 2 6" xfId="1386"/>
    <cellStyle name="20% - Accent6 2 2 6 2" xfId="1387"/>
    <cellStyle name="20% - Accent6 2 2 6 3" xfId="1388"/>
    <cellStyle name="20% - Accent6 2 2 7" xfId="1389"/>
    <cellStyle name="20% - Accent6 2 2 8" xfId="1390"/>
    <cellStyle name="20% - Accent6 2 2 9" xfId="1391"/>
    <cellStyle name="20% - Accent6 2 3" xfId="1392"/>
    <cellStyle name="20% - Accent6 2 3 2" xfId="1393"/>
    <cellStyle name="20% - Accent6 2 3 2 2" xfId="1394"/>
    <cellStyle name="20% - Accent6 2 3 2 2 2" xfId="1395"/>
    <cellStyle name="20% - Accent6 2 3 2 2 3" xfId="1396"/>
    <cellStyle name="20% - Accent6 2 3 2 2 4" xfId="1397"/>
    <cellStyle name="20% - Accent6 2 3 2 3" xfId="1398"/>
    <cellStyle name="20% - Accent6 2 3 2 3 2" xfId="1399"/>
    <cellStyle name="20% - Accent6 2 3 2 3 3" xfId="1400"/>
    <cellStyle name="20% - Accent6 2 3 2 4" xfId="1401"/>
    <cellStyle name="20% - Accent6 2 3 2 5" xfId="1402"/>
    <cellStyle name="20% - Accent6 2 3 2 6" xfId="1403"/>
    <cellStyle name="20% - Accent6 2 3 3" xfId="1404"/>
    <cellStyle name="20% - Accent6 2 3 3 2" xfId="1405"/>
    <cellStyle name="20% - Accent6 2 3 3 2 2" xfId="1406"/>
    <cellStyle name="20% - Accent6 2 3 3 2 3" xfId="1407"/>
    <cellStyle name="20% - Accent6 2 3 3 2 4" xfId="1408"/>
    <cellStyle name="20% - Accent6 2 3 3 3" xfId="1409"/>
    <cellStyle name="20% - Accent6 2 3 3 3 2" xfId="1410"/>
    <cellStyle name="20% - Accent6 2 3 3 3 3" xfId="1411"/>
    <cellStyle name="20% - Accent6 2 3 3 4" xfId="1412"/>
    <cellStyle name="20% - Accent6 2 3 3 5" xfId="1413"/>
    <cellStyle name="20% - Accent6 2 3 3 6" xfId="1414"/>
    <cellStyle name="20% - Accent6 2 3 4" xfId="1415"/>
    <cellStyle name="20% - Accent6 2 3 4 2" xfId="1416"/>
    <cellStyle name="20% - Accent6 2 3 4 3" xfId="1417"/>
    <cellStyle name="20% - Accent6 2 3 4 4" xfId="1418"/>
    <cellStyle name="20% - Accent6 2 3 5" xfId="1419"/>
    <cellStyle name="20% - Accent6 2 3 5 2" xfId="1420"/>
    <cellStyle name="20% - Accent6 2 3 5 3" xfId="1421"/>
    <cellStyle name="20% - Accent6 2 3 6" xfId="1422"/>
    <cellStyle name="20% - Accent6 2 3 7" xfId="1423"/>
    <cellStyle name="20% - Accent6 2 3 8" xfId="1424"/>
    <cellStyle name="20% - Accent6 2 4" xfId="1425"/>
    <cellStyle name="20% - Accent6 2 4 2" xfId="1426"/>
    <cellStyle name="20% - Accent6 2 4 2 2" xfId="1427"/>
    <cellStyle name="20% - Accent6 2 4 2 3" xfId="1428"/>
    <cellStyle name="20% - Accent6 2 4 2 4" xfId="1429"/>
    <cellStyle name="20% - Accent6 2 4 3" xfId="1430"/>
    <cellStyle name="20% - Accent6 2 4 3 2" xfId="1431"/>
    <cellStyle name="20% - Accent6 2 4 3 3" xfId="1432"/>
    <cellStyle name="20% - Accent6 2 4 4" xfId="1433"/>
    <cellStyle name="20% - Accent6 2 4 5" xfId="1434"/>
    <cellStyle name="20% - Accent6 2 4 6" xfId="1435"/>
    <cellStyle name="20% - Accent6 2 5" xfId="1436"/>
    <cellStyle name="20% - Accent6 2 5 2" xfId="1437"/>
    <cellStyle name="20% - Accent6 2 5 2 2" xfId="1438"/>
    <cellStyle name="20% - Accent6 2 5 2 3" xfId="1439"/>
    <cellStyle name="20% - Accent6 2 5 2 4" xfId="1440"/>
    <cellStyle name="20% - Accent6 2 5 3" xfId="1441"/>
    <cellStyle name="20% - Accent6 2 5 3 2" xfId="1442"/>
    <cellStyle name="20% - Accent6 2 5 3 3" xfId="1443"/>
    <cellStyle name="20% - Accent6 2 5 4" xfId="1444"/>
    <cellStyle name="20% - Accent6 2 5 5" xfId="1445"/>
    <cellStyle name="20% - Accent6 2 5 6" xfId="1446"/>
    <cellStyle name="20% - Accent6 2 6" xfId="1447"/>
    <cellStyle name="20% - Accent6 2 6 2" xfId="1448"/>
    <cellStyle name="20% - Accent6 2 6 3" xfId="1449"/>
    <cellStyle name="20% - Accent6 2 6 4" xfId="1450"/>
    <cellStyle name="20% - Accent6 2 7" xfId="1451"/>
    <cellStyle name="20% - Accent6 2 7 2" xfId="1452"/>
    <cellStyle name="20% - Accent6 2 7 3" xfId="1453"/>
    <cellStyle name="20% - Accent6 2 8" xfId="1454"/>
    <cellStyle name="20% - Accent6 2 9" xfId="1455"/>
    <cellStyle name="20% - Accent6 3" xfId="1456"/>
    <cellStyle name="20% - Accent6 3 2" xfId="1457"/>
    <cellStyle name="20% - Accent6 3 2 2" xfId="1458"/>
    <cellStyle name="20% - Accent6 3 2 2 2" xfId="1459"/>
    <cellStyle name="20% - Accent6 3 2 2 2 2" xfId="1460"/>
    <cellStyle name="20% - Accent6 3 2 2 2 2 2" xfId="1461"/>
    <cellStyle name="20% - Accent6 3 2 2 2 2 2 2" xfId="1462"/>
    <cellStyle name="20% - Accent6 3 2 2 2 2 2 2 2" xfId="1463"/>
    <cellStyle name="20% - Accent6 3 2 2 2 2 2 3" xfId="1464"/>
    <cellStyle name="20% - Accent6 3 2 2 2 2 2 3 2" xfId="1465"/>
    <cellStyle name="20% - Accent6 3 2 2 2 2 2 4" xfId="1466"/>
    <cellStyle name="20% - Accent6 3 2 2 2 2 3" xfId="1467"/>
    <cellStyle name="20% - Accent6 3 2 2 2 2 3 2" xfId="1468"/>
    <cellStyle name="20% - Accent6 3 2 2 2 2 4" xfId="1469"/>
    <cellStyle name="20% - Accent6 3 2 2 2 2 4 2" xfId="1470"/>
    <cellStyle name="20% - Accent6 3 2 2 2 2 5" xfId="1471"/>
    <cellStyle name="20% - Accent6 3 2 2 2 3" xfId="1472"/>
    <cellStyle name="20% - Accent6 3 2 2 2 3 2" xfId="1473"/>
    <cellStyle name="20% - Accent6 3 2 2 2 3 2 2" xfId="1474"/>
    <cellStyle name="20% - Accent6 3 2 2 2 3 3" xfId="1475"/>
    <cellStyle name="20% - Accent6 3 2 2 2 3 3 2" xfId="1476"/>
    <cellStyle name="20% - Accent6 3 2 2 2 3 4" xfId="1477"/>
    <cellStyle name="20% - Accent6 3 2 2 2 4" xfId="1478"/>
    <cellStyle name="20% - Accent6 3 2 2 2 4 2" xfId="1479"/>
    <cellStyle name="20% - Accent6 3 2 2 2 5" xfId="1480"/>
    <cellStyle name="20% - Accent6 3 2 2 2 5 2" xfId="1481"/>
    <cellStyle name="20% - Accent6 3 2 2 2 6" xfId="1482"/>
    <cellStyle name="20% - Accent6 3 2 2 3" xfId="1483"/>
    <cellStyle name="20% - Accent6 3 2 2 3 2" xfId="1484"/>
    <cellStyle name="20% - Accent6 3 2 2 3 2 2" xfId="1485"/>
    <cellStyle name="20% - Accent6 3 2 2 3 2 2 2" xfId="1486"/>
    <cellStyle name="20% - Accent6 3 2 2 3 2 3" xfId="1487"/>
    <cellStyle name="20% - Accent6 3 2 2 3 2 3 2" xfId="1488"/>
    <cellStyle name="20% - Accent6 3 2 2 3 2 4" xfId="1489"/>
    <cellStyle name="20% - Accent6 3 2 2 3 3" xfId="1490"/>
    <cellStyle name="20% - Accent6 3 2 2 3 3 2" xfId="1491"/>
    <cellStyle name="20% - Accent6 3 2 2 3 4" xfId="1492"/>
    <cellStyle name="20% - Accent6 3 2 2 3 4 2" xfId="1493"/>
    <cellStyle name="20% - Accent6 3 2 2 3 5" xfId="1494"/>
    <cellStyle name="20% - Accent6 3 2 2 4" xfId="1495"/>
    <cellStyle name="20% - Accent6 3 2 2 4 2" xfId="1496"/>
    <cellStyle name="20% - Accent6 3 2 2 4 2 2" xfId="1497"/>
    <cellStyle name="20% - Accent6 3 2 2 4 3" xfId="1498"/>
    <cellStyle name="20% - Accent6 3 2 2 4 3 2" xfId="1499"/>
    <cellStyle name="20% - Accent6 3 2 2 4 4" xfId="1500"/>
    <cellStyle name="20% - Accent6 3 2 2 5" xfId="1501"/>
    <cellStyle name="20% - Accent6 3 2 2 5 2" xfId="1502"/>
    <cellStyle name="20% - Accent6 3 2 2 6" xfId="1503"/>
    <cellStyle name="20% - Accent6 3 2 2 6 2" xfId="1504"/>
    <cellStyle name="20% - Accent6 3 2 2 7" xfId="1505"/>
    <cellStyle name="20% - Accent6 3 2 3" xfId="1506"/>
    <cellStyle name="20% - Accent6 3 3" xfId="1507"/>
    <cellStyle name="20% - Accent6 4" xfId="1508"/>
    <cellStyle name="20% - Accent6 4 2" xfId="1509"/>
    <cellStyle name="20% - Accent6 4 2 2" xfId="1510"/>
    <cellStyle name="20% - Accent6 4 2 2 2" xfId="1511"/>
    <cellStyle name="20% - Accent6 4 2 2 2 2" xfId="1512"/>
    <cellStyle name="20% - Accent6 4 2 2 2 2 2" xfId="1513"/>
    <cellStyle name="20% - Accent6 4 2 2 2 3" xfId="1514"/>
    <cellStyle name="20% - Accent6 4 2 2 2 3 2" xfId="1515"/>
    <cellStyle name="20% - Accent6 4 2 2 2 4" xfId="1516"/>
    <cellStyle name="20% - Accent6 4 2 2 3" xfId="1517"/>
    <cellStyle name="20% - Accent6 4 2 2 3 2" xfId="1518"/>
    <cellStyle name="20% - Accent6 4 2 2 4" xfId="1519"/>
    <cellStyle name="20% - Accent6 4 2 2 4 2" xfId="1520"/>
    <cellStyle name="20% - Accent6 4 2 2 5" xfId="1521"/>
    <cellStyle name="20% - Accent6 4 2 3" xfId="1522"/>
    <cellStyle name="20% - Accent6 4 2 3 2" xfId="1523"/>
    <cellStyle name="20% - Accent6 4 2 3 2 2" xfId="1524"/>
    <cellStyle name="20% - Accent6 4 2 3 3" xfId="1525"/>
    <cellStyle name="20% - Accent6 4 2 3 3 2" xfId="1526"/>
    <cellStyle name="20% - Accent6 4 2 3 4" xfId="1527"/>
    <cellStyle name="20% - Accent6 4 2 4" xfId="1528"/>
    <cellStyle name="20% - Accent6 4 2 4 2" xfId="1529"/>
    <cellStyle name="20% - Accent6 4 2 5" xfId="1530"/>
    <cellStyle name="20% - Accent6 4 2 5 2" xfId="1531"/>
    <cellStyle name="20% - Accent6 4 2 6" xfId="1532"/>
    <cellStyle name="20% - Accent6 4 3" xfId="1533"/>
    <cellStyle name="20% - Accent6 4 3 2" xfId="1534"/>
    <cellStyle name="20% - Accent6 4 3 2 2" xfId="1535"/>
    <cellStyle name="20% - Accent6 4 3 2 2 2" xfId="1536"/>
    <cellStyle name="20% - Accent6 4 3 2 3" xfId="1537"/>
    <cellStyle name="20% - Accent6 4 3 2 3 2" xfId="1538"/>
    <cellStyle name="20% - Accent6 4 3 2 4" xfId="1539"/>
    <cellStyle name="20% - Accent6 4 3 3" xfId="1540"/>
    <cellStyle name="20% - Accent6 4 3 3 2" xfId="1541"/>
    <cellStyle name="20% - Accent6 4 3 4" xfId="1542"/>
    <cellStyle name="20% - Accent6 4 3 4 2" xfId="1543"/>
    <cellStyle name="20% - Accent6 4 3 5" xfId="1544"/>
    <cellStyle name="20% - Accent6 4 4" xfId="1545"/>
    <cellStyle name="20% - Accent6 4 4 2" xfId="1546"/>
    <cellStyle name="20% - Accent6 4 4 2 2" xfId="1547"/>
    <cellStyle name="20% - Accent6 4 4 3" xfId="1548"/>
    <cellStyle name="20% - Accent6 4 4 3 2" xfId="1549"/>
    <cellStyle name="20% - Accent6 4 4 4" xfId="1550"/>
    <cellStyle name="20% - Accent6 4 5" xfId="1551"/>
    <cellStyle name="20% - Accent6 4 5 2" xfId="1552"/>
    <cellStyle name="20% - Accent6 4 6" xfId="1553"/>
    <cellStyle name="20% - Accent6 4 6 2" xfId="1554"/>
    <cellStyle name="20% - Accent6 4 7" xfId="1555"/>
    <cellStyle name="20% - Accent6 5" xfId="1556"/>
    <cellStyle name="20% - Accent6 5 2" xfId="1557"/>
    <cellStyle name="20% - Accent6 5 2 2" xfId="1558"/>
    <cellStyle name="20% - Accent6 5 2 2 2" xfId="1559"/>
    <cellStyle name="20% - Accent6 5 2 2 2 2" xfId="1560"/>
    <cellStyle name="20% - Accent6 5 2 2 3" xfId="1561"/>
    <cellStyle name="20% - Accent6 5 2 2 3 2" xfId="1562"/>
    <cellStyle name="20% - Accent6 5 2 2 4" xfId="1563"/>
    <cellStyle name="20% - Accent6 5 2 3" xfId="1564"/>
    <cellStyle name="20% - Accent6 5 2 3 2" xfId="1565"/>
    <cellStyle name="20% - Accent6 5 2 4" xfId="1566"/>
    <cellStyle name="20% - Accent6 5 2 4 2" xfId="1567"/>
    <cellStyle name="20% - Accent6 5 2 5" xfId="1568"/>
    <cellStyle name="20% - Accent6 5 3" xfId="1569"/>
    <cellStyle name="20% - Accent6 5 3 2" xfId="1570"/>
    <cellStyle name="20% - Accent6 5 3 2 2" xfId="1571"/>
    <cellStyle name="20% - Accent6 5 3 2 2 2" xfId="1572"/>
    <cellStyle name="20% - Accent6 5 3 2 3" xfId="1573"/>
    <cellStyle name="20% - Accent6 5 3 2 3 2" xfId="1574"/>
    <cellStyle name="20% - Accent6 5 3 2 4" xfId="1575"/>
    <cellStyle name="20% - Accent6 5 3 3" xfId="1576"/>
    <cellStyle name="20% - Accent6 5 3 3 2" xfId="1577"/>
    <cellStyle name="20% - Accent6 5 3 3 2 2" xfId="1578"/>
    <cellStyle name="20% - Accent6 5 3 3 3" xfId="1579"/>
    <cellStyle name="20% - Accent6 5 3 3 3 2" xfId="1580"/>
    <cellStyle name="20% - Accent6 5 3 3 4" xfId="1581"/>
    <cellStyle name="20% - Accent6 5 3 4" xfId="1582"/>
    <cellStyle name="20% - Accent6 5 3 4 2" xfId="1583"/>
    <cellStyle name="20% - Accent6 5 3 5" xfId="1584"/>
    <cellStyle name="20% - Accent6 5 3 5 2" xfId="1585"/>
    <cellStyle name="20% - Accent6 5 3 6" xfId="1586"/>
    <cellStyle name="20% - Accent6 5 4" xfId="1587"/>
    <cellStyle name="20% - Accent6 5 4 2" xfId="1588"/>
    <cellStyle name="20% - Accent6 5 4 2 2" xfId="1589"/>
    <cellStyle name="20% - Accent6 5 4 3" xfId="1590"/>
    <cellStyle name="20% - Accent6 5 4 3 2" xfId="1591"/>
    <cellStyle name="20% - Accent6 5 4 4" xfId="1592"/>
    <cellStyle name="20% - Accent6 5 5" xfId="1593"/>
    <cellStyle name="20% - Accent6 5 5 2" xfId="1594"/>
    <cellStyle name="20% - Accent6 5 6" xfId="1595"/>
    <cellStyle name="20% - Accent6 5 6 2" xfId="1596"/>
    <cellStyle name="20% - Accent6 5 7" xfId="1597"/>
    <cellStyle name="20% - Accent6 6" xfId="1598"/>
    <cellStyle name="20% - Accent6 6 2" xfId="1599"/>
    <cellStyle name="20% - Accent6 6 2 2" xfId="1600"/>
    <cellStyle name="20% - Accent6 6 2 2 2" xfId="1601"/>
    <cellStyle name="20% - Accent6 6 2 3" xfId="1602"/>
    <cellStyle name="20% - Accent6 6 2 3 2" xfId="1603"/>
    <cellStyle name="20% - Accent6 6 2 4" xfId="1604"/>
    <cellStyle name="20% - Accent6 6 3" xfId="1605"/>
    <cellStyle name="20% - Accent6 6 3 2" xfId="1606"/>
    <cellStyle name="20% - Accent6 6 4" xfId="1607"/>
    <cellStyle name="20% - Accent6 6 4 2" xfId="1608"/>
    <cellStyle name="20% - Accent6 6 5" xfId="1609"/>
    <cellStyle name="40% - Accent1 2" xfId="1610"/>
    <cellStyle name="40% - Accent1 2 2" xfId="1611"/>
    <cellStyle name="40% - Accent1 2 2 2" xfId="1612"/>
    <cellStyle name="40% - Accent1 2 2 2 2" xfId="1613"/>
    <cellStyle name="40% - Accent1 2 2 2 2 2" xfId="1614"/>
    <cellStyle name="40% - Accent1 2 2 2 2 2 2" xfId="1615"/>
    <cellStyle name="40% - Accent1 2 2 2 2 2 3" xfId="1616"/>
    <cellStyle name="40% - Accent1 2 2 2 2 2 4" xfId="1617"/>
    <cellStyle name="40% - Accent1 2 2 2 2 3" xfId="1618"/>
    <cellStyle name="40% - Accent1 2 2 2 2 3 2" xfId="1619"/>
    <cellStyle name="40% - Accent1 2 2 2 2 3 3" xfId="1620"/>
    <cellStyle name="40% - Accent1 2 2 2 2 4" xfId="1621"/>
    <cellStyle name="40% - Accent1 2 2 2 2 5" xfId="1622"/>
    <cellStyle name="40% - Accent1 2 2 2 2 6" xfId="1623"/>
    <cellStyle name="40% - Accent1 2 2 2 3" xfId="1624"/>
    <cellStyle name="40% - Accent1 2 2 2 3 2" xfId="1625"/>
    <cellStyle name="40% - Accent1 2 2 2 3 3" xfId="1626"/>
    <cellStyle name="40% - Accent1 2 2 2 3 4" xfId="1627"/>
    <cellStyle name="40% - Accent1 2 2 2 4" xfId="1628"/>
    <cellStyle name="40% - Accent1 2 2 2 4 2" xfId="1629"/>
    <cellStyle name="40% - Accent1 2 2 2 4 3" xfId="1630"/>
    <cellStyle name="40% - Accent1 2 2 2 4 4" xfId="1631"/>
    <cellStyle name="40% - Accent1 2 2 2 5" xfId="1632"/>
    <cellStyle name="40% - Accent1 2 2 2 5 2" xfId="1633"/>
    <cellStyle name="40% - Accent1 2 2 2 5 3" xfId="1634"/>
    <cellStyle name="40% - Accent1 2 2 2 6" xfId="1635"/>
    <cellStyle name="40% - Accent1 2 2 2 7" xfId="1636"/>
    <cellStyle name="40% - Accent1 2 2 2 8" xfId="1637"/>
    <cellStyle name="40% - Accent1 2 2 3" xfId="1638"/>
    <cellStyle name="40% - Accent1 2 2 3 2" xfId="1639"/>
    <cellStyle name="40% - Accent1 2 2 3 2 2" xfId="1640"/>
    <cellStyle name="40% - Accent1 2 2 3 2 3" xfId="1641"/>
    <cellStyle name="40% - Accent1 2 2 3 2 4" xfId="1642"/>
    <cellStyle name="40% - Accent1 2 2 3 3" xfId="1643"/>
    <cellStyle name="40% - Accent1 2 2 3 3 2" xfId="1644"/>
    <cellStyle name="40% - Accent1 2 2 3 3 3" xfId="1645"/>
    <cellStyle name="40% - Accent1 2 2 3 4" xfId="1646"/>
    <cellStyle name="40% - Accent1 2 2 3 5" xfId="1647"/>
    <cellStyle name="40% - Accent1 2 2 3 6" xfId="1648"/>
    <cellStyle name="40% - Accent1 2 2 4" xfId="1649"/>
    <cellStyle name="40% - Accent1 2 2 4 2" xfId="1650"/>
    <cellStyle name="40% - Accent1 2 2 4 3" xfId="1651"/>
    <cellStyle name="40% - Accent1 2 2 4 4" xfId="1652"/>
    <cellStyle name="40% - Accent1 2 2 5" xfId="1653"/>
    <cellStyle name="40% - Accent1 2 2 5 2" xfId="1654"/>
    <cellStyle name="40% - Accent1 2 2 5 3" xfId="1655"/>
    <cellStyle name="40% - Accent1 2 2 6" xfId="1656"/>
    <cellStyle name="40% - Accent1 2 2 7" xfId="1657"/>
    <cellStyle name="40% - Accent1 2 2 8" xfId="1658"/>
    <cellStyle name="40% - Accent1 2 2 9" xfId="1659"/>
    <cellStyle name="40% - Accent1 2 3" xfId="1660"/>
    <cellStyle name="40% - Accent1 2 3 2" xfId="1661"/>
    <cellStyle name="40% - Accent1 2 3 2 2" xfId="1662"/>
    <cellStyle name="40% - Accent1 2 3 2 2 2" xfId="1663"/>
    <cellStyle name="40% - Accent1 2 3 2 2 3" xfId="1664"/>
    <cellStyle name="40% - Accent1 2 3 2 2 4" xfId="1665"/>
    <cellStyle name="40% - Accent1 2 3 2 3" xfId="1666"/>
    <cellStyle name="40% - Accent1 2 3 2 3 2" xfId="1667"/>
    <cellStyle name="40% - Accent1 2 3 2 3 3" xfId="1668"/>
    <cellStyle name="40% - Accent1 2 3 2 4" xfId="1669"/>
    <cellStyle name="40% - Accent1 2 3 2 5" xfId="1670"/>
    <cellStyle name="40% - Accent1 2 3 2 6" xfId="1671"/>
    <cellStyle name="40% - Accent1 2 3 3" xfId="1672"/>
    <cellStyle name="40% - Accent1 2 3 3 2" xfId="1673"/>
    <cellStyle name="40% - Accent1 2 3 3 2 2" xfId="1674"/>
    <cellStyle name="40% - Accent1 2 3 3 2 3" xfId="1675"/>
    <cellStyle name="40% - Accent1 2 3 3 2 4" xfId="1676"/>
    <cellStyle name="40% - Accent1 2 3 3 3" xfId="1677"/>
    <cellStyle name="40% - Accent1 2 3 3 3 2" xfId="1678"/>
    <cellStyle name="40% - Accent1 2 3 3 3 3" xfId="1679"/>
    <cellStyle name="40% - Accent1 2 3 3 4" xfId="1680"/>
    <cellStyle name="40% - Accent1 2 3 3 5" xfId="1681"/>
    <cellStyle name="40% - Accent1 2 3 3 6" xfId="1682"/>
    <cellStyle name="40% - Accent1 2 3 4" xfId="1683"/>
    <cellStyle name="40% - Accent1 2 3 4 2" xfId="1684"/>
    <cellStyle name="40% - Accent1 2 3 4 3" xfId="1685"/>
    <cellStyle name="40% - Accent1 2 3 4 4" xfId="1686"/>
    <cellStyle name="40% - Accent1 2 3 5" xfId="1687"/>
    <cellStyle name="40% - Accent1 2 3 5 2" xfId="1688"/>
    <cellStyle name="40% - Accent1 2 3 5 3" xfId="1689"/>
    <cellStyle name="40% - Accent1 2 3 6" xfId="1690"/>
    <cellStyle name="40% - Accent1 2 3 7" xfId="1691"/>
    <cellStyle name="40% - Accent1 2 3 8" xfId="1692"/>
    <cellStyle name="40% - Accent1 2 4" xfId="1693"/>
    <cellStyle name="40% - Accent1 2 4 2" xfId="1694"/>
    <cellStyle name="40% - Accent1 2 4 2 2" xfId="1695"/>
    <cellStyle name="40% - Accent1 2 4 2 3" xfId="1696"/>
    <cellStyle name="40% - Accent1 2 4 2 4" xfId="1697"/>
    <cellStyle name="40% - Accent1 2 4 3" xfId="1698"/>
    <cellStyle name="40% - Accent1 2 4 3 2" xfId="1699"/>
    <cellStyle name="40% - Accent1 2 4 3 3" xfId="1700"/>
    <cellStyle name="40% - Accent1 2 4 4" xfId="1701"/>
    <cellStyle name="40% - Accent1 2 4 5" xfId="1702"/>
    <cellStyle name="40% - Accent1 2 4 6" xfId="1703"/>
    <cellStyle name="40% - Accent1 2 5" xfId="1704"/>
    <cellStyle name="40% - Accent1 2 5 2" xfId="1705"/>
    <cellStyle name="40% - Accent1 2 5 3" xfId="1706"/>
    <cellStyle name="40% - Accent1 2 6" xfId="1707"/>
    <cellStyle name="40% - Accent1 2 7" xfId="1708"/>
    <cellStyle name="40% - Accent1 2 8" xfId="1709"/>
    <cellStyle name="40% - Accent1 2 9" xfId="1710"/>
    <cellStyle name="40% - Accent1 3" xfId="1711"/>
    <cellStyle name="40% - Accent1 3 2" xfId="1712"/>
    <cellStyle name="40% - Accent1 3 2 2" xfId="1713"/>
    <cellStyle name="40% - Accent1 3 2 2 2" xfId="1714"/>
    <cellStyle name="40% - Accent1 3 2 2 2 2" xfId="1715"/>
    <cellStyle name="40% - Accent1 3 2 2 2 2 2" xfId="1716"/>
    <cellStyle name="40% - Accent1 3 2 2 2 2 2 2" xfId="1717"/>
    <cellStyle name="40% - Accent1 3 2 2 2 2 2 2 2" xfId="1718"/>
    <cellStyle name="40% - Accent1 3 2 2 2 2 2 3" xfId="1719"/>
    <cellStyle name="40% - Accent1 3 2 2 2 2 2 3 2" xfId="1720"/>
    <cellStyle name="40% - Accent1 3 2 2 2 2 2 4" xfId="1721"/>
    <cellStyle name="40% - Accent1 3 2 2 2 2 3" xfId="1722"/>
    <cellStyle name="40% - Accent1 3 2 2 2 2 3 2" xfId="1723"/>
    <cellStyle name="40% - Accent1 3 2 2 2 2 4" xfId="1724"/>
    <cellStyle name="40% - Accent1 3 2 2 2 2 4 2" xfId="1725"/>
    <cellStyle name="40% - Accent1 3 2 2 2 2 5" xfId="1726"/>
    <cellStyle name="40% - Accent1 3 2 2 2 3" xfId="1727"/>
    <cellStyle name="40% - Accent1 3 2 2 2 3 2" xfId="1728"/>
    <cellStyle name="40% - Accent1 3 2 2 2 3 2 2" xfId="1729"/>
    <cellStyle name="40% - Accent1 3 2 2 2 3 3" xfId="1730"/>
    <cellStyle name="40% - Accent1 3 2 2 2 3 3 2" xfId="1731"/>
    <cellStyle name="40% - Accent1 3 2 2 2 3 4" xfId="1732"/>
    <cellStyle name="40% - Accent1 3 2 2 2 4" xfId="1733"/>
    <cellStyle name="40% - Accent1 3 2 2 2 4 2" xfId="1734"/>
    <cellStyle name="40% - Accent1 3 2 2 2 5" xfId="1735"/>
    <cellStyle name="40% - Accent1 3 2 2 2 5 2" xfId="1736"/>
    <cellStyle name="40% - Accent1 3 2 2 2 6" xfId="1737"/>
    <cellStyle name="40% - Accent1 3 2 2 3" xfId="1738"/>
    <cellStyle name="40% - Accent1 3 2 2 3 2" xfId="1739"/>
    <cellStyle name="40% - Accent1 3 2 2 3 2 2" xfId="1740"/>
    <cellStyle name="40% - Accent1 3 2 2 3 2 2 2" xfId="1741"/>
    <cellStyle name="40% - Accent1 3 2 2 3 2 3" xfId="1742"/>
    <cellStyle name="40% - Accent1 3 2 2 3 2 3 2" xfId="1743"/>
    <cellStyle name="40% - Accent1 3 2 2 3 2 4" xfId="1744"/>
    <cellStyle name="40% - Accent1 3 2 2 3 3" xfId="1745"/>
    <cellStyle name="40% - Accent1 3 2 2 3 3 2" xfId="1746"/>
    <cellStyle name="40% - Accent1 3 2 2 3 4" xfId="1747"/>
    <cellStyle name="40% - Accent1 3 2 2 3 4 2" xfId="1748"/>
    <cellStyle name="40% - Accent1 3 2 2 3 5" xfId="1749"/>
    <cellStyle name="40% - Accent1 3 2 2 4" xfId="1750"/>
    <cellStyle name="40% - Accent1 3 2 2 4 2" xfId="1751"/>
    <cellStyle name="40% - Accent1 3 2 2 4 2 2" xfId="1752"/>
    <cellStyle name="40% - Accent1 3 2 2 4 3" xfId="1753"/>
    <cellStyle name="40% - Accent1 3 2 2 4 3 2" xfId="1754"/>
    <cellStyle name="40% - Accent1 3 2 2 4 4" xfId="1755"/>
    <cellStyle name="40% - Accent1 3 2 2 5" xfId="1756"/>
    <cellStyle name="40% - Accent1 3 2 2 5 2" xfId="1757"/>
    <cellStyle name="40% - Accent1 3 2 2 6" xfId="1758"/>
    <cellStyle name="40% - Accent1 3 2 2 6 2" xfId="1759"/>
    <cellStyle name="40% - Accent1 3 2 2 7" xfId="1760"/>
    <cellStyle name="40% - Accent1 3 2 3" xfId="1761"/>
    <cellStyle name="40% - Accent1 3 3" xfId="1762"/>
    <cellStyle name="40% - Accent1 4" xfId="1763"/>
    <cellStyle name="40% - Accent1 4 2" xfId="1764"/>
    <cellStyle name="40% - Accent1 4 2 2" xfId="1765"/>
    <cellStyle name="40% - Accent1 4 2 2 2" xfId="1766"/>
    <cellStyle name="40% - Accent1 4 2 2 2 2" xfId="1767"/>
    <cellStyle name="40% - Accent1 4 2 2 2 2 2" xfId="1768"/>
    <cellStyle name="40% - Accent1 4 2 2 2 3" xfId="1769"/>
    <cellStyle name="40% - Accent1 4 2 2 2 3 2" xfId="1770"/>
    <cellStyle name="40% - Accent1 4 2 2 2 4" xfId="1771"/>
    <cellStyle name="40% - Accent1 4 2 2 3" xfId="1772"/>
    <cellStyle name="40% - Accent1 4 2 2 3 2" xfId="1773"/>
    <cellStyle name="40% - Accent1 4 2 2 4" xfId="1774"/>
    <cellStyle name="40% - Accent1 4 2 2 4 2" xfId="1775"/>
    <cellStyle name="40% - Accent1 4 2 2 5" xfId="1776"/>
    <cellStyle name="40% - Accent1 4 2 3" xfId="1777"/>
    <cellStyle name="40% - Accent1 4 2 3 2" xfId="1778"/>
    <cellStyle name="40% - Accent1 4 2 3 2 2" xfId="1779"/>
    <cellStyle name="40% - Accent1 4 2 3 3" xfId="1780"/>
    <cellStyle name="40% - Accent1 4 2 3 3 2" xfId="1781"/>
    <cellStyle name="40% - Accent1 4 2 3 4" xfId="1782"/>
    <cellStyle name="40% - Accent1 4 2 4" xfId="1783"/>
    <cellStyle name="40% - Accent1 4 2 4 2" xfId="1784"/>
    <cellStyle name="40% - Accent1 4 2 5" xfId="1785"/>
    <cellStyle name="40% - Accent1 4 2 5 2" xfId="1786"/>
    <cellStyle name="40% - Accent1 4 2 6" xfId="1787"/>
    <cellStyle name="40% - Accent1 4 3" xfId="1788"/>
    <cellStyle name="40% - Accent1 4 3 2" xfId="1789"/>
    <cellStyle name="40% - Accent1 4 3 2 2" xfId="1790"/>
    <cellStyle name="40% - Accent1 4 3 2 2 2" xfId="1791"/>
    <cellStyle name="40% - Accent1 4 3 2 3" xfId="1792"/>
    <cellStyle name="40% - Accent1 4 3 2 3 2" xfId="1793"/>
    <cellStyle name="40% - Accent1 4 3 2 4" xfId="1794"/>
    <cellStyle name="40% - Accent1 4 3 3" xfId="1795"/>
    <cellStyle name="40% - Accent1 4 3 3 2" xfId="1796"/>
    <cellStyle name="40% - Accent1 4 3 4" xfId="1797"/>
    <cellStyle name="40% - Accent1 4 3 4 2" xfId="1798"/>
    <cellStyle name="40% - Accent1 4 3 5" xfId="1799"/>
    <cellStyle name="40% - Accent1 4 4" xfId="1800"/>
    <cellStyle name="40% - Accent1 4 4 2" xfId="1801"/>
    <cellStyle name="40% - Accent1 4 4 2 2" xfId="1802"/>
    <cellStyle name="40% - Accent1 4 4 3" xfId="1803"/>
    <cellStyle name="40% - Accent1 4 4 3 2" xfId="1804"/>
    <cellStyle name="40% - Accent1 4 4 4" xfId="1805"/>
    <cellStyle name="40% - Accent1 4 5" xfId="1806"/>
    <cellStyle name="40% - Accent1 4 5 2" xfId="1807"/>
    <cellStyle name="40% - Accent1 4 6" xfId="1808"/>
    <cellStyle name="40% - Accent1 4 6 2" xfId="1809"/>
    <cellStyle name="40% - Accent1 4 7" xfId="1810"/>
    <cellStyle name="40% - Accent1 5" xfId="1811"/>
    <cellStyle name="40% - Accent1 5 2" xfId="1812"/>
    <cellStyle name="40% - Accent1 5 2 2" xfId="1813"/>
    <cellStyle name="40% - Accent1 5 2 2 2" xfId="1814"/>
    <cellStyle name="40% - Accent1 5 2 2 2 2" xfId="1815"/>
    <cellStyle name="40% - Accent1 5 2 2 3" xfId="1816"/>
    <cellStyle name="40% - Accent1 5 2 2 3 2" xfId="1817"/>
    <cellStyle name="40% - Accent1 5 2 2 4" xfId="1818"/>
    <cellStyle name="40% - Accent1 5 2 3" xfId="1819"/>
    <cellStyle name="40% - Accent1 5 2 3 2" xfId="1820"/>
    <cellStyle name="40% - Accent1 5 2 4" xfId="1821"/>
    <cellStyle name="40% - Accent1 5 2 4 2" xfId="1822"/>
    <cellStyle name="40% - Accent1 5 2 5" xfId="1823"/>
    <cellStyle name="40% - Accent1 5 3" xfId="1824"/>
    <cellStyle name="40% - Accent1 5 3 2" xfId="1825"/>
    <cellStyle name="40% - Accent1 5 3 2 2" xfId="1826"/>
    <cellStyle name="40% - Accent1 5 3 2 2 2" xfId="1827"/>
    <cellStyle name="40% - Accent1 5 3 2 3" xfId="1828"/>
    <cellStyle name="40% - Accent1 5 3 2 3 2" xfId="1829"/>
    <cellStyle name="40% - Accent1 5 3 2 4" xfId="1830"/>
    <cellStyle name="40% - Accent1 5 3 3" xfId="1831"/>
    <cellStyle name="40% - Accent1 5 3 3 2" xfId="1832"/>
    <cellStyle name="40% - Accent1 5 3 3 2 2" xfId="1833"/>
    <cellStyle name="40% - Accent1 5 3 3 3" xfId="1834"/>
    <cellStyle name="40% - Accent1 5 3 3 3 2" xfId="1835"/>
    <cellStyle name="40% - Accent1 5 3 3 4" xfId="1836"/>
    <cellStyle name="40% - Accent1 5 3 4" xfId="1837"/>
    <cellStyle name="40% - Accent1 5 3 4 2" xfId="1838"/>
    <cellStyle name="40% - Accent1 5 3 5" xfId="1839"/>
    <cellStyle name="40% - Accent1 5 3 5 2" xfId="1840"/>
    <cellStyle name="40% - Accent1 5 3 6" xfId="1841"/>
    <cellStyle name="40% - Accent1 5 4" xfId="1842"/>
    <cellStyle name="40% - Accent1 5 4 2" xfId="1843"/>
    <cellStyle name="40% - Accent1 5 4 2 2" xfId="1844"/>
    <cellStyle name="40% - Accent1 5 4 3" xfId="1845"/>
    <cellStyle name="40% - Accent1 5 4 3 2" xfId="1846"/>
    <cellStyle name="40% - Accent1 5 4 4" xfId="1847"/>
    <cellStyle name="40% - Accent1 5 5" xfId="1848"/>
    <cellStyle name="40% - Accent1 5 5 2" xfId="1849"/>
    <cellStyle name="40% - Accent1 5 6" xfId="1850"/>
    <cellStyle name="40% - Accent1 5 6 2" xfId="1851"/>
    <cellStyle name="40% - Accent1 5 7" xfId="1852"/>
    <cellStyle name="40% - Accent1 6" xfId="1853"/>
    <cellStyle name="40% - Accent1 6 2" xfId="1854"/>
    <cellStyle name="40% - Accent1 6 2 2" xfId="1855"/>
    <cellStyle name="40% - Accent1 6 2 2 2" xfId="1856"/>
    <cellStyle name="40% - Accent1 6 2 3" xfId="1857"/>
    <cellStyle name="40% - Accent1 6 2 3 2" xfId="1858"/>
    <cellStyle name="40% - Accent1 6 2 4" xfId="1859"/>
    <cellStyle name="40% - Accent1 6 3" xfId="1860"/>
    <cellStyle name="40% - Accent1 6 3 2" xfId="1861"/>
    <cellStyle name="40% - Accent1 6 4" xfId="1862"/>
    <cellStyle name="40% - Accent1 6 4 2" xfId="1863"/>
    <cellStyle name="40% - Accent1 6 5" xfId="1864"/>
    <cellStyle name="40% - Accent2 2" xfId="1865"/>
    <cellStyle name="40% - Accent2 2 2" xfId="1866"/>
    <cellStyle name="40% - Accent2 2 2 2" xfId="1867"/>
    <cellStyle name="40% - Accent2 2 2 2 2" xfId="1868"/>
    <cellStyle name="40% - Accent2 2 2 2 2 2" xfId="1869"/>
    <cellStyle name="40% - Accent2 2 2 2 2 2 2" xfId="1870"/>
    <cellStyle name="40% - Accent2 2 2 2 2 2 3" xfId="1871"/>
    <cellStyle name="40% - Accent2 2 2 2 2 2 4" xfId="1872"/>
    <cellStyle name="40% - Accent2 2 2 2 2 3" xfId="1873"/>
    <cellStyle name="40% - Accent2 2 2 2 2 3 2" xfId="1874"/>
    <cellStyle name="40% - Accent2 2 2 2 2 3 3" xfId="1875"/>
    <cellStyle name="40% - Accent2 2 2 2 2 4" xfId="1876"/>
    <cellStyle name="40% - Accent2 2 2 2 2 5" xfId="1877"/>
    <cellStyle name="40% - Accent2 2 2 2 2 6" xfId="1878"/>
    <cellStyle name="40% - Accent2 2 2 2 3" xfId="1879"/>
    <cellStyle name="40% - Accent2 2 2 2 3 2" xfId="1880"/>
    <cellStyle name="40% - Accent2 2 2 2 3 3" xfId="1881"/>
    <cellStyle name="40% - Accent2 2 2 2 3 4" xfId="1882"/>
    <cellStyle name="40% - Accent2 2 2 2 4" xfId="1883"/>
    <cellStyle name="40% - Accent2 2 2 2 4 2" xfId="1884"/>
    <cellStyle name="40% - Accent2 2 2 2 4 3" xfId="1885"/>
    <cellStyle name="40% - Accent2 2 2 2 4 4" xfId="1886"/>
    <cellStyle name="40% - Accent2 2 2 2 5" xfId="1887"/>
    <cellStyle name="40% - Accent2 2 2 2 5 2" xfId="1888"/>
    <cellStyle name="40% - Accent2 2 2 2 5 3" xfId="1889"/>
    <cellStyle name="40% - Accent2 2 2 2 6" xfId="1890"/>
    <cellStyle name="40% - Accent2 2 2 2 7" xfId="1891"/>
    <cellStyle name="40% - Accent2 2 2 2 8" xfId="1892"/>
    <cellStyle name="40% - Accent2 2 2 3" xfId="1893"/>
    <cellStyle name="40% - Accent2 2 2 3 2" xfId="1894"/>
    <cellStyle name="40% - Accent2 2 2 3 2 2" xfId="1895"/>
    <cellStyle name="40% - Accent2 2 2 3 2 3" xfId="1896"/>
    <cellStyle name="40% - Accent2 2 2 3 2 4" xfId="1897"/>
    <cellStyle name="40% - Accent2 2 2 3 3" xfId="1898"/>
    <cellStyle name="40% - Accent2 2 2 3 3 2" xfId="1899"/>
    <cellStyle name="40% - Accent2 2 2 3 3 3" xfId="1900"/>
    <cellStyle name="40% - Accent2 2 2 3 4" xfId="1901"/>
    <cellStyle name="40% - Accent2 2 2 3 5" xfId="1902"/>
    <cellStyle name="40% - Accent2 2 2 3 6" xfId="1903"/>
    <cellStyle name="40% - Accent2 2 2 4" xfId="1904"/>
    <cellStyle name="40% - Accent2 2 2 4 2" xfId="1905"/>
    <cellStyle name="40% - Accent2 2 2 4 3" xfId="1906"/>
    <cellStyle name="40% - Accent2 2 2 4 4" xfId="1907"/>
    <cellStyle name="40% - Accent2 2 2 5" xfId="1908"/>
    <cellStyle name="40% - Accent2 2 2 5 2" xfId="1909"/>
    <cellStyle name="40% - Accent2 2 2 5 3" xfId="1910"/>
    <cellStyle name="40% - Accent2 2 2 6" xfId="1911"/>
    <cellStyle name="40% - Accent2 2 2 7" xfId="1912"/>
    <cellStyle name="40% - Accent2 2 2 8" xfId="1913"/>
    <cellStyle name="40% - Accent2 2 3" xfId="1914"/>
    <cellStyle name="40% - Accent2 2 3 2" xfId="1915"/>
    <cellStyle name="40% - Accent2 2 3 2 2" xfId="1916"/>
    <cellStyle name="40% - Accent2 2 3 2 2 2" xfId="1917"/>
    <cellStyle name="40% - Accent2 2 3 2 2 3" xfId="1918"/>
    <cellStyle name="40% - Accent2 2 3 2 2 4" xfId="1919"/>
    <cellStyle name="40% - Accent2 2 3 2 3" xfId="1920"/>
    <cellStyle name="40% - Accent2 2 3 2 3 2" xfId="1921"/>
    <cellStyle name="40% - Accent2 2 3 2 3 3" xfId="1922"/>
    <cellStyle name="40% - Accent2 2 3 2 4" xfId="1923"/>
    <cellStyle name="40% - Accent2 2 3 2 5" xfId="1924"/>
    <cellStyle name="40% - Accent2 2 3 2 6" xfId="1925"/>
    <cellStyle name="40% - Accent2 2 3 3" xfId="1926"/>
    <cellStyle name="40% - Accent2 2 3 3 2" xfId="1927"/>
    <cellStyle name="40% - Accent2 2 3 3 2 2" xfId="1928"/>
    <cellStyle name="40% - Accent2 2 3 3 2 3" xfId="1929"/>
    <cellStyle name="40% - Accent2 2 3 3 2 4" xfId="1930"/>
    <cellStyle name="40% - Accent2 2 3 3 3" xfId="1931"/>
    <cellStyle name="40% - Accent2 2 3 3 3 2" xfId="1932"/>
    <cellStyle name="40% - Accent2 2 3 3 3 3" xfId="1933"/>
    <cellStyle name="40% - Accent2 2 3 3 4" xfId="1934"/>
    <cellStyle name="40% - Accent2 2 3 3 5" xfId="1935"/>
    <cellStyle name="40% - Accent2 2 3 3 6" xfId="1936"/>
    <cellStyle name="40% - Accent2 2 3 4" xfId="1937"/>
    <cellStyle name="40% - Accent2 2 3 4 2" xfId="1938"/>
    <cellStyle name="40% - Accent2 2 3 4 3" xfId="1939"/>
    <cellStyle name="40% - Accent2 2 3 4 4" xfId="1940"/>
    <cellStyle name="40% - Accent2 2 3 5" xfId="1941"/>
    <cellStyle name="40% - Accent2 2 3 5 2" xfId="1942"/>
    <cellStyle name="40% - Accent2 2 3 5 3" xfId="1943"/>
    <cellStyle name="40% - Accent2 2 3 6" xfId="1944"/>
    <cellStyle name="40% - Accent2 2 3 7" xfId="1945"/>
    <cellStyle name="40% - Accent2 2 3 8" xfId="1946"/>
    <cellStyle name="40% - Accent2 2 4" xfId="1947"/>
    <cellStyle name="40% - Accent2 2 4 2" xfId="1948"/>
    <cellStyle name="40% - Accent2 2 4 2 2" xfId="1949"/>
    <cellStyle name="40% - Accent2 2 4 2 3" xfId="1950"/>
    <cellStyle name="40% - Accent2 2 4 2 4" xfId="1951"/>
    <cellStyle name="40% - Accent2 2 4 3" xfId="1952"/>
    <cellStyle name="40% - Accent2 2 4 3 2" xfId="1953"/>
    <cellStyle name="40% - Accent2 2 4 3 3" xfId="1954"/>
    <cellStyle name="40% - Accent2 2 4 4" xfId="1955"/>
    <cellStyle name="40% - Accent2 2 4 5" xfId="1956"/>
    <cellStyle name="40% - Accent2 2 4 6" xfId="1957"/>
    <cellStyle name="40% - Accent2 2 5" xfId="1958"/>
    <cellStyle name="40% - Accent2 2 5 2" xfId="1959"/>
    <cellStyle name="40% - Accent2 2 5 3" xfId="1960"/>
    <cellStyle name="40% - Accent2 2 6" xfId="1961"/>
    <cellStyle name="40% - Accent2 2 7" xfId="1962"/>
    <cellStyle name="40% - Accent2 2 8" xfId="1963"/>
    <cellStyle name="40% - Accent2 2 9" xfId="1964"/>
    <cellStyle name="40% - Accent2 3" xfId="1965"/>
    <cellStyle name="40% - Accent2 3 2" xfId="1966"/>
    <cellStyle name="40% - Accent2 3 2 2" xfId="1967"/>
    <cellStyle name="40% - Accent2 3 2 2 2" xfId="1968"/>
    <cellStyle name="40% - Accent2 3 2 2 2 2" xfId="1969"/>
    <cellStyle name="40% - Accent2 3 2 2 2 2 2" xfId="1970"/>
    <cellStyle name="40% - Accent2 3 2 2 2 2 2 2" xfId="1971"/>
    <cellStyle name="40% - Accent2 3 2 2 2 2 2 2 2" xfId="1972"/>
    <cellStyle name="40% - Accent2 3 2 2 2 2 2 3" xfId="1973"/>
    <cellStyle name="40% - Accent2 3 2 2 2 2 2 3 2" xfId="1974"/>
    <cellStyle name="40% - Accent2 3 2 2 2 2 2 4" xfId="1975"/>
    <cellStyle name="40% - Accent2 3 2 2 2 2 3" xfId="1976"/>
    <cellStyle name="40% - Accent2 3 2 2 2 2 3 2" xfId="1977"/>
    <cellStyle name="40% - Accent2 3 2 2 2 2 4" xfId="1978"/>
    <cellStyle name="40% - Accent2 3 2 2 2 2 4 2" xfId="1979"/>
    <cellStyle name="40% - Accent2 3 2 2 2 2 5" xfId="1980"/>
    <cellStyle name="40% - Accent2 3 2 2 2 3" xfId="1981"/>
    <cellStyle name="40% - Accent2 3 2 2 2 3 2" xfId="1982"/>
    <cellStyle name="40% - Accent2 3 2 2 2 3 2 2" xfId="1983"/>
    <cellStyle name="40% - Accent2 3 2 2 2 3 3" xfId="1984"/>
    <cellStyle name="40% - Accent2 3 2 2 2 3 3 2" xfId="1985"/>
    <cellStyle name="40% - Accent2 3 2 2 2 3 4" xfId="1986"/>
    <cellStyle name="40% - Accent2 3 2 2 2 4" xfId="1987"/>
    <cellStyle name="40% - Accent2 3 2 2 2 4 2" xfId="1988"/>
    <cellStyle name="40% - Accent2 3 2 2 2 5" xfId="1989"/>
    <cellStyle name="40% - Accent2 3 2 2 2 5 2" xfId="1990"/>
    <cellStyle name="40% - Accent2 3 2 2 2 6" xfId="1991"/>
    <cellStyle name="40% - Accent2 3 2 2 3" xfId="1992"/>
    <cellStyle name="40% - Accent2 3 2 2 3 2" xfId="1993"/>
    <cellStyle name="40% - Accent2 3 2 2 3 2 2" xfId="1994"/>
    <cellStyle name="40% - Accent2 3 2 2 3 2 2 2" xfId="1995"/>
    <cellStyle name="40% - Accent2 3 2 2 3 2 3" xfId="1996"/>
    <cellStyle name="40% - Accent2 3 2 2 3 2 3 2" xfId="1997"/>
    <cellStyle name="40% - Accent2 3 2 2 3 2 4" xfId="1998"/>
    <cellStyle name="40% - Accent2 3 2 2 3 3" xfId="1999"/>
    <cellStyle name="40% - Accent2 3 2 2 3 3 2" xfId="2000"/>
    <cellStyle name="40% - Accent2 3 2 2 3 4" xfId="2001"/>
    <cellStyle name="40% - Accent2 3 2 2 3 4 2" xfId="2002"/>
    <cellStyle name="40% - Accent2 3 2 2 3 5" xfId="2003"/>
    <cellStyle name="40% - Accent2 3 2 2 4" xfId="2004"/>
    <cellStyle name="40% - Accent2 3 2 2 4 2" xfId="2005"/>
    <cellStyle name="40% - Accent2 3 2 2 4 2 2" xfId="2006"/>
    <cellStyle name="40% - Accent2 3 2 2 4 3" xfId="2007"/>
    <cellStyle name="40% - Accent2 3 2 2 4 3 2" xfId="2008"/>
    <cellStyle name="40% - Accent2 3 2 2 4 4" xfId="2009"/>
    <cellStyle name="40% - Accent2 3 2 2 5" xfId="2010"/>
    <cellStyle name="40% - Accent2 3 2 2 5 2" xfId="2011"/>
    <cellStyle name="40% - Accent2 3 2 2 6" xfId="2012"/>
    <cellStyle name="40% - Accent2 3 2 2 6 2" xfId="2013"/>
    <cellStyle name="40% - Accent2 3 2 2 7" xfId="2014"/>
    <cellStyle name="40% - Accent2 3 2 3" xfId="2015"/>
    <cellStyle name="40% - Accent2 3 3" xfId="2016"/>
    <cellStyle name="40% - Accent2 4" xfId="2017"/>
    <cellStyle name="40% - Accent2 4 2" xfId="2018"/>
    <cellStyle name="40% - Accent2 4 2 2" xfId="2019"/>
    <cellStyle name="40% - Accent2 4 2 2 2" xfId="2020"/>
    <cellStyle name="40% - Accent2 4 2 2 2 2" xfId="2021"/>
    <cellStyle name="40% - Accent2 4 2 2 2 2 2" xfId="2022"/>
    <cellStyle name="40% - Accent2 4 2 2 2 3" xfId="2023"/>
    <cellStyle name="40% - Accent2 4 2 2 2 3 2" xfId="2024"/>
    <cellStyle name="40% - Accent2 4 2 2 2 4" xfId="2025"/>
    <cellStyle name="40% - Accent2 4 2 2 3" xfId="2026"/>
    <cellStyle name="40% - Accent2 4 2 2 3 2" xfId="2027"/>
    <cellStyle name="40% - Accent2 4 2 2 4" xfId="2028"/>
    <cellStyle name="40% - Accent2 4 2 2 4 2" xfId="2029"/>
    <cellStyle name="40% - Accent2 4 2 2 5" xfId="2030"/>
    <cellStyle name="40% - Accent2 4 2 3" xfId="2031"/>
    <cellStyle name="40% - Accent2 4 2 3 2" xfId="2032"/>
    <cellStyle name="40% - Accent2 4 2 3 2 2" xfId="2033"/>
    <cellStyle name="40% - Accent2 4 2 3 3" xfId="2034"/>
    <cellStyle name="40% - Accent2 4 2 3 3 2" xfId="2035"/>
    <cellStyle name="40% - Accent2 4 2 3 4" xfId="2036"/>
    <cellStyle name="40% - Accent2 4 2 4" xfId="2037"/>
    <cellStyle name="40% - Accent2 4 2 4 2" xfId="2038"/>
    <cellStyle name="40% - Accent2 4 2 5" xfId="2039"/>
    <cellStyle name="40% - Accent2 4 2 5 2" xfId="2040"/>
    <cellStyle name="40% - Accent2 4 2 6" xfId="2041"/>
    <cellStyle name="40% - Accent2 4 3" xfId="2042"/>
    <cellStyle name="40% - Accent2 4 3 2" xfId="2043"/>
    <cellStyle name="40% - Accent2 4 3 2 2" xfId="2044"/>
    <cellStyle name="40% - Accent2 4 3 2 2 2" xfId="2045"/>
    <cellStyle name="40% - Accent2 4 3 2 3" xfId="2046"/>
    <cellStyle name="40% - Accent2 4 3 2 3 2" xfId="2047"/>
    <cellStyle name="40% - Accent2 4 3 2 4" xfId="2048"/>
    <cellStyle name="40% - Accent2 4 3 3" xfId="2049"/>
    <cellStyle name="40% - Accent2 4 3 3 2" xfId="2050"/>
    <cellStyle name="40% - Accent2 4 3 4" xfId="2051"/>
    <cellStyle name="40% - Accent2 4 3 4 2" xfId="2052"/>
    <cellStyle name="40% - Accent2 4 3 5" xfId="2053"/>
    <cellStyle name="40% - Accent2 4 4" xfId="2054"/>
    <cellStyle name="40% - Accent2 4 4 2" xfId="2055"/>
    <cellStyle name="40% - Accent2 4 4 2 2" xfId="2056"/>
    <cellStyle name="40% - Accent2 4 4 3" xfId="2057"/>
    <cellStyle name="40% - Accent2 4 4 3 2" xfId="2058"/>
    <cellStyle name="40% - Accent2 4 4 4" xfId="2059"/>
    <cellStyle name="40% - Accent2 4 5" xfId="2060"/>
    <cellStyle name="40% - Accent2 4 5 2" xfId="2061"/>
    <cellStyle name="40% - Accent2 4 6" xfId="2062"/>
    <cellStyle name="40% - Accent2 4 6 2" xfId="2063"/>
    <cellStyle name="40% - Accent2 4 7" xfId="2064"/>
    <cellStyle name="40% - Accent2 5" xfId="2065"/>
    <cellStyle name="40% - Accent2 5 2" xfId="2066"/>
    <cellStyle name="40% - Accent2 5 2 2" xfId="2067"/>
    <cellStyle name="40% - Accent2 5 2 2 2" xfId="2068"/>
    <cellStyle name="40% - Accent2 5 2 2 2 2" xfId="2069"/>
    <cellStyle name="40% - Accent2 5 2 2 3" xfId="2070"/>
    <cellStyle name="40% - Accent2 5 2 2 3 2" xfId="2071"/>
    <cellStyle name="40% - Accent2 5 2 2 4" xfId="2072"/>
    <cellStyle name="40% - Accent2 5 2 3" xfId="2073"/>
    <cellStyle name="40% - Accent2 5 2 3 2" xfId="2074"/>
    <cellStyle name="40% - Accent2 5 2 4" xfId="2075"/>
    <cellStyle name="40% - Accent2 5 2 4 2" xfId="2076"/>
    <cellStyle name="40% - Accent2 5 2 5" xfId="2077"/>
    <cellStyle name="40% - Accent2 5 3" xfId="2078"/>
    <cellStyle name="40% - Accent2 5 3 2" xfId="2079"/>
    <cellStyle name="40% - Accent2 5 3 2 2" xfId="2080"/>
    <cellStyle name="40% - Accent2 5 3 2 2 2" xfId="2081"/>
    <cellStyle name="40% - Accent2 5 3 2 3" xfId="2082"/>
    <cellStyle name="40% - Accent2 5 3 2 3 2" xfId="2083"/>
    <cellStyle name="40% - Accent2 5 3 2 4" xfId="2084"/>
    <cellStyle name="40% - Accent2 5 3 3" xfId="2085"/>
    <cellStyle name="40% - Accent2 5 3 3 2" xfId="2086"/>
    <cellStyle name="40% - Accent2 5 3 3 2 2" xfId="2087"/>
    <cellStyle name="40% - Accent2 5 3 3 3" xfId="2088"/>
    <cellStyle name="40% - Accent2 5 3 3 3 2" xfId="2089"/>
    <cellStyle name="40% - Accent2 5 3 3 4" xfId="2090"/>
    <cellStyle name="40% - Accent2 5 3 4" xfId="2091"/>
    <cellStyle name="40% - Accent2 5 3 4 2" xfId="2092"/>
    <cellStyle name="40% - Accent2 5 3 5" xfId="2093"/>
    <cellStyle name="40% - Accent2 5 3 5 2" xfId="2094"/>
    <cellStyle name="40% - Accent2 5 3 6" xfId="2095"/>
    <cellStyle name="40% - Accent2 5 4" xfId="2096"/>
    <cellStyle name="40% - Accent2 5 4 2" xfId="2097"/>
    <cellStyle name="40% - Accent2 5 4 2 2" xfId="2098"/>
    <cellStyle name="40% - Accent2 5 4 3" xfId="2099"/>
    <cellStyle name="40% - Accent2 5 4 3 2" xfId="2100"/>
    <cellStyle name="40% - Accent2 5 4 4" xfId="2101"/>
    <cellStyle name="40% - Accent2 5 5" xfId="2102"/>
    <cellStyle name="40% - Accent2 5 5 2" xfId="2103"/>
    <cellStyle name="40% - Accent2 5 6" xfId="2104"/>
    <cellStyle name="40% - Accent2 5 6 2" xfId="2105"/>
    <cellStyle name="40% - Accent2 5 7" xfId="2106"/>
    <cellStyle name="40% - Accent2 6" xfId="2107"/>
    <cellStyle name="40% - Accent2 6 2" xfId="2108"/>
    <cellStyle name="40% - Accent2 6 2 2" xfId="2109"/>
    <cellStyle name="40% - Accent2 6 2 2 2" xfId="2110"/>
    <cellStyle name="40% - Accent2 6 2 3" xfId="2111"/>
    <cellStyle name="40% - Accent2 6 2 3 2" xfId="2112"/>
    <cellStyle name="40% - Accent2 6 2 4" xfId="2113"/>
    <cellStyle name="40% - Accent2 6 3" xfId="2114"/>
    <cellStyle name="40% - Accent2 6 3 2" xfId="2115"/>
    <cellStyle name="40% - Accent2 6 4" xfId="2116"/>
    <cellStyle name="40% - Accent2 6 4 2" xfId="2117"/>
    <cellStyle name="40% - Accent2 6 5" xfId="2118"/>
    <cellStyle name="40% - Accent3 2" xfId="2119"/>
    <cellStyle name="40% - Accent3 2 2" xfId="2120"/>
    <cellStyle name="40% - Accent3 2 2 2" xfId="2121"/>
    <cellStyle name="40% - Accent3 2 2 2 2" xfId="2122"/>
    <cellStyle name="40% - Accent3 2 2 2 2 2" xfId="2123"/>
    <cellStyle name="40% - Accent3 2 2 2 2 2 2" xfId="2124"/>
    <cellStyle name="40% - Accent3 2 2 2 2 2 3" xfId="2125"/>
    <cellStyle name="40% - Accent3 2 2 2 2 2 4" xfId="2126"/>
    <cellStyle name="40% - Accent3 2 2 2 2 3" xfId="2127"/>
    <cellStyle name="40% - Accent3 2 2 2 2 3 2" xfId="2128"/>
    <cellStyle name="40% - Accent3 2 2 2 2 3 3" xfId="2129"/>
    <cellStyle name="40% - Accent3 2 2 2 2 4" xfId="2130"/>
    <cellStyle name="40% - Accent3 2 2 2 2 5" xfId="2131"/>
    <cellStyle name="40% - Accent3 2 2 2 2 6" xfId="2132"/>
    <cellStyle name="40% - Accent3 2 2 2 3" xfId="2133"/>
    <cellStyle name="40% - Accent3 2 2 2 3 2" xfId="2134"/>
    <cellStyle name="40% - Accent3 2 2 2 3 3" xfId="2135"/>
    <cellStyle name="40% - Accent3 2 2 2 3 4" xfId="2136"/>
    <cellStyle name="40% - Accent3 2 2 2 4" xfId="2137"/>
    <cellStyle name="40% - Accent3 2 2 2 4 2" xfId="2138"/>
    <cellStyle name="40% - Accent3 2 2 2 4 3" xfId="2139"/>
    <cellStyle name="40% - Accent3 2 2 2 4 4" xfId="2140"/>
    <cellStyle name="40% - Accent3 2 2 2 5" xfId="2141"/>
    <cellStyle name="40% - Accent3 2 2 2 5 2" xfId="2142"/>
    <cellStyle name="40% - Accent3 2 2 2 5 3" xfId="2143"/>
    <cellStyle name="40% - Accent3 2 2 2 6" xfId="2144"/>
    <cellStyle name="40% - Accent3 2 2 2 7" xfId="2145"/>
    <cellStyle name="40% - Accent3 2 2 2 8" xfId="2146"/>
    <cellStyle name="40% - Accent3 2 2 3" xfId="2147"/>
    <cellStyle name="40% - Accent3 2 2 3 2" xfId="2148"/>
    <cellStyle name="40% - Accent3 2 2 3 2 2" xfId="2149"/>
    <cellStyle name="40% - Accent3 2 2 3 2 3" xfId="2150"/>
    <cellStyle name="40% - Accent3 2 2 3 2 4" xfId="2151"/>
    <cellStyle name="40% - Accent3 2 2 3 3" xfId="2152"/>
    <cellStyle name="40% - Accent3 2 2 3 3 2" xfId="2153"/>
    <cellStyle name="40% - Accent3 2 2 3 3 3" xfId="2154"/>
    <cellStyle name="40% - Accent3 2 2 3 4" xfId="2155"/>
    <cellStyle name="40% - Accent3 2 2 3 5" xfId="2156"/>
    <cellStyle name="40% - Accent3 2 2 3 6" xfId="2157"/>
    <cellStyle name="40% - Accent3 2 2 4" xfId="2158"/>
    <cellStyle name="40% - Accent3 2 2 4 2" xfId="2159"/>
    <cellStyle name="40% - Accent3 2 2 4 3" xfId="2160"/>
    <cellStyle name="40% - Accent3 2 2 4 4" xfId="2161"/>
    <cellStyle name="40% - Accent3 2 2 5" xfId="2162"/>
    <cellStyle name="40% - Accent3 2 2 5 2" xfId="2163"/>
    <cellStyle name="40% - Accent3 2 2 5 3" xfId="2164"/>
    <cellStyle name="40% - Accent3 2 2 6" xfId="2165"/>
    <cellStyle name="40% - Accent3 2 2 7" xfId="2166"/>
    <cellStyle name="40% - Accent3 2 2 8" xfId="2167"/>
    <cellStyle name="40% - Accent3 2 3" xfId="2168"/>
    <cellStyle name="40% - Accent3 2 3 2" xfId="2169"/>
    <cellStyle name="40% - Accent3 2 3 2 2" xfId="2170"/>
    <cellStyle name="40% - Accent3 2 3 2 2 2" xfId="2171"/>
    <cellStyle name="40% - Accent3 2 3 2 2 3" xfId="2172"/>
    <cellStyle name="40% - Accent3 2 3 2 2 4" xfId="2173"/>
    <cellStyle name="40% - Accent3 2 3 2 3" xfId="2174"/>
    <cellStyle name="40% - Accent3 2 3 2 3 2" xfId="2175"/>
    <cellStyle name="40% - Accent3 2 3 2 3 3" xfId="2176"/>
    <cellStyle name="40% - Accent3 2 3 2 4" xfId="2177"/>
    <cellStyle name="40% - Accent3 2 3 2 5" xfId="2178"/>
    <cellStyle name="40% - Accent3 2 3 2 6" xfId="2179"/>
    <cellStyle name="40% - Accent3 2 3 3" xfId="2180"/>
    <cellStyle name="40% - Accent3 2 3 3 2" xfId="2181"/>
    <cellStyle name="40% - Accent3 2 3 3 2 2" xfId="2182"/>
    <cellStyle name="40% - Accent3 2 3 3 2 3" xfId="2183"/>
    <cellStyle name="40% - Accent3 2 3 3 2 4" xfId="2184"/>
    <cellStyle name="40% - Accent3 2 3 3 3" xfId="2185"/>
    <cellStyle name="40% - Accent3 2 3 3 3 2" xfId="2186"/>
    <cellStyle name="40% - Accent3 2 3 3 3 3" xfId="2187"/>
    <cellStyle name="40% - Accent3 2 3 3 4" xfId="2188"/>
    <cellStyle name="40% - Accent3 2 3 3 5" xfId="2189"/>
    <cellStyle name="40% - Accent3 2 3 3 6" xfId="2190"/>
    <cellStyle name="40% - Accent3 2 3 4" xfId="2191"/>
    <cellStyle name="40% - Accent3 2 3 4 2" xfId="2192"/>
    <cellStyle name="40% - Accent3 2 3 4 3" xfId="2193"/>
    <cellStyle name="40% - Accent3 2 3 4 4" xfId="2194"/>
    <cellStyle name="40% - Accent3 2 3 5" xfId="2195"/>
    <cellStyle name="40% - Accent3 2 3 5 2" xfId="2196"/>
    <cellStyle name="40% - Accent3 2 3 5 3" xfId="2197"/>
    <cellStyle name="40% - Accent3 2 3 6" xfId="2198"/>
    <cellStyle name="40% - Accent3 2 3 7" xfId="2199"/>
    <cellStyle name="40% - Accent3 2 3 8" xfId="2200"/>
    <cellStyle name="40% - Accent3 2 4" xfId="2201"/>
    <cellStyle name="40% - Accent3 2 4 2" xfId="2202"/>
    <cellStyle name="40% - Accent3 2 4 2 2" xfId="2203"/>
    <cellStyle name="40% - Accent3 2 4 2 3" xfId="2204"/>
    <cellStyle name="40% - Accent3 2 4 2 4" xfId="2205"/>
    <cellStyle name="40% - Accent3 2 4 3" xfId="2206"/>
    <cellStyle name="40% - Accent3 2 4 3 2" xfId="2207"/>
    <cellStyle name="40% - Accent3 2 4 3 3" xfId="2208"/>
    <cellStyle name="40% - Accent3 2 4 4" xfId="2209"/>
    <cellStyle name="40% - Accent3 2 4 5" xfId="2210"/>
    <cellStyle name="40% - Accent3 2 4 6" xfId="2211"/>
    <cellStyle name="40% - Accent3 2 5" xfId="2212"/>
    <cellStyle name="40% - Accent3 2 5 2" xfId="2213"/>
    <cellStyle name="40% - Accent3 2 5 3" xfId="2214"/>
    <cellStyle name="40% - Accent3 2 6" xfId="2215"/>
    <cellStyle name="40% - Accent3 2 7" xfId="2216"/>
    <cellStyle name="40% - Accent3 2 8" xfId="2217"/>
    <cellStyle name="40% - Accent3 2 9" xfId="2218"/>
    <cellStyle name="40% - Accent3 3" xfId="2219"/>
    <cellStyle name="40% - Accent3 3 2" xfId="2220"/>
    <cellStyle name="40% - Accent3 3 2 2" xfId="2221"/>
    <cellStyle name="40% - Accent3 3 2 2 2" xfId="2222"/>
    <cellStyle name="40% - Accent3 3 2 2 2 2" xfId="2223"/>
    <cellStyle name="40% - Accent3 3 2 2 2 2 2" xfId="2224"/>
    <cellStyle name="40% - Accent3 3 2 2 2 2 2 2" xfId="2225"/>
    <cellStyle name="40% - Accent3 3 2 2 2 2 2 2 2" xfId="2226"/>
    <cellStyle name="40% - Accent3 3 2 2 2 2 2 3" xfId="2227"/>
    <cellStyle name="40% - Accent3 3 2 2 2 2 2 3 2" xfId="2228"/>
    <cellStyle name="40% - Accent3 3 2 2 2 2 2 4" xfId="2229"/>
    <cellStyle name="40% - Accent3 3 2 2 2 2 3" xfId="2230"/>
    <cellStyle name="40% - Accent3 3 2 2 2 2 3 2" xfId="2231"/>
    <cellStyle name="40% - Accent3 3 2 2 2 2 4" xfId="2232"/>
    <cellStyle name="40% - Accent3 3 2 2 2 2 4 2" xfId="2233"/>
    <cellStyle name="40% - Accent3 3 2 2 2 2 5" xfId="2234"/>
    <cellStyle name="40% - Accent3 3 2 2 2 3" xfId="2235"/>
    <cellStyle name="40% - Accent3 3 2 2 2 3 2" xfId="2236"/>
    <cellStyle name="40% - Accent3 3 2 2 2 3 2 2" xfId="2237"/>
    <cellStyle name="40% - Accent3 3 2 2 2 3 3" xfId="2238"/>
    <cellStyle name="40% - Accent3 3 2 2 2 3 3 2" xfId="2239"/>
    <cellStyle name="40% - Accent3 3 2 2 2 3 4" xfId="2240"/>
    <cellStyle name="40% - Accent3 3 2 2 2 4" xfId="2241"/>
    <cellStyle name="40% - Accent3 3 2 2 2 4 2" xfId="2242"/>
    <cellStyle name="40% - Accent3 3 2 2 2 5" xfId="2243"/>
    <cellStyle name="40% - Accent3 3 2 2 2 5 2" xfId="2244"/>
    <cellStyle name="40% - Accent3 3 2 2 2 6" xfId="2245"/>
    <cellStyle name="40% - Accent3 3 2 2 3" xfId="2246"/>
    <cellStyle name="40% - Accent3 3 2 2 3 2" xfId="2247"/>
    <cellStyle name="40% - Accent3 3 2 2 3 2 2" xfId="2248"/>
    <cellStyle name="40% - Accent3 3 2 2 3 2 2 2" xfId="2249"/>
    <cellStyle name="40% - Accent3 3 2 2 3 2 3" xfId="2250"/>
    <cellStyle name="40% - Accent3 3 2 2 3 2 3 2" xfId="2251"/>
    <cellStyle name="40% - Accent3 3 2 2 3 2 4" xfId="2252"/>
    <cellStyle name="40% - Accent3 3 2 2 3 3" xfId="2253"/>
    <cellStyle name="40% - Accent3 3 2 2 3 3 2" xfId="2254"/>
    <cellStyle name="40% - Accent3 3 2 2 3 4" xfId="2255"/>
    <cellStyle name="40% - Accent3 3 2 2 3 4 2" xfId="2256"/>
    <cellStyle name="40% - Accent3 3 2 2 3 5" xfId="2257"/>
    <cellStyle name="40% - Accent3 3 2 2 4" xfId="2258"/>
    <cellStyle name="40% - Accent3 3 2 2 4 2" xfId="2259"/>
    <cellStyle name="40% - Accent3 3 2 2 4 2 2" xfId="2260"/>
    <cellStyle name="40% - Accent3 3 2 2 4 3" xfId="2261"/>
    <cellStyle name="40% - Accent3 3 2 2 4 3 2" xfId="2262"/>
    <cellStyle name="40% - Accent3 3 2 2 4 4" xfId="2263"/>
    <cellStyle name="40% - Accent3 3 2 2 5" xfId="2264"/>
    <cellStyle name="40% - Accent3 3 2 2 5 2" xfId="2265"/>
    <cellStyle name="40% - Accent3 3 2 2 6" xfId="2266"/>
    <cellStyle name="40% - Accent3 3 2 2 6 2" xfId="2267"/>
    <cellStyle name="40% - Accent3 3 2 2 7" xfId="2268"/>
    <cellStyle name="40% - Accent3 3 2 3" xfId="2269"/>
    <cellStyle name="40% - Accent3 3 3" xfId="2270"/>
    <cellStyle name="40% - Accent3 4" xfId="2271"/>
    <cellStyle name="40% - Accent3 4 2" xfId="2272"/>
    <cellStyle name="40% - Accent3 4 2 2" xfId="2273"/>
    <cellStyle name="40% - Accent3 4 2 2 2" xfId="2274"/>
    <cellStyle name="40% - Accent3 4 2 2 2 2" xfId="2275"/>
    <cellStyle name="40% - Accent3 4 2 2 2 2 2" xfId="2276"/>
    <cellStyle name="40% - Accent3 4 2 2 2 3" xfId="2277"/>
    <cellStyle name="40% - Accent3 4 2 2 2 3 2" xfId="2278"/>
    <cellStyle name="40% - Accent3 4 2 2 2 4" xfId="2279"/>
    <cellStyle name="40% - Accent3 4 2 2 3" xfId="2280"/>
    <cellStyle name="40% - Accent3 4 2 2 3 2" xfId="2281"/>
    <cellStyle name="40% - Accent3 4 2 2 4" xfId="2282"/>
    <cellStyle name="40% - Accent3 4 2 2 4 2" xfId="2283"/>
    <cellStyle name="40% - Accent3 4 2 2 5" xfId="2284"/>
    <cellStyle name="40% - Accent3 4 2 3" xfId="2285"/>
    <cellStyle name="40% - Accent3 4 2 3 2" xfId="2286"/>
    <cellStyle name="40% - Accent3 4 2 3 2 2" xfId="2287"/>
    <cellStyle name="40% - Accent3 4 2 3 3" xfId="2288"/>
    <cellStyle name="40% - Accent3 4 2 3 3 2" xfId="2289"/>
    <cellStyle name="40% - Accent3 4 2 3 4" xfId="2290"/>
    <cellStyle name="40% - Accent3 4 2 4" xfId="2291"/>
    <cellStyle name="40% - Accent3 4 2 4 2" xfId="2292"/>
    <cellStyle name="40% - Accent3 4 2 5" xfId="2293"/>
    <cellStyle name="40% - Accent3 4 2 5 2" xfId="2294"/>
    <cellStyle name="40% - Accent3 4 2 6" xfId="2295"/>
    <cellStyle name="40% - Accent3 4 3" xfId="2296"/>
    <cellStyle name="40% - Accent3 4 3 2" xfId="2297"/>
    <cellStyle name="40% - Accent3 4 3 2 2" xfId="2298"/>
    <cellStyle name="40% - Accent3 4 3 2 2 2" xfId="2299"/>
    <cellStyle name="40% - Accent3 4 3 2 3" xfId="2300"/>
    <cellStyle name="40% - Accent3 4 3 2 3 2" xfId="2301"/>
    <cellStyle name="40% - Accent3 4 3 2 4" xfId="2302"/>
    <cellStyle name="40% - Accent3 4 3 3" xfId="2303"/>
    <cellStyle name="40% - Accent3 4 3 3 2" xfId="2304"/>
    <cellStyle name="40% - Accent3 4 3 4" xfId="2305"/>
    <cellStyle name="40% - Accent3 4 3 4 2" xfId="2306"/>
    <cellStyle name="40% - Accent3 4 3 5" xfId="2307"/>
    <cellStyle name="40% - Accent3 4 4" xfId="2308"/>
    <cellStyle name="40% - Accent3 4 4 2" xfId="2309"/>
    <cellStyle name="40% - Accent3 4 4 2 2" xfId="2310"/>
    <cellStyle name="40% - Accent3 4 4 3" xfId="2311"/>
    <cellStyle name="40% - Accent3 4 4 3 2" xfId="2312"/>
    <cellStyle name="40% - Accent3 4 4 4" xfId="2313"/>
    <cellStyle name="40% - Accent3 4 5" xfId="2314"/>
    <cellStyle name="40% - Accent3 4 5 2" xfId="2315"/>
    <cellStyle name="40% - Accent3 4 6" xfId="2316"/>
    <cellStyle name="40% - Accent3 4 6 2" xfId="2317"/>
    <cellStyle name="40% - Accent3 4 7" xfId="2318"/>
    <cellStyle name="40% - Accent3 5" xfId="2319"/>
    <cellStyle name="40% - Accent3 5 2" xfId="2320"/>
    <cellStyle name="40% - Accent3 5 2 2" xfId="2321"/>
    <cellStyle name="40% - Accent3 5 2 2 2" xfId="2322"/>
    <cellStyle name="40% - Accent3 5 2 2 2 2" xfId="2323"/>
    <cellStyle name="40% - Accent3 5 2 2 3" xfId="2324"/>
    <cellStyle name="40% - Accent3 5 2 2 3 2" xfId="2325"/>
    <cellStyle name="40% - Accent3 5 2 2 4" xfId="2326"/>
    <cellStyle name="40% - Accent3 5 2 3" xfId="2327"/>
    <cellStyle name="40% - Accent3 5 2 3 2" xfId="2328"/>
    <cellStyle name="40% - Accent3 5 2 4" xfId="2329"/>
    <cellStyle name="40% - Accent3 5 2 4 2" xfId="2330"/>
    <cellStyle name="40% - Accent3 5 2 5" xfId="2331"/>
    <cellStyle name="40% - Accent3 5 3" xfId="2332"/>
    <cellStyle name="40% - Accent3 5 3 2" xfId="2333"/>
    <cellStyle name="40% - Accent3 5 3 2 2" xfId="2334"/>
    <cellStyle name="40% - Accent3 5 3 2 2 2" xfId="2335"/>
    <cellStyle name="40% - Accent3 5 3 2 3" xfId="2336"/>
    <cellStyle name="40% - Accent3 5 3 2 3 2" xfId="2337"/>
    <cellStyle name="40% - Accent3 5 3 2 4" xfId="2338"/>
    <cellStyle name="40% - Accent3 5 3 3" xfId="2339"/>
    <cellStyle name="40% - Accent3 5 3 3 2" xfId="2340"/>
    <cellStyle name="40% - Accent3 5 3 3 2 2" xfId="2341"/>
    <cellStyle name="40% - Accent3 5 3 3 3" xfId="2342"/>
    <cellStyle name="40% - Accent3 5 3 3 3 2" xfId="2343"/>
    <cellStyle name="40% - Accent3 5 3 3 4" xfId="2344"/>
    <cellStyle name="40% - Accent3 5 3 4" xfId="2345"/>
    <cellStyle name="40% - Accent3 5 3 4 2" xfId="2346"/>
    <cellStyle name="40% - Accent3 5 3 5" xfId="2347"/>
    <cellStyle name="40% - Accent3 5 3 5 2" xfId="2348"/>
    <cellStyle name="40% - Accent3 5 3 6" xfId="2349"/>
    <cellStyle name="40% - Accent3 5 4" xfId="2350"/>
    <cellStyle name="40% - Accent3 5 4 2" xfId="2351"/>
    <cellStyle name="40% - Accent3 5 4 2 2" xfId="2352"/>
    <cellStyle name="40% - Accent3 5 4 3" xfId="2353"/>
    <cellStyle name="40% - Accent3 5 4 3 2" xfId="2354"/>
    <cellStyle name="40% - Accent3 5 4 4" xfId="2355"/>
    <cellStyle name="40% - Accent3 5 5" xfId="2356"/>
    <cellStyle name="40% - Accent3 5 5 2" xfId="2357"/>
    <cellStyle name="40% - Accent3 5 6" xfId="2358"/>
    <cellStyle name="40% - Accent3 5 6 2" xfId="2359"/>
    <cellStyle name="40% - Accent3 5 7" xfId="2360"/>
    <cellStyle name="40% - Accent3 6" xfId="2361"/>
    <cellStyle name="40% - Accent3 6 2" xfId="2362"/>
    <cellStyle name="40% - Accent3 6 2 2" xfId="2363"/>
    <cellStyle name="40% - Accent3 6 2 2 2" xfId="2364"/>
    <cellStyle name="40% - Accent3 6 2 3" xfId="2365"/>
    <cellStyle name="40% - Accent3 6 2 3 2" xfId="2366"/>
    <cellStyle name="40% - Accent3 6 2 4" xfId="2367"/>
    <cellStyle name="40% - Accent3 6 3" xfId="2368"/>
    <cellStyle name="40% - Accent3 6 3 2" xfId="2369"/>
    <cellStyle name="40% - Accent3 6 4" xfId="2370"/>
    <cellStyle name="40% - Accent3 6 4 2" xfId="2371"/>
    <cellStyle name="40% - Accent3 6 5" xfId="2372"/>
    <cellStyle name="40% - Accent4 2" xfId="2373"/>
    <cellStyle name="40% - Accent4 2 10" xfId="2374"/>
    <cellStyle name="40% - Accent4 2 11" xfId="2375"/>
    <cellStyle name="40% - Accent4 2 2" xfId="2376"/>
    <cellStyle name="40% - Accent4 2 2 10" xfId="2377"/>
    <cellStyle name="40% - Accent4 2 2 2" xfId="2378"/>
    <cellStyle name="40% - Accent4 2 2 2 2" xfId="2379"/>
    <cellStyle name="40% - Accent4 2 2 2 2 2" xfId="2380"/>
    <cellStyle name="40% - Accent4 2 2 2 2 2 2" xfId="2381"/>
    <cellStyle name="40% - Accent4 2 2 2 2 2 3" xfId="2382"/>
    <cellStyle name="40% - Accent4 2 2 2 2 2 4" xfId="2383"/>
    <cellStyle name="40% - Accent4 2 2 2 2 3" xfId="2384"/>
    <cellStyle name="40% - Accent4 2 2 2 2 3 2" xfId="2385"/>
    <cellStyle name="40% - Accent4 2 2 2 2 3 3" xfId="2386"/>
    <cellStyle name="40% - Accent4 2 2 2 2 4" xfId="2387"/>
    <cellStyle name="40% - Accent4 2 2 2 2 5" xfId="2388"/>
    <cellStyle name="40% - Accent4 2 2 2 2 6" xfId="2389"/>
    <cellStyle name="40% - Accent4 2 2 2 3" xfId="2390"/>
    <cellStyle name="40% - Accent4 2 2 2 3 2" xfId="2391"/>
    <cellStyle name="40% - Accent4 2 2 2 3 3" xfId="2392"/>
    <cellStyle name="40% - Accent4 2 2 2 3 4" xfId="2393"/>
    <cellStyle name="40% - Accent4 2 2 2 4" xfId="2394"/>
    <cellStyle name="40% - Accent4 2 2 2 4 2" xfId="2395"/>
    <cellStyle name="40% - Accent4 2 2 2 4 3" xfId="2396"/>
    <cellStyle name="40% - Accent4 2 2 2 4 4" xfId="2397"/>
    <cellStyle name="40% - Accent4 2 2 2 5" xfId="2398"/>
    <cellStyle name="40% - Accent4 2 2 2 5 2" xfId="2399"/>
    <cellStyle name="40% - Accent4 2 2 2 5 3" xfId="2400"/>
    <cellStyle name="40% - Accent4 2 2 2 6" xfId="2401"/>
    <cellStyle name="40% - Accent4 2 2 2 7" xfId="2402"/>
    <cellStyle name="40% - Accent4 2 2 2 8" xfId="2403"/>
    <cellStyle name="40% - Accent4 2 2 3" xfId="2404"/>
    <cellStyle name="40% - Accent4 2 2 3 2" xfId="2405"/>
    <cellStyle name="40% - Accent4 2 2 3 2 2" xfId="2406"/>
    <cellStyle name="40% - Accent4 2 2 3 2 3" xfId="2407"/>
    <cellStyle name="40% - Accent4 2 2 3 2 4" xfId="2408"/>
    <cellStyle name="40% - Accent4 2 2 3 3" xfId="2409"/>
    <cellStyle name="40% - Accent4 2 2 3 3 2" xfId="2410"/>
    <cellStyle name="40% - Accent4 2 2 3 3 3" xfId="2411"/>
    <cellStyle name="40% - Accent4 2 2 3 4" xfId="2412"/>
    <cellStyle name="40% - Accent4 2 2 3 5" xfId="2413"/>
    <cellStyle name="40% - Accent4 2 2 3 6" xfId="2414"/>
    <cellStyle name="40% - Accent4 2 2 4" xfId="2415"/>
    <cellStyle name="40% - Accent4 2 2 4 2" xfId="2416"/>
    <cellStyle name="40% - Accent4 2 2 4 3" xfId="2417"/>
    <cellStyle name="40% - Accent4 2 2 4 4" xfId="2418"/>
    <cellStyle name="40% - Accent4 2 2 5" xfId="2419"/>
    <cellStyle name="40% - Accent4 2 2 5 2" xfId="2420"/>
    <cellStyle name="40% - Accent4 2 2 5 3" xfId="2421"/>
    <cellStyle name="40% - Accent4 2 2 5 4" xfId="2422"/>
    <cellStyle name="40% - Accent4 2 2 6" xfId="2423"/>
    <cellStyle name="40% - Accent4 2 2 6 2" xfId="2424"/>
    <cellStyle name="40% - Accent4 2 2 6 3" xfId="2425"/>
    <cellStyle name="40% - Accent4 2 2 7" xfId="2426"/>
    <cellStyle name="40% - Accent4 2 2 8" xfId="2427"/>
    <cellStyle name="40% - Accent4 2 2 9" xfId="2428"/>
    <cellStyle name="40% - Accent4 2 3" xfId="2429"/>
    <cellStyle name="40% - Accent4 2 3 2" xfId="2430"/>
    <cellStyle name="40% - Accent4 2 3 2 2" xfId="2431"/>
    <cellStyle name="40% - Accent4 2 3 2 2 2" xfId="2432"/>
    <cellStyle name="40% - Accent4 2 3 2 2 3" xfId="2433"/>
    <cellStyle name="40% - Accent4 2 3 2 2 4" xfId="2434"/>
    <cellStyle name="40% - Accent4 2 3 2 3" xfId="2435"/>
    <cellStyle name="40% - Accent4 2 3 2 3 2" xfId="2436"/>
    <cellStyle name="40% - Accent4 2 3 2 3 3" xfId="2437"/>
    <cellStyle name="40% - Accent4 2 3 2 4" xfId="2438"/>
    <cellStyle name="40% - Accent4 2 3 2 5" xfId="2439"/>
    <cellStyle name="40% - Accent4 2 3 2 6" xfId="2440"/>
    <cellStyle name="40% - Accent4 2 3 3" xfId="2441"/>
    <cellStyle name="40% - Accent4 2 3 3 2" xfId="2442"/>
    <cellStyle name="40% - Accent4 2 3 3 2 2" xfId="2443"/>
    <cellStyle name="40% - Accent4 2 3 3 2 3" xfId="2444"/>
    <cellStyle name="40% - Accent4 2 3 3 2 4" xfId="2445"/>
    <cellStyle name="40% - Accent4 2 3 3 3" xfId="2446"/>
    <cellStyle name="40% - Accent4 2 3 3 3 2" xfId="2447"/>
    <cellStyle name="40% - Accent4 2 3 3 3 3" xfId="2448"/>
    <cellStyle name="40% - Accent4 2 3 3 4" xfId="2449"/>
    <cellStyle name="40% - Accent4 2 3 3 5" xfId="2450"/>
    <cellStyle name="40% - Accent4 2 3 3 6" xfId="2451"/>
    <cellStyle name="40% - Accent4 2 3 4" xfId="2452"/>
    <cellStyle name="40% - Accent4 2 3 4 2" xfId="2453"/>
    <cellStyle name="40% - Accent4 2 3 4 3" xfId="2454"/>
    <cellStyle name="40% - Accent4 2 3 4 4" xfId="2455"/>
    <cellStyle name="40% - Accent4 2 3 5" xfId="2456"/>
    <cellStyle name="40% - Accent4 2 3 5 2" xfId="2457"/>
    <cellStyle name="40% - Accent4 2 3 5 3" xfId="2458"/>
    <cellStyle name="40% - Accent4 2 3 6" xfId="2459"/>
    <cellStyle name="40% - Accent4 2 3 7" xfId="2460"/>
    <cellStyle name="40% - Accent4 2 3 8" xfId="2461"/>
    <cellStyle name="40% - Accent4 2 4" xfId="2462"/>
    <cellStyle name="40% - Accent4 2 4 2" xfId="2463"/>
    <cellStyle name="40% - Accent4 2 4 2 2" xfId="2464"/>
    <cellStyle name="40% - Accent4 2 4 2 3" xfId="2465"/>
    <cellStyle name="40% - Accent4 2 4 2 4" xfId="2466"/>
    <cellStyle name="40% - Accent4 2 4 3" xfId="2467"/>
    <cellStyle name="40% - Accent4 2 4 3 2" xfId="2468"/>
    <cellStyle name="40% - Accent4 2 4 3 3" xfId="2469"/>
    <cellStyle name="40% - Accent4 2 4 4" xfId="2470"/>
    <cellStyle name="40% - Accent4 2 4 5" xfId="2471"/>
    <cellStyle name="40% - Accent4 2 4 6" xfId="2472"/>
    <cellStyle name="40% - Accent4 2 5" xfId="2473"/>
    <cellStyle name="40% - Accent4 2 5 2" xfId="2474"/>
    <cellStyle name="40% - Accent4 2 5 2 2" xfId="2475"/>
    <cellStyle name="40% - Accent4 2 5 2 3" xfId="2476"/>
    <cellStyle name="40% - Accent4 2 5 2 4" xfId="2477"/>
    <cellStyle name="40% - Accent4 2 5 3" xfId="2478"/>
    <cellStyle name="40% - Accent4 2 5 3 2" xfId="2479"/>
    <cellStyle name="40% - Accent4 2 5 3 3" xfId="2480"/>
    <cellStyle name="40% - Accent4 2 5 4" xfId="2481"/>
    <cellStyle name="40% - Accent4 2 5 5" xfId="2482"/>
    <cellStyle name="40% - Accent4 2 5 6" xfId="2483"/>
    <cellStyle name="40% - Accent4 2 6" xfId="2484"/>
    <cellStyle name="40% - Accent4 2 6 2" xfId="2485"/>
    <cellStyle name="40% - Accent4 2 6 3" xfId="2486"/>
    <cellStyle name="40% - Accent4 2 6 4" xfId="2487"/>
    <cellStyle name="40% - Accent4 2 7" xfId="2488"/>
    <cellStyle name="40% - Accent4 2 7 2" xfId="2489"/>
    <cellStyle name="40% - Accent4 2 7 3" xfId="2490"/>
    <cellStyle name="40% - Accent4 2 8" xfId="2491"/>
    <cellStyle name="40% - Accent4 2 9" xfId="2492"/>
    <cellStyle name="40% - Accent4 3" xfId="2493"/>
    <cellStyle name="40% - Accent4 3 2" xfId="2494"/>
    <cellStyle name="40% - Accent4 3 2 2" xfId="2495"/>
    <cellStyle name="40% - Accent4 3 2 2 2" xfId="2496"/>
    <cellStyle name="40% - Accent4 3 2 2 2 2" xfId="2497"/>
    <cellStyle name="40% - Accent4 3 2 2 2 2 2" xfId="2498"/>
    <cellStyle name="40% - Accent4 3 2 2 2 2 2 2" xfId="2499"/>
    <cellStyle name="40% - Accent4 3 2 2 2 2 2 2 2" xfId="2500"/>
    <cellStyle name="40% - Accent4 3 2 2 2 2 2 3" xfId="2501"/>
    <cellStyle name="40% - Accent4 3 2 2 2 2 2 3 2" xfId="2502"/>
    <cellStyle name="40% - Accent4 3 2 2 2 2 2 4" xfId="2503"/>
    <cellStyle name="40% - Accent4 3 2 2 2 2 3" xfId="2504"/>
    <cellStyle name="40% - Accent4 3 2 2 2 2 3 2" xfId="2505"/>
    <cellStyle name="40% - Accent4 3 2 2 2 2 4" xfId="2506"/>
    <cellStyle name="40% - Accent4 3 2 2 2 2 4 2" xfId="2507"/>
    <cellStyle name="40% - Accent4 3 2 2 2 2 5" xfId="2508"/>
    <cellStyle name="40% - Accent4 3 2 2 2 3" xfId="2509"/>
    <cellStyle name="40% - Accent4 3 2 2 2 3 2" xfId="2510"/>
    <cellStyle name="40% - Accent4 3 2 2 2 3 2 2" xfId="2511"/>
    <cellStyle name="40% - Accent4 3 2 2 2 3 3" xfId="2512"/>
    <cellStyle name="40% - Accent4 3 2 2 2 3 3 2" xfId="2513"/>
    <cellStyle name="40% - Accent4 3 2 2 2 3 4" xfId="2514"/>
    <cellStyle name="40% - Accent4 3 2 2 2 4" xfId="2515"/>
    <cellStyle name="40% - Accent4 3 2 2 2 4 2" xfId="2516"/>
    <cellStyle name="40% - Accent4 3 2 2 2 5" xfId="2517"/>
    <cellStyle name="40% - Accent4 3 2 2 2 5 2" xfId="2518"/>
    <cellStyle name="40% - Accent4 3 2 2 2 6" xfId="2519"/>
    <cellStyle name="40% - Accent4 3 2 2 3" xfId="2520"/>
    <cellStyle name="40% - Accent4 3 2 2 3 2" xfId="2521"/>
    <cellStyle name="40% - Accent4 3 2 2 3 2 2" xfId="2522"/>
    <cellStyle name="40% - Accent4 3 2 2 3 2 2 2" xfId="2523"/>
    <cellStyle name="40% - Accent4 3 2 2 3 2 3" xfId="2524"/>
    <cellStyle name="40% - Accent4 3 2 2 3 2 3 2" xfId="2525"/>
    <cellStyle name="40% - Accent4 3 2 2 3 2 4" xfId="2526"/>
    <cellStyle name="40% - Accent4 3 2 2 3 3" xfId="2527"/>
    <cellStyle name="40% - Accent4 3 2 2 3 3 2" xfId="2528"/>
    <cellStyle name="40% - Accent4 3 2 2 3 4" xfId="2529"/>
    <cellStyle name="40% - Accent4 3 2 2 3 4 2" xfId="2530"/>
    <cellStyle name="40% - Accent4 3 2 2 3 5" xfId="2531"/>
    <cellStyle name="40% - Accent4 3 2 2 4" xfId="2532"/>
    <cellStyle name="40% - Accent4 3 2 2 4 2" xfId="2533"/>
    <cellStyle name="40% - Accent4 3 2 2 4 2 2" xfId="2534"/>
    <cellStyle name="40% - Accent4 3 2 2 4 3" xfId="2535"/>
    <cellStyle name="40% - Accent4 3 2 2 4 3 2" xfId="2536"/>
    <cellStyle name="40% - Accent4 3 2 2 4 4" xfId="2537"/>
    <cellStyle name="40% - Accent4 3 2 2 5" xfId="2538"/>
    <cellStyle name="40% - Accent4 3 2 2 5 2" xfId="2539"/>
    <cellStyle name="40% - Accent4 3 2 2 6" xfId="2540"/>
    <cellStyle name="40% - Accent4 3 2 2 6 2" xfId="2541"/>
    <cellStyle name="40% - Accent4 3 2 2 7" xfId="2542"/>
    <cellStyle name="40% - Accent4 3 2 3" xfId="2543"/>
    <cellStyle name="40% - Accent4 3 3" xfId="2544"/>
    <cellStyle name="40% - Accent4 4" xfId="2545"/>
    <cellStyle name="40% - Accent4 4 2" xfId="2546"/>
    <cellStyle name="40% - Accent4 4 2 2" xfId="2547"/>
    <cellStyle name="40% - Accent4 4 2 2 2" xfId="2548"/>
    <cellStyle name="40% - Accent4 4 2 2 2 2" xfId="2549"/>
    <cellStyle name="40% - Accent4 4 2 2 2 2 2" xfId="2550"/>
    <cellStyle name="40% - Accent4 4 2 2 2 3" xfId="2551"/>
    <cellStyle name="40% - Accent4 4 2 2 2 3 2" xfId="2552"/>
    <cellStyle name="40% - Accent4 4 2 2 2 4" xfId="2553"/>
    <cellStyle name="40% - Accent4 4 2 2 3" xfId="2554"/>
    <cellStyle name="40% - Accent4 4 2 2 3 2" xfId="2555"/>
    <cellStyle name="40% - Accent4 4 2 2 4" xfId="2556"/>
    <cellStyle name="40% - Accent4 4 2 2 4 2" xfId="2557"/>
    <cellStyle name="40% - Accent4 4 2 2 5" xfId="2558"/>
    <cellStyle name="40% - Accent4 4 2 3" xfId="2559"/>
    <cellStyle name="40% - Accent4 4 2 3 2" xfId="2560"/>
    <cellStyle name="40% - Accent4 4 2 3 2 2" xfId="2561"/>
    <cellStyle name="40% - Accent4 4 2 3 3" xfId="2562"/>
    <cellStyle name="40% - Accent4 4 2 3 3 2" xfId="2563"/>
    <cellStyle name="40% - Accent4 4 2 3 4" xfId="2564"/>
    <cellStyle name="40% - Accent4 4 2 4" xfId="2565"/>
    <cellStyle name="40% - Accent4 4 2 4 2" xfId="2566"/>
    <cellStyle name="40% - Accent4 4 2 5" xfId="2567"/>
    <cellStyle name="40% - Accent4 4 2 5 2" xfId="2568"/>
    <cellStyle name="40% - Accent4 4 2 6" xfId="2569"/>
    <cellStyle name="40% - Accent4 4 3" xfId="2570"/>
    <cellStyle name="40% - Accent4 4 3 2" xfId="2571"/>
    <cellStyle name="40% - Accent4 4 3 2 2" xfId="2572"/>
    <cellStyle name="40% - Accent4 4 3 2 2 2" xfId="2573"/>
    <cellStyle name="40% - Accent4 4 3 2 3" xfId="2574"/>
    <cellStyle name="40% - Accent4 4 3 2 3 2" xfId="2575"/>
    <cellStyle name="40% - Accent4 4 3 2 4" xfId="2576"/>
    <cellStyle name="40% - Accent4 4 3 3" xfId="2577"/>
    <cellStyle name="40% - Accent4 4 3 3 2" xfId="2578"/>
    <cellStyle name="40% - Accent4 4 3 4" xfId="2579"/>
    <cellStyle name="40% - Accent4 4 3 4 2" xfId="2580"/>
    <cellStyle name="40% - Accent4 4 3 5" xfId="2581"/>
    <cellStyle name="40% - Accent4 4 4" xfId="2582"/>
    <cellStyle name="40% - Accent4 4 4 2" xfId="2583"/>
    <cellStyle name="40% - Accent4 4 4 2 2" xfId="2584"/>
    <cellStyle name="40% - Accent4 4 4 3" xfId="2585"/>
    <cellStyle name="40% - Accent4 4 4 3 2" xfId="2586"/>
    <cellStyle name="40% - Accent4 4 4 4" xfId="2587"/>
    <cellStyle name="40% - Accent4 4 5" xfId="2588"/>
    <cellStyle name="40% - Accent4 4 5 2" xfId="2589"/>
    <cellStyle name="40% - Accent4 4 6" xfId="2590"/>
    <cellStyle name="40% - Accent4 4 6 2" xfId="2591"/>
    <cellStyle name="40% - Accent4 4 7" xfId="2592"/>
    <cellStyle name="40% - Accent4 5" xfId="2593"/>
    <cellStyle name="40% - Accent4 5 2" xfId="2594"/>
    <cellStyle name="40% - Accent4 5 2 2" xfId="2595"/>
    <cellStyle name="40% - Accent4 5 2 2 2" xfId="2596"/>
    <cellStyle name="40% - Accent4 5 2 2 2 2" xfId="2597"/>
    <cellStyle name="40% - Accent4 5 2 2 3" xfId="2598"/>
    <cellStyle name="40% - Accent4 5 2 2 3 2" xfId="2599"/>
    <cellStyle name="40% - Accent4 5 2 2 4" xfId="2600"/>
    <cellStyle name="40% - Accent4 5 2 3" xfId="2601"/>
    <cellStyle name="40% - Accent4 5 2 3 2" xfId="2602"/>
    <cellStyle name="40% - Accent4 5 2 4" xfId="2603"/>
    <cellStyle name="40% - Accent4 5 2 4 2" xfId="2604"/>
    <cellStyle name="40% - Accent4 5 2 5" xfId="2605"/>
    <cellStyle name="40% - Accent4 5 3" xfId="2606"/>
    <cellStyle name="40% - Accent4 5 3 2" xfId="2607"/>
    <cellStyle name="40% - Accent4 5 3 2 2" xfId="2608"/>
    <cellStyle name="40% - Accent4 5 3 2 2 2" xfId="2609"/>
    <cellStyle name="40% - Accent4 5 3 2 3" xfId="2610"/>
    <cellStyle name="40% - Accent4 5 3 2 3 2" xfId="2611"/>
    <cellStyle name="40% - Accent4 5 3 2 4" xfId="2612"/>
    <cellStyle name="40% - Accent4 5 3 3" xfId="2613"/>
    <cellStyle name="40% - Accent4 5 3 3 2" xfId="2614"/>
    <cellStyle name="40% - Accent4 5 3 3 2 2" xfId="2615"/>
    <cellStyle name="40% - Accent4 5 3 3 3" xfId="2616"/>
    <cellStyle name="40% - Accent4 5 3 3 3 2" xfId="2617"/>
    <cellStyle name="40% - Accent4 5 3 3 4" xfId="2618"/>
    <cellStyle name="40% - Accent4 5 3 4" xfId="2619"/>
    <cellStyle name="40% - Accent4 5 3 4 2" xfId="2620"/>
    <cellStyle name="40% - Accent4 5 3 5" xfId="2621"/>
    <cellStyle name="40% - Accent4 5 3 5 2" xfId="2622"/>
    <cellStyle name="40% - Accent4 5 3 6" xfId="2623"/>
    <cellStyle name="40% - Accent4 5 4" xfId="2624"/>
    <cellStyle name="40% - Accent4 5 4 2" xfId="2625"/>
    <cellStyle name="40% - Accent4 5 4 2 2" xfId="2626"/>
    <cellStyle name="40% - Accent4 5 4 3" xfId="2627"/>
    <cellStyle name="40% - Accent4 5 4 3 2" xfId="2628"/>
    <cellStyle name="40% - Accent4 5 4 4" xfId="2629"/>
    <cellStyle name="40% - Accent4 5 5" xfId="2630"/>
    <cellStyle name="40% - Accent4 5 5 2" xfId="2631"/>
    <cellStyle name="40% - Accent4 5 6" xfId="2632"/>
    <cellStyle name="40% - Accent4 5 6 2" xfId="2633"/>
    <cellStyle name="40% - Accent4 5 7" xfId="2634"/>
    <cellStyle name="40% - Accent4 6" xfId="2635"/>
    <cellStyle name="40% - Accent4 6 2" xfId="2636"/>
    <cellStyle name="40% - Accent4 6 2 2" xfId="2637"/>
    <cellStyle name="40% - Accent4 6 2 2 2" xfId="2638"/>
    <cellStyle name="40% - Accent4 6 2 3" xfId="2639"/>
    <cellStyle name="40% - Accent4 6 2 3 2" xfId="2640"/>
    <cellStyle name="40% - Accent4 6 2 4" xfId="2641"/>
    <cellStyle name="40% - Accent4 6 3" xfId="2642"/>
    <cellStyle name="40% - Accent4 6 3 2" xfId="2643"/>
    <cellStyle name="40% - Accent4 6 4" xfId="2644"/>
    <cellStyle name="40% - Accent4 6 4 2" xfId="2645"/>
    <cellStyle name="40% - Accent4 6 5" xfId="2646"/>
    <cellStyle name="40% - Accent5 2" xfId="2647"/>
    <cellStyle name="40% - Accent5 2 2" xfId="2648"/>
    <cellStyle name="40% - Accent5 2 2 2" xfId="2649"/>
    <cellStyle name="40% - Accent5 2 2 2 2" xfId="2650"/>
    <cellStyle name="40% - Accent5 2 2 2 2 2" xfId="2651"/>
    <cellStyle name="40% - Accent5 2 2 2 2 2 2" xfId="2652"/>
    <cellStyle name="40% - Accent5 2 2 2 2 2 3" xfId="2653"/>
    <cellStyle name="40% - Accent5 2 2 2 2 2 4" xfId="2654"/>
    <cellStyle name="40% - Accent5 2 2 2 2 3" xfId="2655"/>
    <cellStyle name="40% - Accent5 2 2 2 2 3 2" xfId="2656"/>
    <cellStyle name="40% - Accent5 2 2 2 2 3 3" xfId="2657"/>
    <cellStyle name="40% - Accent5 2 2 2 2 4" xfId="2658"/>
    <cellStyle name="40% - Accent5 2 2 2 2 5" xfId="2659"/>
    <cellStyle name="40% - Accent5 2 2 2 2 6" xfId="2660"/>
    <cellStyle name="40% - Accent5 2 2 2 3" xfId="2661"/>
    <cellStyle name="40% - Accent5 2 2 2 3 2" xfId="2662"/>
    <cellStyle name="40% - Accent5 2 2 2 3 3" xfId="2663"/>
    <cellStyle name="40% - Accent5 2 2 2 3 4" xfId="2664"/>
    <cellStyle name="40% - Accent5 2 2 2 4" xfId="2665"/>
    <cellStyle name="40% - Accent5 2 2 2 4 2" xfId="2666"/>
    <cellStyle name="40% - Accent5 2 2 2 4 3" xfId="2667"/>
    <cellStyle name="40% - Accent5 2 2 2 4 4" xfId="2668"/>
    <cellStyle name="40% - Accent5 2 2 2 5" xfId="2669"/>
    <cellStyle name="40% - Accent5 2 2 2 5 2" xfId="2670"/>
    <cellStyle name="40% - Accent5 2 2 2 5 3" xfId="2671"/>
    <cellStyle name="40% - Accent5 2 2 2 6" xfId="2672"/>
    <cellStyle name="40% - Accent5 2 2 2 7" xfId="2673"/>
    <cellStyle name="40% - Accent5 2 2 2 8" xfId="2674"/>
    <cellStyle name="40% - Accent5 2 2 3" xfId="2675"/>
    <cellStyle name="40% - Accent5 2 2 3 2" xfId="2676"/>
    <cellStyle name="40% - Accent5 2 2 3 2 2" xfId="2677"/>
    <cellStyle name="40% - Accent5 2 2 3 2 3" xfId="2678"/>
    <cellStyle name="40% - Accent5 2 2 3 2 4" xfId="2679"/>
    <cellStyle name="40% - Accent5 2 2 3 3" xfId="2680"/>
    <cellStyle name="40% - Accent5 2 2 3 3 2" xfId="2681"/>
    <cellStyle name="40% - Accent5 2 2 3 3 3" xfId="2682"/>
    <cellStyle name="40% - Accent5 2 2 3 4" xfId="2683"/>
    <cellStyle name="40% - Accent5 2 2 3 5" xfId="2684"/>
    <cellStyle name="40% - Accent5 2 2 3 6" xfId="2685"/>
    <cellStyle name="40% - Accent5 2 2 4" xfId="2686"/>
    <cellStyle name="40% - Accent5 2 2 4 2" xfId="2687"/>
    <cellStyle name="40% - Accent5 2 2 4 3" xfId="2688"/>
    <cellStyle name="40% - Accent5 2 2 4 4" xfId="2689"/>
    <cellStyle name="40% - Accent5 2 2 5" xfId="2690"/>
    <cellStyle name="40% - Accent5 2 2 5 2" xfId="2691"/>
    <cellStyle name="40% - Accent5 2 2 5 3" xfId="2692"/>
    <cellStyle name="40% - Accent5 2 2 6" xfId="2693"/>
    <cellStyle name="40% - Accent5 2 2 7" xfId="2694"/>
    <cellStyle name="40% - Accent5 2 2 8" xfId="2695"/>
    <cellStyle name="40% - Accent5 2 2 9" xfId="2696"/>
    <cellStyle name="40% - Accent5 2 3" xfId="2697"/>
    <cellStyle name="40% - Accent5 2 3 2" xfId="2698"/>
    <cellStyle name="40% - Accent5 2 3 2 2" xfId="2699"/>
    <cellStyle name="40% - Accent5 2 3 2 2 2" xfId="2700"/>
    <cellStyle name="40% - Accent5 2 3 2 2 3" xfId="2701"/>
    <cellStyle name="40% - Accent5 2 3 2 2 4" xfId="2702"/>
    <cellStyle name="40% - Accent5 2 3 2 3" xfId="2703"/>
    <cellStyle name="40% - Accent5 2 3 2 3 2" xfId="2704"/>
    <cellStyle name="40% - Accent5 2 3 2 3 3" xfId="2705"/>
    <cellStyle name="40% - Accent5 2 3 2 4" xfId="2706"/>
    <cellStyle name="40% - Accent5 2 3 2 5" xfId="2707"/>
    <cellStyle name="40% - Accent5 2 3 2 6" xfId="2708"/>
    <cellStyle name="40% - Accent5 2 3 3" xfId="2709"/>
    <cellStyle name="40% - Accent5 2 3 3 2" xfId="2710"/>
    <cellStyle name="40% - Accent5 2 3 3 2 2" xfId="2711"/>
    <cellStyle name="40% - Accent5 2 3 3 2 3" xfId="2712"/>
    <cellStyle name="40% - Accent5 2 3 3 2 4" xfId="2713"/>
    <cellStyle name="40% - Accent5 2 3 3 3" xfId="2714"/>
    <cellStyle name="40% - Accent5 2 3 3 3 2" xfId="2715"/>
    <cellStyle name="40% - Accent5 2 3 3 3 3" xfId="2716"/>
    <cellStyle name="40% - Accent5 2 3 3 4" xfId="2717"/>
    <cellStyle name="40% - Accent5 2 3 3 5" xfId="2718"/>
    <cellStyle name="40% - Accent5 2 3 3 6" xfId="2719"/>
    <cellStyle name="40% - Accent5 2 3 4" xfId="2720"/>
    <cellStyle name="40% - Accent5 2 3 4 2" xfId="2721"/>
    <cellStyle name="40% - Accent5 2 3 4 3" xfId="2722"/>
    <cellStyle name="40% - Accent5 2 3 4 4" xfId="2723"/>
    <cellStyle name="40% - Accent5 2 3 5" xfId="2724"/>
    <cellStyle name="40% - Accent5 2 3 5 2" xfId="2725"/>
    <cellStyle name="40% - Accent5 2 3 5 3" xfId="2726"/>
    <cellStyle name="40% - Accent5 2 3 6" xfId="2727"/>
    <cellStyle name="40% - Accent5 2 3 7" xfId="2728"/>
    <cellStyle name="40% - Accent5 2 3 8" xfId="2729"/>
    <cellStyle name="40% - Accent5 2 4" xfId="2730"/>
    <cellStyle name="40% - Accent5 2 4 2" xfId="2731"/>
    <cellStyle name="40% - Accent5 2 4 2 2" xfId="2732"/>
    <cellStyle name="40% - Accent5 2 4 2 3" xfId="2733"/>
    <cellStyle name="40% - Accent5 2 4 2 4" xfId="2734"/>
    <cellStyle name="40% - Accent5 2 4 3" xfId="2735"/>
    <cellStyle name="40% - Accent5 2 4 3 2" xfId="2736"/>
    <cellStyle name="40% - Accent5 2 4 3 3" xfId="2737"/>
    <cellStyle name="40% - Accent5 2 4 4" xfId="2738"/>
    <cellStyle name="40% - Accent5 2 4 5" xfId="2739"/>
    <cellStyle name="40% - Accent5 2 4 6" xfId="2740"/>
    <cellStyle name="40% - Accent5 2 5" xfId="2741"/>
    <cellStyle name="40% - Accent5 2 5 2" xfId="2742"/>
    <cellStyle name="40% - Accent5 2 5 3" xfId="2743"/>
    <cellStyle name="40% - Accent5 2 6" xfId="2744"/>
    <cellStyle name="40% - Accent5 2 7" xfId="2745"/>
    <cellStyle name="40% - Accent5 2 8" xfId="2746"/>
    <cellStyle name="40% - Accent5 2 9" xfId="2747"/>
    <cellStyle name="40% - Accent5 3" xfId="2748"/>
    <cellStyle name="40% - Accent5 3 2" xfId="2749"/>
    <cellStyle name="40% - Accent5 3 2 2" xfId="2750"/>
    <cellStyle name="40% - Accent5 3 2 2 2" xfId="2751"/>
    <cellStyle name="40% - Accent5 3 2 2 2 2" xfId="2752"/>
    <cellStyle name="40% - Accent5 3 2 2 2 2 2" xfId="2753"/>
    <cellStyle name="40% - Accent5 3 2 2 2 2 2 2" xfId="2754"/>
    <cellStyle name="40% - Accent5 3 2 2 2 2 2 2 2" xfId="2755"/>
    <cellStyle name="40% - Accent5 3 2 2 2 2 2 3" xfId="2756"/>
    <cellStyle name="40% - Accent5 3 2 2 2 2 2 3 2" xfId="2757"/>
    <cellStyle name="40% - Accent5 3 2 2 2 2 2 4" xfId="2758"/>
    <cellStyle name="40% - Accent5 3 2 2 2 2 3" xfId="2759"/>
    <cellStyle name="40% - Accent5 3 2 2 2 2 3 2" xfId="2760"/>
    <cellStyle name="40% - Accent5 3 2 2 2 2 4" xfId="2761"/>
    <cellStyle name="40% - Accent5 3 2 2 2 2 4 2" xfId="2762"/>
    <cellStyle name="40% - Accent5 3 2 2 2 2 5" xfId="2763"/>
    <cellStyle name="40% - Accent5 3 2 2 2 3" xfId="2764"/>
    <cellStyle name="40% - Accent5 3 2 2 2 3 2" xfId="2765"/>
    <cellStyle name="40% - Accent5 3 2 2 2 3 2 2" xfId="2766"/>
    <cellStyle name="40% - Accent5 3 2 2 2 3 3" xfId="2767"/>
    <cellStyle name="40% - Accent5 3 2 2 2 3 3 2" xfId="2768"/>
    <cellStyle name="40% - Accent5 3 2 2 2 3 4" xfId="2769"/>
    <cellStyle name="40% - Accent5 3 2 2 2 4" xfId="2770"/>
    <cellStyle name="40% - Accent5 3 2 2 2 4 2" xfId="2771"/>
    <cellStyle name="40% - Accent5 3 2 2 2 5" xfId="2772"/>
    <cellStyle name="40% - Accent5 3 2 2 2 5 2" xfId="2773"/>
    <cellStyle name="40% - Accent5 3 2 2 2 6" xfId="2774"/>
    <cellStyle name="40% - Accent5 3 2 2 3" xfId="2775"/>
    <cellStyle name="40% - Accent5 3 2 2 3 2" xfId="2776"/>
    <cellStyle name="40% - Accent5 3 2 2 3 2 2" xfId="2777"/>
    <cellStyle name="40% - Accent5 3 2 2 3 2 2 2" xfId="2778"/>
    <cellStyle name="40% - Accent5 3 2 2 3 2 3" xfId="2779"/>
    <cellStyle name="40% - Accent5 3 2 2 3 2 3 2" xfId="2780"/>
    <cellStyle name="40% - Accent5 3 2 2 3 2 4" xfId="2781"/>
    <cellStyle name="40% - Accent5 3 2 2 3 3" xfId="2782"/>
    <cellStyle name="40% - Accent5 3 2 2 3 3 2" xfId="2783"/>
    <cellStyle name="40% - Accent5 3 2 2 3 4" xfId="2784"/>
    <cellStyle name="40% - Accent5 3 2 2 3 4 2" xfId="2785"/>
    <cellStyle name="40% - Accent5 3 2 2 3 5" xfId="2786"/>
    <cellStyle name="40% - Accent5 3 2 2 4" xfId="2787"/>
    <cellStyle name="40% - Accent5 3 2 2 4 2" xfId="2788"/>
    <cellStyle name="40% - Accent5 3 2 2 4 2 2" xfId="2789"/>
    <cellStyle name="40% - Accent5 3 2 2 4 3" xfId="2790"/>
    <cellStyle name="40% - Accent5 3 2 2 4 3 2" xfId="2791"/>
    <cellStyle name="40% - Accent5 3 2 2 4 4" xfId="2792"/>
    <cellStyle name="40% - Accent5 3 2 2 5" xfId="2793"/>
    <cellStyle name="40% - Accent5 3 2 2 5 2" xfId="2794"/>
    <cellStyle name="40% - Accent5 3 2 2 6" xfId="2795"/>
    <cellStyle name="40% - Accent5 3 2 2 6 2" xfId="2796"/>
    <cellStyle name="40% - Accent5 3 2 2 7" xfId="2797"/>
    <cellStyle name="40% - Accent5 3 2 3" xfId="2798"/>
    <cellStyle name="40% - Accent5 3 3" xfId="2799"/>
    <cellStyle name="40% - Accent5 4" xfId="2800"/>
    <cellStyle name="40% - Accent5 4 2" xfId="2801"/>
    <cellStyle name="40% - Accent5 4 2 2" xfId="2802"/>
    <cellStyle name="40% - Accent5 4 2 2 2" xfId="2803"/>
    <cellStyle name="40% - Accent5 4 2 2 2 2" xfId="2804"/>
    <cellStyle name="40% - Accent5 4 2 2 2 2 2" xfId="2805"/>
    <cellStyle name="40% - Accent5 4 2 2 2 3" xfId="2806"/>
    <cellStyle name="40% - Accent5 4 2 2 2 3 2" xfId="2807"/>
    <cellStyle name="40% - Accent5 4 2 2 2 4" xfId="2808"/>
    <cellStyle name="40% - Accent5 4 2 2 3" xfId="2809"/>
    <cellStyle name="40% - Accent5 4 2 2 3 2" xfId="2810"/>
    <cellStyle name="40% - Accent5 4 2 2 4" xfId="2811"/>
    <cellStyle name="40% - Accent5 4 2 2 4 2" xfId="2812"/>
    <cellStyle name="40% - Accent5 4 2 2 5" xfId="2813"/>
    <cellStyle name="40% - Accent5 4 2 3" xfId="2814"/>
    <cellStyle name="40% - Accent5 4 2 3 2" xfId="2815"/>
    <cellStyle name="40% - Accent5 4 2 3 2 2" xfId="2816"/>
    <cellStyle name="40% - Accent5 4 2 3 3" xfId="2817"/>
    <cellStyle name="40% - Accent5 4 2 3 3 2" xfId="2818"/>
    <cellStyle name="40% - Accent5 4 2 3 4" xfId="2819"/>
    <cellStyle name="40% - Accent5 4 2 4" xfId="2820"/>
    <cellStyle name="40% - Accent5 4 2 4 2" xfId="2821"/>
    <cellStyle name="40% - Accent5 4 2 5" xfId="2822"/>
    <cellStyle name="40% - Accent5 4 2 5 2" xfId="2823"/>
    <cellStyle name="40% - Accent5 4 2 6" xfId="2824"/>
    <cellStyle name="40% - Accent5 4 3" xfId="2825"/>
    <cellStyle name="40% - Accent5 4 3 2" xfId="2826"/>
    <cellStyle name="40% - Accent5 4 3 2 2" xfId="2827"/>
    <cellStyle name="40% - Accent5 4 3 2 2 2" xfId="2828"/>
    <cellStyle name="40% - Accent5 4 3 2 3" xfId="2829"/>
    <cellStyle name="40% - Accent5 4 3 2 3 2" xfId="2830"/>
    <cellStyle name="40% - Accent5 4 3 2 4" xfId="2831"/>
    <cellStyle name="40% - Accent5 4 3 3" xfId="2832"/>
    <cellStyle name="40% - Accent5 4 3 3 2" xfId="2833"/>
    <cellStyle name="40% - Accent5 4 3 4" xfId="2834"/>
    <cellStyle name="40% - Accent5 4 3 4 2" xfId="2835"/>
    <cellStyle name="40% - Accent5 4 3 5" xfId="2836"/>
    <cellStyle name="40% - Accent5 4 4" xfId="2837"/>
    <cellStyle name="40% - Accent5 4 4 2" xfId="2838"/>
    <cellStyle name="40% - Accent5 4 4 2 2" xfId="2839"/>
    <cellStyle name="40% - Accent5 4 4 3" xfId="2840"/>
    <cellStyle name="40% - Accent5 4 4 3 2" xfId="2841"/>
    <cellStyle name="40% - Accent5 4 4 4" xfId="2842"/>
    <cellStyle name="40% - Accent5 4 5" xfId="2843"/>
    <cellStyle name="40% - Accent5 4 5 2" xfId="2844"/>
    <cellStyle name="40% - Accent5 4 6" xfId="2845"/>
    <cellStyle name="40% - Accent5 4 6 2" xfId="2846"/>
    <cellStyle name="40% - Accent5 4 7" xfId="2847"/>
    <cellStyle name="40% - Accent5 5" xfId="2848"/>
    <cellStyle name="40% - Accent5 5 2" xfId="2849"/>
    <cellStyle name="40% - Accent5 5 2 2" xfId="2850"/>
    <cellStyle name="40% - Accent5 5 2 2 2" xfId="2851"/>
    <cellStyle name="40% - Accent5 5 2 2 2 2" xfId="2852"/>
    <cellStyle name="40% - Accent5 5 2 2 3" xfId="2853"/>
    <cellStyle name="40% - Accent5 5 2 2 3 2" xfId="2854"/>
    <cellStyle name="40% - Accent5 5 2 2 4" xfId="2855"/>
    <cellStyle name="40% - Accent5 5 2 3" xfId="2856"/>
    <cellStyle name="40% - Accent5 5 2 3 2" xfId="2857"/>
    <cellStyle name="40% - Accent5 5 2 4" xfId="2858"/>
    <cellStyle name="40% - Accent5 5 2 4 2" xfId="2859"/>
    <cellStyle name="40% - Accent5 5 2 5" xfId="2860"/>
    <cellStyle name="40% - Accent5 5 3" xfId="2861"/>
    <cellStyle name="40% - Accent5 5 3 2" xfId="2862"/>
    <cellStyle name="40% - Accent5 5 3 2 2" xfId="2863"/>
    <cellStyle name="40% - Accent5 5 3 2 2 2" xfId="2864"/>
    <cellStyle name="40% - Accent5 5 3 2 3" xfId="2865"/>
    <cellStyle name="40% - Accent5 5 3 2 3 2" xfId="2866"/>
    <cellStyle name="40% - Accent5 5 3 2 4" xfId="2867"/>
    <cellStyle name="40% - Accent5 5 3 3" xfId="2868"/>
    <cellStyle name="40% - Accent5 5 3 3 2" xfId="2869"/>
    <cellStyle name="40% - Accent5 5 3 3 2 2" xfId="2870"/>
    <cellStyle name="40% - Accent5 5 3 3 3" xfId="2871"/>
    <cellStyle name="40% - Accent5 5 3 3 3 2" xfId="2872"/>
    <cellStyle name="40% - Accent5 5 3 3 4" xfId="2873"/>
    <cellStyle name="40% - Accent5 5 3 4" xfId="2874"/>
    <cellStyle name="40% - Accent5 5 3 4 2" xfId="2875"/>
    <cellStyle name="40% - Accent5 5 3 5" xfId="2876"/>
    <cellStyle name="40% - Accent5 5 3 5 2" xfId="2877"/>
    <cellStyle name="40% - Accent5 5 3 6" xfId="2878"/>
    <cellStyle name="40% - Accent5 5 4" xfId="2879"/>
    <cellStyle name="40% - Accent5 5 4 2" xfId="2880"/>
    <cellStyle name="40% - Accent5 5 4 2 2" xfId="2881"/>
    <cellStyle name="40% - Accent5 5 4 3" xfId="2882"/>
    <cellStyle name="40% - Accent5 5 4 3 2" xfId="2883"/>
    <cellStyle name="40% - Accent5 5 4 4" xfId="2884"/>
    <cellStyle name="40% - Accent5 5 5" xfId="2885"/>
    <cellStyle name="40% - Accent5 5 5 2" xfId="2886"/>
    <cellStyle name="40% - Accent5 5 6" xfId="2887"/>
    <cellStyle name="40% - Accent5 5 6 2" xfId="2888"/>
    <cellStyle name="40% - Accent5 5 7" xfId="2889"/>
    <cellStyle name="40% - Accent5 6" xfId="2890"/>
    <cellStyle name="40% - Accent5 6 2" xfId="2891"/>
    <cellStyle name="40% - Accent5 6 2 2" xfId="2892"/>
    <cellStyle name="40% - Accent5 6 2 2 2" xfId="2893"/>
    <cellStyle name="40% - Accent5 6 2 3" xfId="2894"/>
    <cellStyle name="40% - Accent5 6 2 3 2" xfId="2895"/>
    <cellStyle name="40% - Accent5 6 2 4" xfId="2896"/>
    <cellStyle name="40% - Accent5 6 3" xfId="2897"/>
    <cellStyle name="40% - Accent5 6 3 2" xfId="2898"/>
    <cellStyle name="40% - Accent5 6 4" xfId="2899"/>
    <cellStyle name="40% - Accent5 6 4 2" xfId="2900"/>
    <cellStyle name="40% - Accent5 6 5" xfId="2901"/>
    <cellStyle name="40% - Accent6 2" xfId="2902"/>
    <cellStyle name="40% - Accent6 2 10" xfId="2903"/>
    <cellStyle name="40% - Accent6 2 11" xfId="2904"/>
    <cellStyle name="40% - Accent6 2 2" xfId="2905"/>
    <cellStyle name="40% - Accent6 2 2 2" xfId="2906"/>
    <cellStyle name="40% - Accent6 2 2 2 2" xfId="2907"/>
    <cellStyle name="40% - Accent6 2 2 2 2 2" xfId="2908"/>
    <cellStyle name="40% - Accent6 2 2 2 2 2 2" xfId="2909"/>
    <cellStyle name="40% - Accent6 2 2 2 2 2 3" xfId="2910"/>
    <cellStyle name="40% - Accent6 2 2 2 2 2 4" xfId="2911"/>
    <cellStyle name="40% - Accent6 2 2 2 2 3" xfId="2912"/>
    <cellStyle name="40% - Accent6 2 2 2 2 3 2" xfId="2913"/>
    <cellStyle name="40% - Accent6 2 2 2 2 3 3" xfId="2914"/>
    <cellStyle name="40% - Accent6 2 2 2 2 4" xfId="2915"/>
    <cellStyle name="40% - Accent6 2 2 2 2 5" xfId="2916"/>
    <cellStyle name="40% - Accent6 2 2 2 2 6" xfId="2917"/>
    <cellStyle name="40% - Accent6 2 2 2 3" xfId="2918"/>
    <cellStyle name="40% - Accent6 2 2 2 3 2" xfId="2919"/>
    <cellStyle name="40% - Accent6 2 2 2 3 3" xfId="2920"/>
    <cellStyle name="40% - Accent6 2 2 2 3 4" xfId="2921"/>
    <cellStyle name="40% - Accent6 2 2 2 4" xfId="2922"/>
    <cellStyle name="40% - Accent6 2 2 2 4 2" xfId="2923"/>
    <cellStyle name="40% - Accent6 2 2 2 4 3" xfId="2924"/>
    <cellStyle name="40% - Accent6 2 2 2 4 4" xfId="2925"/>
    <cellStyle name="40% - Accent6 2 2 2 5" xfId="2926"/>
    <cellStyle name="40% - Accent6 2 2 2 5 2" xfId="2927"/>
    <cellStyle name="40% - Accent6 2 2 2 5 3" xfId="2928"/>
    <cellStyle name="40% - Accent6 2 2 2 6" xfId="2929"/>
    <cellStyle name="40% - Accent6 2 2 2 7" xfId="2930"/>
    <cellStyle name="40% - Accent6 2 2 2 8" xfId="2931"/>
    <cellStyle name="40% - Accent6 2 2 3" xfId="2932"/>
    <cellStyle name="40% - Accent6 2 2 3 2" xfId="2933"/>
    <cellStyle name="40% - Accent6 2 2 3 2 2" xfId="2934"/>
    <cellStyle name="40% - Accent6 2 2 3 2 3" xfId="2935"/>
    <cellStyle name="40% - Accent6 2 2 3 2 4" xfId="2936"/>
    <cellStyle name="40% - Accent6 2 2 3 3" xfId="2937"/>
    <cellStyle name="40% - Accent6 2 2 3 3 2" xfId="2938"/>
    <cellStyle name="40% - Accent6 2 2 3 3 3" xfId="2939"/>
    <cellStyle name="40% - Accent6 2 2 3 4" xfId="2940"/>
    <cellStyle name="40% - Accent6 2 2 3 5" xfId="2941"/>
    <cellStyle name="40% - Accent6 2 2 3 6" xfId="2942"/>
    <cellStyle name="40% - Accent6 2 2 4" xfId="2943"/>
    <cellStyle name="40% - Accent6 2 2 4 2" xfId="2944"/>
    <cellStyle name="40% - Accent6 2 2 4 3" xfId="2945"/>
    <cellStyle name="40% - Accent6 2 2 4 4" xfId="2946"/>
    <cellStyle name="40% - Accent6 2 2 5" xfId="2947"/>
    <cellStyle name="40% - Accent6 2 2 5 2" xfId="2948"/>
    <cellStyle name="40% - Accent6 2 2 5 3" xfId="2949"/>
    <cellStyle name="40% - Accent6 2 2 5 4" xfId="2950"/>
    <cellStyle name="40% - Accent6 2 2 6" xfId="2951"/>
    <cellStyle name="40% - Accent6 2 2 6 2" xfId="2952"/>
    <cellStyle name="40% - Accent6 2 2 6 3" xfId="2953"/>
    <cellStyle name="40% - Accent6 2 2 7" xfId="2954"/>
    <cellStyle name="40% - Accent6 2 2 8" xfId="2955"/>
    <cellStyle name="40% - Accent6 2 2 9" xfId="2956"/>
    <cellStyle name="40% - Accent6 2 3" xfId="2957"/>
    <cellStyle name="40% - Accent6 2 3 2" xfId="2958"/>
    <cellStyle name="40% - Accent6 2 3 2 2" xfId="2959"/>
    <cellStyle name="40% - Accent6 2 3 2 2 2" xfId="2960"/>
    <cellStyle name="40% - Accent6 2 3 2 2 3" xfId="2961"/>
    <cellStyle name="40% - Accent6 2 3 2 2 4" xfId="2962"/>
    <cellStyle name="40% - Accent6 2 3 2 3" xfId="2963"/>
    <cellStyle name="40% - Accent6 2 3 2 3 2" xfId="2964"/>
    <cellStyle name="40% - Accent6 2 3 2 3 3" xfId="2965"/>
    <cellStyle name="40% - Accent6 2 3 2 4" xfId="2966"/>
    <cellStyle name="40% - Accent6 2 3 2 5" xfId="2967"/>
    <cellStyle name="40% - Accent6 2 3 2 6" xfId="2968"/>
    <cellStyle name="40% - Accent6 2 3 3" xfId="2969"/>
    <cellStyle name="40% - Accent6 2 3 3 2" xfId="2970"/>
    <cellStyle name="40% - Accent6 2 3 3 2 2" xfId="2971"/>
    <cellStyle name="40% - Accent6 2 3 3 2 3" xfId="2972"/>
    <cellStyle name="40% - Accent6 2 3 3 2 4" xfId="2973"/>
    <cellStyle name="40% - Accent6 2 3 3 3" xfId="2974"/>
    <cellStyle name="40% - Accent6 2 3 3 3 2" xfId="2975"/>
    <cellStyle name="40% - Accent6 2 3 3 3 3" xfId="2976"/>
    <cellStyle name="40% - Accent6 2 3 3 4" xfId="2977"/>
    <cellStyle name="40% - Accent6 2 3 3 5" xfId="2978"/>
    <cellStyle name="40% - Accent6 2 3 3 6" xfId="2979"/>
    <cellStyle name="40% - Accent6 2 3 4" xfId="2980"/>
    <cellStyle name="40% - Accent6 2 3 4 2" xfId="2981"/>
    <cellStyle name="40% - Accent6 2 3 4 3" xfId="2982"/>
    <cellStyle name="40% - Accent6 2 3 4 4" xfId="2983"/>
    <cellStyle name="40% - Accent6 2 3 5" xfId="2984"/>
    <cellStyle name="40% - Accent6 2 3 5 2" xfId="2985"/>
    <cellStyle name="40% - Accent6 2 3 5 3" xfId="2986"/>
    <cellStyle name="40% - Accent6 2 3 6" xfId="2987"/>
    <cellStyle name="40% - Accent6 2 3 7" xfId="2988"/>
    <cellStyle name="40% - Accent6 2 3 8" xfId="2989"/>
    <cellStyle name="40% - Accent6 2 4" xfId="2990"/>
    <cellStyle name="40% - Accent6 2 4 2" xfId="2991"/>
    <cellStyle name="40% - Accent6 2 4 2 2" xfId="2992"/>
    <cellStyle name="40% - Accent6 2 4 2 3" xfId="2993"/>
    <cellStyle name="40% - Accent6 2 4 2 4" xfId="2994"/>
    <cellStyle name="40% - Accent6 2 4 3" xfId="2995"/>
    <cellStyle name="40% - Accent6 2 4 3 2" xfId="2996"/>
    <cellStyle name="40% - Accent6 2 4 3 3" xfId="2997"/>
    <cellStyle name="40% - Accent6 2 4 4" xfId="2998"/>
    <cellStyle name="40% - Accent6 2 4 5" xfId="2999"/>
    <cellStyle name="40% - Accent6 2 4 6" xfId="3000"/>
    <cellStyle name="40% - Accent6 2 5" xfId="3001"/>
    <cellStyle name="40% - Accent6 2 5 2" xfId="3002"/>
    <cellStyle name="40% - Accent6 2 5 2 2" xfId="3003"/>
    <cellStyle name="40% - Accent6 2 5 2 3" xfId="3004"/>
    <cellStyle name="40% - Accent6 2 5 2 4" xfId="3005"/>
    <cellStyle name="40% - Accent6 2 5 3" xfId="3006"/>
    <cellStyle name="40% - Accent6 2 5 3 2" xfId="3007"/>
    <cellStyle name="40% - Accent6 2 5 3 3" xfId="3008"/>
    <cellStyle name="40% - Accent6 2 5 4" xfId="3009"/>
    <cellStyle name="40% - Accent6 2 5 5" xfId="3010"/>
    <cellStyle name="40% - Accent6 2 5 6" xfId="3011"/>
    <cellStyle name="40% - Accent6 2 6" xfId="3012"/>
    <cellStyle name="40% - Accent6 2 6 2" xfId="3013"/>
    <cellStyle name="40% - Accent6 2 6 3" xfId="3014"/>
    <cellStyle name="40% - Accent6 2 6 4" xfId="3015"/>
    <cellStyle name="40% - Accent6 2 7" xfId="3016"/>
    <cellStyle name="40% - Accent6 2 7 2" xfId="3017"/>
    <cellStyle name="40% - Accent6 2 7 3" xfId="3018"/>
    <cellStyle name="40% - Accent6 2 8" xfId="3019"/>
    <cellStyle name="40% - Accent6 2 9" xfId="3020"/>
    <cellStyle name="40% - Accent6 3" xfId="3021"/>
    <cellStyle name="40% - Accent6 3 2" xfId="3022"/>
    <cellStyle name="40% - Accent6 3 2 2" xfId="3023"/>
    <cellStyle name="40% - Accent6 3 2 2 2" xfId="3024"/>
    <cellStyle name="40% - Accent6 3 2 2 2 2" xfId="3025"/>
    <cellStyle name="40% - Accent6 3 2 2 2 2 2" xfId="3026"/>
    <cellStyle name="40% - Accent6 3 2 2 2 2 2 2" xfId="3027"/>
    <cellStyle name="40% - Accent6 3 2 2 2 2 2 2 2" xfId="3028"/>
    <cellStyle name="40% - Accent6 3 2 2 2 2 2 3" xfId="3029"/>
    <cellStyle name="40% - Accent6 3 2 2 2 2 2 3 2" xfId="3030"/>
    <cellStyle name="40% - Accent6 3 2 2 2 2 2 4" xfId="3031"/>
    <cellStyle name="40% - Accent6 3 2 2 2 2 3" xfId="3032"/>
    <cellStyle name="40% - Accent6 3 2 2 2 2 3 2" xfId="3033"/>
    <cellStyle name="40% - Accent6 3 2 2 2 2 4" xfId="3034"/>
    <cellStyle name="40% - Accent6 3 2 2 2 2 4 2" xfId="3035"/>
    <cellStyle name="40% - Accent6 3 2 2 2 2 5" xfId="3036"/>
    <cellStyle name="40% - Accent6 3 2 2 2 3" xfId="3037"/>
    <cellStyle name="40% - Accent6 3 2 2 2 3 2" xfId="3038"/>
    <cellStyle name="40% - Accent6 3 2 2 2 3 2 2" xfId="3039"/>
    <cellStyle name="40% - Accent6 3 2 2 2 3 3" xfId="3040"/>
    <cellStyle name="40% - Accent6 3 2 2 2 3 3 2" xfId="3041"/>
    <cellStyle name="40% - Accent6 3 2 2 2 3 4" xfId="3042"/>
    <cellStyle name="40% - Accent6 3 2 2 2 4" xfId="3043"/>
    <cellStyle name="40% - Accent6 3 2 2 2 4 2" xfId="3044"/>
    <cellStyle name="40% - Accent6 3 2 2 2 5" xfId="3045"/>
    <cellStyle name="40% - Accent6 3 2 2 2 5 2" xfId="3046"/>
    <cellStyle name="40% - Accent6 3 2 2 2 6" xfId="3047"/>
    <cellStyle name="40% - Accent6 3 2 2 3" xfId="3048"/>
    <cellStyle name="40% - Accent6 3 2 2 3 2" xfId="3049"/>
    <cellStyle name="40% - Accent6 3 2 2 3 2 2" xfId="3050"/>
    <cellStyle name="40% - Accent6 3 2 2 3 2 2 2" xfId="3051"/>
    <cellStyle name="40% - Accent6 3 2 2 3 2 3" xfId="3052"/>
    <cellStyle name="40% - Accent6 3 2 2 3 2 3 2" xfId="3053"/>
    <cellStyle name="40% - Accent6 3 2 2 3 2 4" xfId="3054"/>
    <cellStyle name="40% - Accent6 3 2 2 3 3" xfId="3055"/>
    <cellStyle name="40% - Accent6 3 2 2 3 3 2" xfId="3056"/>
    <cellStyle name="40% - Accent6 3 2 2 3 4" xfId="3057"/>
    <cellStyle name="40% - Accent6 3 2 2 3 4 2" xfId="3058"/>
    <cellStyle name="40% - Accent6 3 2 2 3 5" xfId="3059"/>
    <cellStyle name="40% - Accent6 3 2 2 4" xfId="3060"/>
    <cellStyle name="40% - Accent6 3 2 2 4 2" xfId="3061"/>
    <cellStyle name="40% - Accent6 3 2 2 4 2 2" xfId="3062"/>
    <cellStyle name="40% - Accent6 3 2 2 4 3" xfId="3063"/>
    <cellStyle name="40% - Accent6 3 2 2 4 3 2" xfId="3064"/>
    <cellStyle name="40% - Accent6 3 2 2 4 4" xfId="3065"/>
    <cellStyle name="40% - Accent6 3 2 2 5" xfId="3066"/>
    <cellStyle name="40% - Accent6 3 2 2 5 2" xfId="3067"/>
    <cellStyle name="40% - Accent6 3 2 2 6" xfId="3068"/>
    <cellStyle name="40% - Accent6 3 2 2 6 2" xfId="3069"/>
    <cellStyle name="40% - Accent6 3 2 2 7" xfId="3070"/>
    <cellStyle name="40% - Accent6 3 2 3" xfId="3071"/>
    <cellStyle name="40% - Accent6 3 3" xfId="3072"/>
    <cellStyle name="40% - Accent6 4" xfId="3073"/>
    <cellStyle name="40% - Accent6 4 2" xfId="3074"/>
    <cellStyle name="40% - Accent6 4 2 2" xfId="3075"/>
    <cellStyle name="40% - Accent6 4 2 2 2" xfId="3076"/>
    <cellStyle name="40% - Accent6 4 2 2 2 2" xfId="3077"/>
    <cellStyle name="40% - Accent6 4 2 2 2 2 2" xfId="3078"/>
    <cellStyle name="40% - Accent6 4 2 2 2 3" xfId="3079"/>
    <cellStyle name="40% - Accent6 4 2 2 2 3 2" xfId="3080"/>
    <cellStyle name="40% - Accent6 4 2 2 2 4" xfId="3081"/>
    <cellStyle name="40% - Accent6 4 2 2 3" xfId="3082"/>
    <cellStyle name="40% - Accent6 4 2 2 3 2" xfId="3083"/>
    <cellStyle name="40% - Accent6 4 2 2 4" xfId="3084"/>
    <cellStyle name="40% - Accent6 4 2 2 4 2" xfId="3085"/>
    <cellStyle name="40% - Accent6 4 2 2 5" xfId="3086"/>
    <cellStyle name="40% - Accent6 4 2 3" xfId="3087"/>
    <cellStyle name="40% - Accent6 4 2 3 2" xfId="3088"/>
    <cellStyle name="40% - Accent6 4 2 3 2 2" xfId="3089"/>
    <cellStyle name="40% - Accent6 4 2 3 3" xfId="3090"/>
    <cellStyle name="40% - Accent6 4 2 3 3 2" xfId="3091"/>
    <cellStyle name="40% - Accent6 4 2 3 4" xfId="3092"/>
    <cellStyle name="40% - Accent6 4 2 4" xfId="3093"/>
    <cellStyle name="40% - Accent6 4 2 4 2" xfId="3094"/>
    <cellStyle name="40% - Accent6 4 2 5" xfId="3095"/>
    <cellStyle name="40% - Accent6 4 2 5 2" xfId="3096"/>
    <cellStyle name="40% - Accent6 4 2 6" xfId="3097"/>
    <cellStyle name="40% - Accent6 4 3" xfId="3098"/>
    <cellStyle name="40% - Accent6 4 3 2" xfId="3099"/>
    <cellStyle name="40% - Accent6 4 3 2 2" xfId="3100"/>
    <cellStyle name="40% - Accent6 4 3 2 2 2" xfId="3101"/>
    <cellStyle name="40% - Accent6 4 3 2 3" xfId="3102"/>
    <cellStyle name="40% - Accent6 4 3 2 3 2" xfId="3103"/>
    <cellStyle name="40% - Accent6 4 3 2 4" xfId="3104"/>
    <cellStyle name="40% - Accent6 4 3 3" xfId="3105"/>
    <cellStyle name="40% - Accent6 4 3 3 2" xfId="3106"/>
    <cellStyle name="40% - Accent6 4 3 4" xfId="3107"/>
    <cellStyle name="40% - Accent6 4 3 4 2" xfId="3108"/>
    <cellStyle name="40% - Accent6 4 3 5" xfId="3109"/>
    <cellStyle name="40% - Accent6 4 4" xfId="3110"/>
    <cellStyle name="40% - Accent6 4 4 2" xfId="3111"/>
    <cellStyle name="40% - Accent6 4 4 2 2" xfId="3112"/>
    <cellStyle name="40% - Accent6 4 4 3" xfId="3113"/>
    <cellStyle name="40% - Accent6 4 4 3 2" xfId="3114"/>
    <cellStyle name="40% - Accent6 4 4 4" xfId="3115"/>
    <cellStyle name="40% - Accent6 4 5" xfId="3116"/>
    <cellStyle name="40% - Accent6 4 5 2" xfId="3117"/>
    <cellStyle name="40% - Accent6 4 6" xfId="3118"/>
    <cellStyle name="40% - Accent6 4 6 2" xfId="3119"/>
    <cellStyle name="40% - Accent6 4 7" xfId="3120"/>
    <cellStyle name="40% - Accent6 5" xfId="3121"/>
    <cellStyle name="40% - Accent6 5 2" xfId="3122"/>
    <cellStyle name="40% - Accent6 5 2 2" xfId="3123"/>
    <cellStyle name="40% - Accent6 5 2 2 2" xfId="3124"/>
    <cellStyle name="40% - Accent6 5 2 2 2 2" xfId="3125"/>
    <cellStyle name="40% - Accent6 5 2 2 3" xfId="3126"/>
    <cellStyle name="40% - Accent6 5 2 2 3 2" xfId="3127"/>
    <cellStyle name="40% - Accent6 5 2 2 4" xfId="3128"/>
    <cellStyle name="40% - Accent6 5 2 3" xfId="3129"/>
    <cellStyle name="40% - Accent6 5 2 3 2" xfId="3130"/>
    <cellStyle name="40% - Accent6 5 2 4" xfId="3131"/>
    <cellStyle name="40% - Accent6 5 2 4 2" xfId="3132"/>
    <cellStyle name="40% - Accent6 5 2 5" xfId="3133"/>
    <cellStyle name="40% - Accent6 5 3" xfId="3134"/>
    <cellStyle name="40% - Accent6 5 3 2" xfId="3135"/>
    <cellStyle name="40% - Accent6 5 3 2 2" xfId="3136"/>
    <cellStyle name="40% - Accent6 5 3 2 2 2" xfId="3137"/>
    <cellStyle name="40% - Accent6 5 3 2 3" xfId="3138"/>
    <cellStyle name="40% - Accent6 5 3 2 3 2" xfId="3139"/>
    <cellStyle name="40% - Accent6 5 3 2 4" xfId="3140"/>
    <cellStyle name="40% - Accent6 5 3 3" xfId="3141"/>
    <cellStyle name="40% - Accent6 5 3 3 2" xfId="3142"/>
    <cellStyle name="40% - Accent6 5 3 3 2 2" xfId="3143"/>
    <cellStyle name="40% - Accent6 5 3 3 3" xfId="3144"/>
    <cellStyle name="40% - Accent6 5 3 3 3 2" xfId="3145"/>
    <cellStyle name="40% - Accent6 5 3 3 4" xfId="3146"/>
    <cellStyle name="40% - Accent6 5 3 4" xfId="3147"/>
    <cellStyle name="40% - Accent6 5 3 4 2" xfId="3148"/>
    <cellStyle name="40% - Accent6 5 3 5" xfId="3149"/>
    <cellStyle name="40% - Accent6 5 3 5 2" xfId="3150"/>
    <cellStyle name="40% - Accent6 5 3 6" xfId="3151"/>
    <cellStyle name="40% - Accent6 5 4" xfId="3152"/>
    <cellStyle name="40% - Accent6 5 4 2" xfId="3153"/>
    <cellStyle name="40% - Accent6 5 4 2 2" xfId="3154"/>
    <cellStyle name="40% - Accent6 5 4 3" xfId="3155"/>
    <cellStyle name="40% - Accent6 5 4 3 2" xfId="3156"/>
    <cellStyle name="40% - Accent6 5 4 4" xfId="3157"/>
    <cellStyle name="40% - Accent6 5 5" xfId="3158"/>
    <cellStyle name="40% - Accent6 5 5 2" xfId="3159"/>
    <cellStyle name="40% - Accent6 5 6" xfId="3160"/>
    <cellStyle name="40% - Accent6 5 6 2" xfId="3161"/>
    <cellStyle name="40% - Accent6 5 7" xfId="3162"/>
    <cellStyle name="40% - Accent6 6" xfId="3163"/>
    <cellStyle name="40% - Accent6 6 2" xfId="3164"/>
    <cellStyle name="40% - Accent6 6 2 2" xfId="3165"/>
    <cellStyle name="40% - Accent6 6 2 2 2" xfId="3166"/>
    <cellStyle name="40% - Accent6 6 2 3" xfId="3167"/>
    <cellStyle name="40% - Accent6 6 2 3 2" xfId="3168"/>
    <cellStyle name="40% - Accent6 6 2 4" xfId="3169"/>
    <cellStyle name="40% - Accent6 6 3" xfId="3170"/>
    <cellStyle name="40% - Accent6 6 3 2" xfId="3171"/>
    <cellStyle name="40% - Accent6 6 4" xfId="3172"/>
    <cellStyle name="40% - Accent6 6 4 2" xfId="3173"/>
    <cellStyle name="40% - Accent6 6 5" xfId="3174"/>
    <cellStyle name="60% - Accent1 2" xfId="3175"/>
    <cellStyle name="60% - Accent1 2 2" xfId="3176"/>
    <cellStyle name="60% - Accent1 2 2 2" xfId="3177"/>
    <cellStyle name="60% - Accent1 2 2 2 2" xfId="3178"/>
    <cellStyle name="60% - Accent1 2 2 2 3" xfId="3179"/>
    <cellStyle name="60% - Accent1 2 2 2 4" xfId="3180"/>
    <cellStyle name="60% - Accent1 2 2 3" xfId="3181"/>
    <cellStyle name="60% - Accent1 2 2 4" xfId="3182"/>
    <cellStyle name="60% - Accent1 2 2 5" xfId="3183"/>
    <cellStyle name="60% - Accent1 2 3" xfId="3184"/>
    <cellStyle name="60% - Accent1 2 3 2" xfId="3185"/>
    <cellStyle name="60% - Accent1 2 3 2 2" xfId="3186"/>
    <cellStyle name="60% - Accent1 2 3 2 3" xfId="3187"/>
    <cellStyle name="60% - Accent1 2 3 2 4" xfId="3188"/>
    <cellStyle name="60% - Accent1 2 3 3" xfId="3189"/>
    <cellStyle name="60% - Accent1 2 3 3 2" xfId="3190"/>
    <cellStyle name="60% - Accent1 2 3 3 3" xfId="3191"/>
    <cellStyle name="60% - Accent1 2 3 4" xfId="3192"/>
    <cellStyle name="60% - Accent1 2 3 5" xfId="3193"/>
    <cellStyle name="60% - Accent1 2 3 6" xfId="3194"/>
    <cellStyle name="60% - Accent1 2 4" xfId="3195"/>
    <cellStyle name="60% - Accent1 2 4 2" xfId="3196"/>
    <cellStyle name="60% - Accent1 2 4 3" xfId="3197"/>
    <cellStyle name="60% - Accent1 2 5" xfId="3198"/>
    <cellStyle name="60% - Accent1 2 6" xfId="3199"/>
    <cellStyle name="60% - Accent1 2 7" xfId="3200"/>
    <cellStyle name="60% - Accent1 2 8" xfId="3201"/>
    <cellStyle name="60% - Accent1 3" xfId="3202"/>
    <cellStyle name="60% - Accent1 3 2" xfId="3203"/>
    <cellStyle name="60% - Accent1 3 2 2" xfId="3204"/>
    <cellStyle name="60% - Accent1 3 2 2 2" xfId="3205"/>
    <cellStyle name="60% - Accent1 3 2 2 2 2" xfId="3206"/>
    <cellStyle name="60% - Accent1 3 2 2 3" xfId="3207"/>
    <cellStyle name="60% - Accent1 3 2 3" xfId="3208"/>
    <cellStyle name="60% - Accent1 3 3" xfId="3209"/>
    <cellStyle name="60% - Accent1 4" xfId="3210"/>
    <cellStyle name="60% - Accent1 4 2" xfId="3211"/>
    <cellStyle name="60% - Accent1 4 2 2" xfId="3212"/>
    <cellStyle name="60% - Accent1 4 3" xfId="3213"/>
    <cellStyle name="60% - Accent1 5" xfId="3214"/>
    <cellStyle name="60% - Accent1 6" xfId="3215"/>
    <cellStyle name="60% - Accent2 2" xfId="3216"/>
    <cellStyle name="60% - Accent2 2 2" xfId="3217"/>
    <cellStyle name="60% - Accent2 2 2 2" xfId="3218"/>
    <cellStyle name="60% - Accent2 2 2 2 2" xfId="3219"/>
    <cellStyle name="60% - Accent2 2 2 2 3" xfId="3220"/>
    <cellStyle name="60% - Accent2 2 2 2 4" xfId="3221"/>
    <cellStyle name="60% - Accent2 2 2 3" xfId="3222"/>
    <cellStyle name="60% - Accent2 2 2 4" xfId="3223"/>
    <cellStyle name="60% - Accent2 2 2 5" xfId="3224"/>
    <cellStyle name="60% - Accent2 2 3" xfId="3225"/>
    <cellStyle name="60% - Accent2 2 3 2" xfId="3226"/>
    <cellStyle name="60% - Accent2 2 3 2 2" xfId="3227"/>
    <cellStyle name="60% - Accent2 2 3 2 3" xfId="3228"/>
    <cellStyle name="60% - Accent2 2 3 2 4" xfId="3229"/>
    <cellStyle name="60% - Accent2 2 3 3" xfId="3230"/>
    <cellStyle name="60% - Accent2 2 3 3 2" xfId="3231"/>
    <cellStyle name="60% - Accent2 2 3 3 3" xfId="3232"/>
    <cellStyle name="60% - Accent2 2 3 4" xfId="3233"/>
    <cellStyle name="60% - Accent2 2 3 5" xfId="3234"/>
    <cellStyle name="60% - Accent2 2 3 6" xfId="3235"/>
    <cellStyle name="60% - Accent2 2 4" xfId="3236"/>
    <cellStyle name="60% - Accent2 2 4 2" xfId="3237"/>
    <cellStyle name="60% - Accent2 2 4 3" xfId="3238"/>
    <cellStyle name="60% - Accent2 2 5" xfId="3239"/>
    <cellStyle name="60% - Accent2 2 6" xfId="3240"/>
    <cellStyle name="60% - Accent2 2 7" xfId="3241"/>
    <cellStyle name="60% - Accent2 2 8" xfId="3242"/>
    <cellStyle name="60% - Accent2 3" xfId="3243"/>
    <cellStyle name="60% - Accent2 3 2" xfId="3244"/>
    <cellStyle name="60% - Accent2 3 2 2" xfId="3245"/>
    <cellStyle name="60% - Accent2 3 2 2 2" xfId="3246"/>
    <cellStyle name="60% - Accent2 3 2 2 2 2" xfId="3247"/>
    <cellStyle name="60% - Accent2 3 2 2 3" xfId="3248"/>
    <cellStyle name="60% - Accent2 3 2 3" xfId="3249"/>
    <cellStyle name="60% - Accent2 3 3" xfId="3250"/>
    <cellStyle name="60% - Accent2 4" xfId="3251"/>
    <cellStyle name="60% - Accent2 4 2" xfId="3252"/>
    <cellStyle name="60% - Accent2 4 2 2" xfId="3253"/>
    <cellStyle name="60% - Accent2 4 3" xfId="3254"/>
    <cellStyle name="60% - Accent2 5" xfId="3255"/>
    <cellStyle name="60% - Accent2 6" xfId="3256"/>
    <cellStyle name="60% - Accent3 2" xfId="3257"/>
    <cellStyle name="60% - Accent3 2 2" xfId="3258"/>
    <cellStyle name="60% - Accent3 2 2 2" xfId="3259"/>
    <cellStyle name="60% - Accent3 2 2 2 2" xfId="3260"/>
    <cellStyle name="60% - Accent3 2 2 2 3" xfId="3261"/>
    <cellStyle name="60% - Accent3 2 2 2 4" xfId="3262"/>
    <cellStyle name="60% - Accent3 2 2 3" xfId="3263"/>
    <cellStyle name="60% - Accent3 2 2 4" xfId="3264"/>
    <cellStyle name="60% - Accent3 2 2 5" xfId="3265"/>
    <cellStyle name="60% - Accent3 2 3" xfId="3266"/>
    <cellStyle name="60% - Accent3 2 3 2" xfId="3267"/>
    <cellStyle name="60% - Accent3 2 3 2 2" xfId="3268"/>
    <cellStyle name="60% - Accent3 2 3 2 3" xfId="3269"/>
    <cellStyle name="60% - Accent3 2 3 2 4" xfId="3270"/>
    <cellStyle name="60% - Accent3 2 3 3" xfId="3271"/>
    <cellStyle name="60% - Accent3 2 3 3 2" xfId="3272"/>
    <cellStyle name="60% - Accent3 2 3 3 3" xfId="3273"/>
    <cellStyle name="60% - Accent3 2 3 4" xfId="3274"/>
    <cellStyle name="60% - Accent3 2 3 5" xfId="3275"/>
    <cellStyle name="60% - Accent3 2 3 6" xfId="3276"/>
    <cellStyle name="60% - Accent3 2 4" xfId="3277"/>
    <cellStyle name="60% - Accent3 2 4 2" xfId="3278"/>
    <cellStyle name="60% - Accent3 2 4 3" xfId="3279"/>
    <cellStyle name="60% - Accent3 2 5" xfId="3280"/>
    <cellStyle name="60% - Accent3 2 6" xfId="3281"/>
    <cellStyle name="60% - Accent3 2 7" xfId="3282"/>
    <cellStyle name="60% - Accent3 2 8" xfId="3283"/>
    <cellStyle name="60% - Accent3 3" xfId="3284"/>
    <cellStyle name="60% - Accent3 3 2" xfId="3285"/>
    <cellStyle name="60% - Accent3 3 2 2" xfId="3286"/>
    <cellStyle name="60% - Accent3 3 2 2 2" xfId="3287"/>
    <cellStyle name="60% - Accent3 3 2 2 2 2" xfId="3288"/>
    <cellStyle name="60% - Accent3 3 2 2 3" xfId="3289"/>
    <cellStyle name="60% - Accent3 3 2 3" xfId="3290"/>
    <cellStyle name="60% - Accent3 3 3" xfId="3291"/>
    <cellStyle name="60% - Accent3 4" xfId="3292"/>
    <cellStyle name="60% - Accent3 4 2" xfId="3293"/>
    <cellStyle name="60% - Accent3 4 2 2" xfId="3294"/>
    <cellStyle name="60% - Accent3 4 3" xfId="3295"/>
    <cellStyle name="60% - Accent3 5" xfId="3296"/>
    <cellStyle name="60% - Accent3 6" xfId="3297"/>
    <cellStyle name="60% - Accent4 2" xfId="3298"/>
    <cellStyle name="60% - Accent4 2 2" xfId="3299"/>
    <cellStyle name="60% - Accent4 2 2 2" xfId="3300"/>
    <cellStyle name="60% - Accent4 2 2 2 2" xfId="3301"/>
    <cellStyle name="60% - Accent4 2 2 2 3" xfId="3302"/>
    <cellStyle name="60% - Accent4 2 2 2 4" xfId="3303"/>
    <cellStyle name="60% - Accent4 2 2 3" xfId="3304"/>
    <cellStyle name="60% - Accent4 2 2 4" xfId="3305"/>
    <cellStyle name="60% - Accent4 2 2 5" xfId="3306"/>
    <cellStyle name="60% - Accent4 2 3" xfId="3307"/>
    <cellStyle name="60% - Accent4 2 3 2" xfId="3308"/>
    <cellStyle name="60% - Accent4 2 3 2 2" xfId="3309"/>
    <cellStyle name="60% - Accent4 2 3 2 3" xfId="3310"/>
    <cellStyle name="60% - Accent4 2 3 2 4" xfId="3311"/>
    <cellStyle name="60% - Accent4 2 3 3" xfId="3312"/>
    <cellStyle name="60% - Accent4 2 3 3 2" xfId="3313"/>
    <cellStyle name="60% - Accent4 2 3 3 3" xfId="3314"/>
    <cellStyle name="60% - Accent4 2 3 4" xfId="3315"/>
    <cellStyle name="60% - Accent4 2 3 5" xfId="3316"/>
    <cellStyle name="60% - Accent4 2 3 6" xfId="3317"/>
    <cellStyle name="60% - Accent4 2 4" xfId="3318"/>
    <cellStyle name="60% - Accent4 2 4 2" xfId="3319"/>
    <cellStyle name="60% - Accent4 2 4 3" xfId="3320"/>
    <cellStyle name="60% - Accent4 2 5" xfId="3321"/>
    <cellStyle name="60% - Accent4 2 6" xfId="3322"/>
    <cellStyle name="60% - Accent4 2 7" xfId="3323"/>
    <cellStyle name="60% - Accent4 2 8" xfId="3324"/>
    <cellStyle name="60% - Accent4 3" xfId="3325"/>
    <cellStyle name="60% - Accent4 3 2" xfId="3326"/>
    <cellStyle name="60% - Accent4 3 2 2" xfId="3327"/>
    <cellStyle name="60% - Accent4 3 2 2 2" xfId="3328"/>
    <cellStyle name="60% - Accent4 3 2 2 2 2" xfId="3329"/>
    <cellStyle name="60% - Accent4 3 2 2 3" xfId="3330"/>
    <cellStyle name="60% - Accent4 3 2 3" xfId="3331"/>
    <cellStyle name="60% - Accent4 3 3" xfId="3332"/>
    <cellStyle name="60% - Accent4 4" xfId="3333"/>
    <cellStyle name="60% - Accent4 4 2" xfId="3334"/>
    <cellStyle name="60% - Accent4 4 2 2" xfId="3335"/>
    <cellStyle name="60% - Accent4 4 3" xfId="3336"/>
    <cellStyle name="60% - Accent4 5" xfId="3337"/>
    <cellStyle name="60% - Accent4 6" xfId="3338"/>
    <cellStyle name="60% - Accent5 2" xfId="3339"/>
    <cellStyle name="60% - Accent5 2 10" xfId="3340"/>
    <cellStyle name="60% - Accent5 2 11" xfId="3341"/>
    <cellStyle name="60% - Accent5 2 2" xfId="3342"/>
    <cellStyle name="60% - Accent5 2 2 2" xfId="3343"/>
    <cellStyle name="60% - Accent5 2 2 2 2" xfId="3344"/>
    <cellStyle name="60% - Accent5 2 2 2 2 2" xfId="3345"/>
    <cellStyle name="60% - Accent5 2 2 2 3" xfId="3346"/>
    <cellStyle name="60% - Accent5 2 2 2 4" xfId="3347"/>
    <cellStyle name="60% - Accent5 2 2 2 5" xfId="3348"/>
    <cellStyle name="60% - Accent5 2 2 3" xfId="3349"/>
    <cellStyle name="60% - Accent5 2 2 4" xfId="3350"/>
    <cellStyle name="60% - Accent5 2 2 5" xfId="3351"/>
    <cellStyle name="60% - Accent5 2 3" xfId="3352"/>
    <cellStyle name="60% - Accent5 2 3 2" xfId="3353"/>
    <cellStyle name="60% - Accent5 2 3 2 2" xfId="3354"/>
    <cellStyle name="60% - Accent5 2 3 2 3" xfId="3355"/>
    <cellStyle name="60% - Accent5 2 3 2 4" xfId="3356"/>
    <cellStyle name="60% - Accent5 2 3 3" xfId="3357"/>
    <cellStyle name="60% - Accent5 2 3 3 2" xfId="3358"/>
    <cellStyle name="60% - Accent5 2 3 3 3" xfId="3359"/>
    <cellStyle name="60% - Accent5 2 3 4" xfId="3360"/>
    <cellStyle name="60% - Accent5 2 3 5" xfId="3361"/>
    <cellStyle name="60% - Accent5 2 3 6" xfId="3362"/>
    <cellStyle name="60% - Accent5 2 4" xfId="3363"/>
    <cellStyle name="60% - Accent5 2 4 2" xfId="3364"/>
    <cellStyle name="60% - Accent5 2 4 2 2" xfId="3365"/>
    <cellStyle name="60% - Accent5 2 4 2 3" xfId="3366"/>
    <cellStyle name="60% - Accent5 2 4 2 4" xfId="3367"/>
    <cellStyle name="60% - Accent5 2 4 3" xfId="3368"/>
    <cellStyle name="60% - Accent5 2 4 3 2" xfId="3369"/>
    <cellStyle name="60% - Accent5 2 4 3 3" xfId="3370"/>
    <cellStyle name="60% - Accent5 2 4 4" xfId="3371"/>
    <cellStyle name="60% - Accent5 2 4 5" xfId="3372"/>
    <cellStyle name="60% - Accent5 2 4 6" xfId="3373"/>
    <cellStyle name="60% - Accent5 2 5" xfId="3374"/>
    <cellStyle name="60% - Accent5 2 5 2" xfId="3375"/>
    <cellStyle name="60% - Accent5 2 5 2 2" xfId="3376"/>
    <cellStyle name="60% - Accent5 2 5 2 3" xfId="3377"/>
    <cellStyle name="60% - Accent5 2 5 2 4" xfId="3378"/>
    <cellStyle name="60% - Accent5 2 5 3" xfId="3379"/>
    <cellStyle name="60% - Accent5 2 5 3 2" xfId="3380"/>
    <cellStyle name="60% - Accent5 2 5 3 3" xfId="3381"/>
    <cellStyle name="60% - Accent5 2 5 4" xfId="3382"/>
    <cellStyle name="60% - Accent5 2 5 5" xfId="3383"/>
    <cellStyle name="60% - Accent5 2 5 6" xfId="3384"/>
    <cellStyle name="60% - Accent5 2 6" xfId="3385"/>
    <cellStyle name="60% - Accent5 2 6 2" xfId="3386"/>
    <cellStyle name="60% - Accent5 2 6 3" xfId="3387"/>
    <cellStyle name="60% - Accent5 2 6 4" xfId="3388"/>
    <cellStyle name="60% - Accent5 2 7" xfId="3389"/>
    <cellStyle name="60% - Accent5 2 7 2" xfId="3390"/>
    <cellStyle name="60% - Accent5 2 7 3" xfId="3391"/>
    <cellStyle name="60% - Accent5 2 8" xfId="3392"/>
    <cellStyle name="60% - Accent5 2 9" xfId="3393"/>
    <cellStyle name="60% - Accent5 3" xfId="3394"/>
    <cellStyle name="60% - Accent5 3 2" xfId="3395"/>
    <cellStyle name="60% - Accent5 3 2 2" xfId="3396"/>
    <cellStyle name="60% - Accent5 3 2 2 2" xfId="3397"/>
    <cellStyle name="60% - Accent5 3 2 2 2 2" xfId="3398"/>
    <cellStyle name="60% - Accent5 3 2 2 3" xfId="3399"/>
    <cellStyle name="60% - Accent5 3 2 3" xfId="3400"/>
    <cellStyle name="60% - Accent5 3 3" xfId="3401"/>
    <cellStyle name="60% - Accent5 4" xfId="3402"/>
    <cellStyle name="60% - Accent5 4 2" xfId="3403"/>
    <cellStyle name="60% - Accent5 4 2 2" xfId="3404"/>
    <cellStyle name="60% - Accent5 4 3" xfId="3405"/>
    <cellStyle name="60% - Accent5 5" xfId="3406"/>
    <cellStyle name="60% - Accent5 6" xfId="3407"/>
    <cellStyle name="60% - Accent6 2" xfId="3408"/>
    <cellStyle name="60% - Accent6 2 2" xfId="3409"/>
    <cellStyle name="60% - Accent6 2 2 2" xfId="3410"/>
    <cellStyle name="60% - Accent6 2 2 2 2" xfId="3411"/>
    <cellStyle name="60% - Accent6 2 2 2 3" xfId="3412"/>
    <cellStyle name="60% - Accent6 2 2 2 4" xfId="3413"/>
    <cellStyle name="60% - Accent6 2 2 3" xfId="3414"/>
    <cellStyle name="60% - Accent6 2 2 4" xfId="3415"/>
    <cellStyle name="60% - Accent6 2 2 5" xfId="3416"/>
    <cellStyle name="60% - Accent6 2 3" xfId="3417"/>
    <cellStyle name="60% - Accent6 2 3 2" xfId="3418"/>
    <cellStyle name="60% - Accent6 2 3 2 2" xfId="3419"/>
    <cellStyle name="60% - Accent6 2 3 2 3" xfId="3420"/>
    <cellStyle name="60% - Accent6 2 3 2 4" xfId="3421"/>
    <cellStyle name="60% - Accent6 2 3 3" xfId="3422"/>
    <cellStyle name="60% - Accent6 2 3 3 2" xfId="3423"/>
    <cellStyle name="60% - Accent6 2 3 3 3" xfId="3424"/>
    <cellStyle name="60% - Accent6 2 3 4" xfId="3425"/>
    <cellStyle name="60% - Accent6 2 3 5" xfId="3426"/>
    <cellStyle name="60% - Accent6 2 3 6" xfId="3427"/>
    <cellStyle name="60% - Accent6 2 4" xfId="3428"/>
    <cellStyle name="60% - Accent6 2 4 2" xfId="3429"/>
    <cellStyle name="60% - Accent6 2 4 3" xfId="3430"/>
    <cellStyle name="60% - Accent6 2 5" xfId="3431"/>
    <cellStyle name="60% - Accent6 2 6" xfId="3432"/>
    <cellStyle name="60% - Accent6 2 7" xfId="3433"/>
    <cellStyle name="60% - Accent6 2 8" xfId="3434"/>
    <cellStyle name="60% - Accent6 3" xfId="3435"/>
    <cellStyle name="60% - Accent6 3 2" xfId="3436"/>
    <cellStyle name="60% - Accent6 3 2 2" xfId="3437"/>
    <cellStyle name="60% - Accent6 3 2 2 2" xfId="3438"/>
    <cellStyle name="60% - Accent6 3 2 2 2 2" xfId="3439"/>
    <cellStyle name="60% - Accent6 3 2 2 3" xfId="3440"/>
    <cellStyle name="60% - Accent6 3 2 3" xfId="3441"/>
    <cellStyle name="60% - Accent6 3 3" xfId="3442"/>
    <cellStyle name="60% - Accent6 4" xfId="3443"/>
    <cellStyle name="60% - Accent6 4 2" xfId="3444"/>
    <cellStyle name="60% - Accent6 4 2 2" xfId="3445"/>
    <cellStyle name="60% - Accent6 4 3" xfId="3446"/>
    <cellStyle name="60% - Accent6 5" xfId="3447"/>
    <cellStyle name="60% - Accent6 6" xfId="3448"/>
    <cellStyle name="Accent1 2" xfId="3449"/>
    <cellStyle name="Accent1 2 2" xfId="3450"/>
    <cellStyle name="Accent1 2 2 2" xfId="3451"/>
    <cellStyle name="Accent1 2 2 2 2" xfId="3452"/>
    <cellStyle name="Accent1 2 2 2 3" xfId="3453"/>
    <cellStyle name="Accent1 2 2 2 4" xfId="3454"/>
    <cellStyle name="Accent1 2 2 3" xfId="3455"/>
    <cellStyle name="Accent1 2 2 4" xfId="3456"/>
    <cellStyle name="Accent1 2 2 5" xfId="3457"/>
    <cellStyle name="Accent1 2 3" xfId="3458"/>
    <cellStyle name="Accent1 2 3 2" xfId="3459"/>
    <cellStyle name="Accent1 2 3 2 2" xfId="3460"/>
    <cellStyle name="Accent1 2 3 2 3" xfId="3461"/>
    <cellStyle name="Accent1 2 3 2 4" xfId="3462"/>
    <cellStyle name="Accent1 2 3 3" xfId="3463"/>
    <cellStyle name="Accent1 2 3 3 2" xfId="3464"/>
    <cellStyle name="Accent1 2 3 3 3" xfId="3465"/>
    <cellStyle name="Accent1 2 3 4" xfId="3466"/>
    <cellStyle name="Accent1 2 3 5" xfId="3467"/>
    <cellStyle name="Accent1 2 3 6" xfId="3468"/>
    <cellStyle name="Accent1 2 4" xfId="3469"/>
    <cellStyle name="Accent1 2 4 2" xfId="3470"/>
    <cellStyle name="Accent1 2 4 3" xfId="3471"/>
    <cellStyle name="Accent1 2 5" xfId="3472"/>
    <cellStyle name="Accent1 2 6" xfId="3473"/>
    <cellStyle name="Accent1 2 7" xfId="3474"/>
    <cellStyle name="Accent1 2 8" xfId="3475"/>
    <cellStyle name="Accent1 3" xfId="3476"/>
    <cellStyle name="Accent1 3 2" xfId="3477"/>
    <cellStyle name="Accent1 3 2 2" xfId="3478"/>
    <cellStyle name="Accent1 3 2 2 2" xfId="3479"/>
    <cellStyle name="Accent1 3 2 2 2 2" xfId="3480"/>
    <cellStyle name="Accent1 3 2 2 3" xfId="3481"/>
    <cellStyle name="Accent1 3 2 3" xfId="3482"/>
    <cellStyle name="Accent1 3 3" xfId="3483"/>
    <cellStyle name="Accent1 4" xfId="3484"/>
    <cellStyle name="Accent1 4 2" xfId="3485"/>
    <cellStyle name="Accent1 4 2 2" xfId="3486"/>
    <cellStyle name="Accent1 4 3" xfId="3487"/>
    <cellStyle name="Accent1 5" xfId="3488"/>
    <cellStyle name="Accent1 6" xfId="3489"/>
    <cellStyle name="Accent2 2" xfId="3490"/>
    <cellStyle name="Accent2 2 10" xfId="3491"/>
    <cellStyle name="Accent2 2 11" xfId="3492"/>
    <cellStyle name="Accent2 2 2" xfId="3493"/>
    <cellStyle name="Accent2 2 2 2" xfId="3494"/>
    <cellStyle name="Accent2 2 2 2 2" xfId="3495"/>
    <cellStyle name="Accent2 2 2 2 2 2" xfId="3496"/>
    <cellStyle name="Accent2 2 2 2 3" xfId="3497"/>
    <cellStyle name="Accent2 2 2 2 4" xfId="3498"/>
    <cellStyle name="Accent2 2 2 2 5" xfId="3499"/>
    <cellStyle name="Accent2 2 2 3" xfId="3500"/>
    <cellStyle name="Accent2 2 2 4" xfId="3501"/>
    <cellStyle name="Accent2 2 2 5" xfId="3502"/>
    <cellStyle name="Accent2 2 3" xfId="3503"/>
    <cellStyle name="Accent2 2 3 2" xfId="3504"/>
    <cellStyle name="Accent2 2 3 2 2" xfId="3505"/>
    <cellStyle name="Accent2 2 3 2 3" xfId="3506"/>
    <cellStyle name="Accent2 2 3 2 4" xfId="3507"/>
    <cellStyle name="Accent2 2 3 3" xfId="3508"/>
    <cellStyle name="Accent2 2 3 3 2" xfId="3509"/>
    <cellStyle name="Accent2 2 3 3 3" xfId="3510"/>
    <cellStyle name="Accent2 2 3 4" xfId="3511"/>
    <cellStyle name="Accent2 2 3 5" xfId="3512"/>
    <cellStyle name="Accent2 2 3 6" xfId="3513"/>
    <cellStyle name="Accent2 2 4" xfId="3514"/>
    <cellStyle name="Accent2 2 4 2" xfId="3515"/>
    <cellStyle name="Accent2 2 4 2 2" xfId="3516"/>
    <cellStyle name="Accent2 2 4 2 3" xfId="3517"/>
    <cellStyle name="Accent2 2 4 2 4" xfId="3518"/>
    <cellStyle name="Accent2 2 4 3" xfId="3519"/>
    <cellStyle name="Accent2 2 4 3 2" xfId="3520"/>
    <cellStyle name="Accent2 2 4 3 3" xfId="3521"/>
    <cellStyle name="Accent2 2 4 4" xfId="3522"/>
    <cellStyle name="Accent2 2 4 5" xfId="3523"/>
    <cellStyle name="Accent2 2 4 6" xfId="3524"/>
    <cellStyle name="Accent2 2 5" xfId="3525"/>
    <cellStyle name="Accent2 2 5 2" xfId="3526"/>
    <cellStyle name="Accent2 2 5 2 2" xfId="3527"/>
    <cellStyle name="Accent2 2 5 2 3" xfId="3528"/>
    <cellStyle name="Accent2 2 5 2 4" xfId="3529"/>
    <cellStyle name="Accent2 2 5 3" xfId="3530"/>
    <cellStyle name="Accent2 2 5 3 2" xfId="3531"/>
    <cellStyle name="Accent2 2 5 3 3" xfId="3532"/>
    <cellStyle name="Accent2 2 5 4" xfId="3533"/>
    <cellStyle name="Accent2 2 5 5" xfId="3534"/>
    <cellStyle name="Accent2 2 5 6" xfId="3535"/>
    <cellStyle name="Accent2 2 6" xfId="3536"/>
    <cellStyle name="Accent2 2 6 2" xfId="3537"/>
    <cellStyle name="Accent2 2 6 3" xfId="3538"/>
    <cellStyle name="Accent2 2 6 4" xfId="3539"/>
    <cellStyle name="Accent2 2 7" xfId="3540"/>
    <cellStyle name="Accent2 2 7 2" xfId="3541"/>
    <cellStyle name="Accent2 2 7 3" xfId="3542"/>
    <cellStyle name="Accent2 2 7 4" xfId="3543"/>
    <cellStyle name="Accent2 2 7 5" xfId="3544"/>
    <cellStyle name="Accent2 2 8" xfId="3545"/>
    <cellStyle name="Accent2 2 9" xfId="3546"/>
    <cellStyle name="Accent2 3" xfId="3547"/>
    <cellStyle name="Accent2 3 2" xfId="3548"/>
    <cellStyle name="Accent2 3 2 2" xfId="3549"/>
    <cellStyle name="Accent2 3 2 2 2" xfId="3550"/>
    <cellStyle name="Accent2 3 2 2 2 2" xfId="3551"/>
    <cellStyle name="Accent2 3 2 2 3" xfId="3552"/>
    <cellStyle name="Accent2 3 2 3" xfId="3553"/>
    <cellStyle name="Accent2 3 3" xfId="3554"/>
    <cellStyle name="Accent2 4" xfId="3555"/>
    <cellStyle name="Accent2 4 2" xfId="3556"/>
    <cellStyle name="Accent2 4 2 2" xfId="3557"/>
    <cellStyle name="Accent2 4 3" xfId="3558"/>
    <cellStyle name="Accent2 5" xfId="3559"/>
    <cellStyle name="Accent2 6" xfId="3560"/>
    <cellStyle name="Accent3 2" xfId="3561"/>
    <cellStyle name="Accent3 2 10" xfId="3562"/>
    <cellStyle name="Accent3 2 11" xfId="3563"/>
    <cellStyle name="Accent3 2 2" xfId="3564"/>
    <cellStyle name="Accent3 2 2 2" xfId="3565"/>
    <cellStyle name="Accent3 2 2 2 2" xfId="3566"/>
    <cellStyle name="Accent3 2 2 2 2 2" xfId="3567"/>
    <cellStyle name="Accent3 2 2 2 3" xfId="3568"/>
    <cellStyle name="Accent3 2 2 2 4" xfId="3569"/>
    <cellStyle name="Accent3 2 2 2 5" xfId="3570"/>
    <cellStyle name="Accent3 2 2 3" xfId="3571"/>
    <cellStyle name="Accent3 2 2 4" xfId="3572"/>
    <cellStyle name="Accent3 2 2 5" xfId="3573"/>
    <cellStyle name="Accent3 2 3" xfId="3574"/>
    <cellStyle name="Accent3 2 3 2" xfId="3575"/>
    <cellStyle name="Accent3 2 3 2 2" xfId="3576"/>
    <cellStyle name="Accent3 2 3 2 3" xfId="3577"/>
    <cellStyle name="Accent3 2 3 2 4" xfId="3578"/>
    <cellStyle name="Accent3 2 3 3" xfId="3579"/>
    <cellStyle name="Accent3 2 3 3 2" xfId="3580"/>
    <cellStyle name="Accent3 2 3 3 3" xfId="3581"/>
    <cellStyle name="Accent3 2 3 4" xfId="3582"/>
    <cellStyle name="Accent3 2 3 5" xfId="3583"/>
    <cellStyle name="Accent3 2 3 6" xfId="3584"/>
    <cellStyle name="Accent3 2 4" xfId="3585"/>
    <cellStyle name="Accent3 2 4 2" xfId="3586"/>
    <cellStyle name="Accent3 2 4 2 2" xfId="3587"/>
    <cellStyle name="Accent3 2 4 2 3" xfId="3588"/>
    <cellStyle name="Accent3 2 4 2 4" xfId="3589"/>
    <cellStyle name="Accent3 2 4 3" xfId="3590"/>
    <cellStyle name="Accent3 2 4 3 2" xfId="3591"/>
    <cellStyle name="Accent3 2 4 3 3" xfId="3592"/>
    <cellStyle name="Accent3 2 4 4" xfId="3593"/>
    <cellStyle name="Accent3 2 4 5" xfId="3594"/>
    <cellStyle name="Accent3 2 4 6" xfId="3595"/>
    <cellStyle name="Accent3 2 5" xfId="3596"/>
    <cellStyle name="Accent3 2 5 2" xfId="3597"/>
    <cellStyle name="Accent3 2 5 2 2" xfId="3598"/>
    <cellStyle name="Accent3 2 5 2 3" xfId="3599"/>
    <cellStyle name="Accent3 2 5 2 4" xfId="3600"/>
    <cellStyle name="Accent3 2 5 3" xfId="3601"/>
    <cellStyle name="Accent3 2 5 3 2" xfId="3602"/>
    <cellStyle name="Accent3 2 5 3 3" xfId="3603"/>
    <cellStyle name="Accent3 2 5 4" xfId="3604"/>
    <cellStyle name="Accent3 2 5 5" xfId="3605"/>
    <cellStyle name="Accent3 2 5 6" xfId="3606"/>
    <cellStyle name="Accent3 2 6" xfId="3607"/>
    <cellStyle name="Accent3 2 6 2" xfId="3608"/>
    <cellStyle name="Accent3 2 6 3" xfId="3609"/>
    <cellStyle name="Accent3 2 6 4" xfId="3610"/>
    <cellStyle name="Accent3 2 7" xfId="3611"/>
    <cellStyle name="Accent3 2 7 2" xfId="3612"/>
    <cellStyle name="Accent3 2 7 3" xfId="3613"/>
    <cellStyle name="Accent3 2 8" xfId="3614"/>
    <cellStyle name="Accent3 2 9" xfId="3615"/>
    <cellStyle name="Accent3 3" xfId="3616"/>
    <cellStyle name="Accent3 3 2" xfId="3617"/>
    <cellStyle name="Accent3 3 2 2" xfId="3618"/>
    <cellStyle name="Accent3 3 2 2 2" xfId="3619"/>
    <cellStyle name="Accent3 3 2 2 2 2" xfId="3620"/>
    <cellStyle name="Accent3 3 2 2 3" xfId="3621"/>
    <cellStyle name="Accent3 3 2 3" xfId="3622"/>
    <cellStyle name="Accent3 3 3" xfId="3623"/>
    <cellStyle name="Accent3 4" xfId="3624"/>
    <cellStyle name="Accent3 4 2" xfId="3625"/>
    <cellStyle name="Accent3 4 2 2" xfId="3626"/>
    <cellStyle name="Accent3 4 3" xfId="3627"/>
    <cellStyle name="Accent3 5" xfId="3628"/>
    <cellStyle name="Accent3 6" xfId="3629"/>
    <cellStyle name="Accent4 2" xfId="3630"/>
    <cellStyle name="Accent4 2 2" xfId="3631"/>
    <cellStyle name="Accent4 2 2 2" xfId="3632"/>
    <cellStyle name="Accent4 2 2 2 2" xfId="3633"/>
    <cellStyle name="Accent4 2 2 2 3" xfId="3634"/>
    <cellStyle name="Accent4 2 2 2 4" xfId="3635"/>
    <cellStyle name="Accent4 2 2 3" xfId="3636"/>
    <cellStyle name="Accent4 2 2 4" xfId="3637"/>
    <cellStyle name="Accent4 2 2 5" xfId="3638"/>
    <cellStyle name="Accent4 2 3" xfId="3639"/>
    <cellStyle name="Accent4 2 3 2" xfId="3640"/>
    <cellStyle name="Accent4 2 3 2 2" xfId="3641"/>
    <cellStyle name="Accent4 2 3 2 3" xfId="3642"/>
    <cellStyle name="Accent4 2 3 2 4" xfId="3643"/>
    <cellStyle name="Accent4 2 3 3" xfId="3644"/>
    <cellStyle name="Accent4 2 3 3 2" xfId="3645"/>
    <cellStyle name="Accent4 2 3 3 3" xfId="3646"/>
    <cellStyle name="Accent4 2 3 4" xfId="3647"/>
    <cellStyle name="Accent4 2 3 5" xfId="3648"/>
    <cellStyle name="Accent4 2 3 6" xfId="3649"/>
    <cellStyle name="Accent4 2 4" xfId="3650"/>
    <cellStyle name="Accent4 2 4 2" xfId="3651"/>
    <cellStyle name="Accent4 2 4 3" xfId="3652"/>
    <cellStyle name="Accent4 2 5" xfId="3653"/>
    <cellStyle name="Accent4 2 6" xfId="3654"/>
    <cellStyle name="Accent4 2 7" xfId="3655"/>
    <cellStyle name="Accent4 2 8" xfId="3656"/>
    <cellStyle name="Accent4 3" xfId="3657"/>
    <cellStyle name="Accent4 3 2" xfId="3658"/>
    <cellStyle name="Accent4 3 2 2" xfId="3659"/>
    <cellStyle name="Accent4 3 2 2 2" xfId="3660"/>
    <cellStyle name="Accent4 3 2 2 2 2" xfId="3661"/>
    <cellStyle name="Accent4 3 2 2 3" xfId="3662"/>
    <cellStyle name="Accent4 3 2 3" xfId="3663"/>
    <cellStyle name="Accent4 3 3" xfId="3664"/>
    <cellStyle name="Accent4 4" xfId="3665"/>
    <cellStyle name="Accent4 4 2" xfId="3666"/>
    <cellStyle name="Accent4 4 2 2" xfId="3667"/>
    <cellStyle name="Accent4 4 3" xfId="3668"/>
    <cellStyle name="Accent4 5" xfId="3669"/>
    <cellStyle name="Accent4 6" xfId="3670"/>
    <cellStyle name="Accent5 2" xfId="3671"/>
    <cellStyle name="Accent5 2 10" xfId="3672"/>
    <cellStyle name="Accent5 2 11" xfId="3673"/>
    <cellStyle name="Accent5 2 2" xfId="3674"/>
    <cellStyle name="Accent5 2 2 2" xfId="3675"/>
    <cellStyle name="Accent5 2 2 2 2" xfId="3676"/>
    <cellStyle name="Accent5 2 2 2 2 2" xfId="3677"/>
    <cellStyle name="Accent5 2 2 2 3" xfId="3678"/>
    <cellStyle name="Accent5 2 2 2 4" xfId="3679"/>
    <cellStyle name="Accent5 2 2 2 5" xfId="3680"/>
    <cellStyle name="Accent5 2 2 3" xfId="3681"/>
    <cellStyle name="Accent5 2 2 4" xfId="3682"/>
    <cellStyle name="Accent5 2 2 5" xfId="3683"/>
    <cellStyle name="Accent5 2 3" xfId="3684"/>
    <cellStyle name="Accent5 2 3 2" xfId="3685"/>
    <cellStyle name="Accent5 2 3 2 2" xfId="3686"/>
    <cellStyle name="Accent5 2 3 2 3" xfId="3687"/>
    <cellStyle name="Accent5 2 3 2 4" xfId="3688"/>
    <cellStyle name="Accent5 2 3 3" xfId="3689"/>
    <cellStyle name="Accent5 2 3 3 2" xfId="3690"/>
    <cellStyle name="Accent5 2 3 3 3" xfId="3691"/>
    <cellStyle name="Accent5 2 3 4" xfId="3692"/>
    <cellStyle name="Accent5 2 3 5" xfId="3693"/>
    <cellStyle name="Accent5 2 3 6" xfId="3694"/>
    <cellStyle name="Accent5 2 4" xfId="3695"/>
    <cellStyle name="Accent5 2 4 2" xfId="3696"/>
    <cellStyle name="Accent5 2 4 2 2" xfId="3697"/>
    <cellStyle name="Accent5 2 4 2 3" xfId="3698"/>
    <cellStyle name="Accent5 2 4 2 4" xfId="3699"/>
    <cellStyle name="Accent5 2 4 3" xfId="3700"/>
    <cellStyle name="Accent5 2 4 3 2" xfId="3701"/>
    <cellStyle name="Accent5 2 4 3 3" xfId="3702"/>
    <cellStyle name="Accent5 2 4 4" xfId="3703"/>
    <cellStyle name="Accent5 2 4 5" xfId="3704"/>
    <cellStyle name="Accent5 2 4 6" xfId="3705"/>
    <cellStyle name="Accent5 2 5" xfId="3706"/>
    <cellStyle name="Accent5 2 5 2" xfId="3707"/>
    <cellStyle name="Accent5 2 5 2 2" xfId="3708"/>
    <cellStyle name="Accent5 2 5 2 3" xfId="3709"/>
    <cellStyle name="Accent5 2 5 2 4" xfId="3710"/>
    <cellStyle name="Accent5 2 5 3" xfId="3711"/>
    <cellStyle name="Accent5 2 5 3 2" xfId="3712"/>
    <cellStyle name="Accent5 2 5 3 3" xfId="3713"/>
    <cellStyle name="Accent5 2 5 4" xfId="3714"/>
    <cellStyle name="Accent5 2 5 5" xfId="3715"/>
    <cellStyle name="Accent5 2 5 6" xfId="3716"/>
    <cellStyle name="Accent5 2 6" xfId="3717"/>
    <cellStyle name="Accent5 2 6 2" xfId="3718"/>
    <cellStyle name="Accent5 2 6 3" xfId="3719"/>
    <cellStyle name="Accent5 2 6 4" xfId="3720"/>
    <cellStyle name="Accent5 2 7" xfId="3721"/>
    <cellStyle name="Accent5 2 7 2" xfId="3722"/>
    <cellStyle name="Accent5 2 7 3" xfId="3723"/>
    <cellStyle name="Accent5 2 8" xfId="3724"/>
    <cellStyle name="Accent5 2 9" xfId="3725"/>
    <cellStyle name="Accent5 3" xfId="3726"/>
    <cellStyle name="Accent5 3 2" xfId="3727"/>
    <cellStyle name="Accent5 3 2 2" xfId="3728"/>
    <cellStyle name="Accent5 3 2 2 2" xfId="3729"/>
    <cellStyle name="Accent5 3 2 2 2 2" xfId="3730"/>
    <cellStyle name="Accent5 3 2 2 3" xfId="3731"/>
    <cellStyle name="Accent5 3 2 3" xfId="3732"/>
    <cellStyle name="Accent5 3 3" xfId="3733"/>
    <cellStyle name="Accent5 4" xfId="3734"/>
    <cellStyle name="Accent5 4 2" xfId="3735"/>
    <cellStyle name="Accent5 4 2 2" xfId="3736"/>
    <cellStyle name="Accent5 4 3" xfId="3737"/>
    <cellStyle name="Accent5 5" xfId="3738"/>
    <cellStyle name="Accent5 6" xfId="3739"/>
    <cellStyle name="Accent6 2" xfId="3740"/>
    <cellStyle name="Accent6 2 2" xfId="3741"/>
    <cellStyle name="Accent6 2 2 2" xfId="3742"/>
    <cellStyle name="Accent6 2 2 2 2" xfId="3743"/>
    <cellStyle name="Accent6 2 2 2 3" xfId="3744"/>
    <cellStyle name="Accent6 2 2 2 4" xfId="3745"/>
    <cellStyle name="Accent6 2 2 3" xfId="3746"/>
    <cellStyle name="Accent6 2 2 4" xfId="3747"/>
    <cellStyle name="Accent6 2 2 5" xfId="3748"/>
    <cellStyle name="Accent6 2 3" xfId="3749"/>
    <cellStyle name="Accent6 2 3 2" xfId="3750"/>
    <cellStyle name="Accent6 2 3 2 2" xfId="3751"/>
    <cellStyle name="Accent6 2 3 2 3" xfId="3752"/>
    <cellStyle name="Accent6 2 3 2 4" xfId="3753"/>
    <cellStyle name="Accent6 2 3 3" xfId="3754"/>
    <cellStyle name="Accent6 2 3 3 2" xfId="3755"/>
    <cellStyle name="Accent6 2 3 3 3" xfId="3756"/>
    <cellStyle name="Accent6 2 3 4" xfId="3757"/>
    <cellStyle name="Accent6 2 3 5" xfId="3758"/>
    <cellStyle name="Accent6 2 3 6" xfId="3759"/>
    <cellStyle name="Accent6 2 4" xfId="3760"/>
    <cellStyle name="Accent6 2 4 2" xfId="3761"/>
    <cellStyle name="Accent6 2 4 3" xfId="3762"/>
    <cellStyle name="Accent6 2 5" xfId="3763"/>
    <cellStyle name="Accent6 2 6" xfId="3764"/>
    <cellStyle name="Accent6 2 7" xfId="3765"/>
    <cellStyle name="Accent6 2 8" xfId="3766"/>
    <cellStyle name="Accent6 3" xfId="3767"/>
    <cellStyle name="Accent6 3 2" xfId="3768"/>
    <cellStyle name="Accent6 3 2 2" xfId="3769"/>
    <cellStyle name="Accent6 3 2 2 2" xfId="3770"/>
    <cellStyle name="Accent6 3 2 2 2 2" xfId="3771"/>
    <cellStyle name="Accent6 3 2 2 3" xfId="3772"/>
    <cellStyle name="Accent6 3 2 3" xfId="3773"/>
    <cellStyle name="Accent6 3 3" xfId="3774"/>
    <cellStyle name="Accent6 4" xfId="3775"/>
    <cellStyle name="Accent6 4 2" xfId="3776"/>
    <cellStyle name="Accent6 4 2 2" xfId="3777"/>
    <cellStyle name="Accent6 4 3" xfId="3778"/>
    <cellStyle name="Accent6 5" xfId="3779"/>
    <cellStyle name="Accent6 6" xfId="3780"/>
    <cellStyle name="Bad 2" xfId="3781"/>
    <cellStyle name="Bad 2 2" xfId="3782"/>
    <cellStyle name="Bad 2 2 2" xfId="3783"/>
    <cellStyle name="Bad 2 2 2 2" xfId="3784"/>
    <cellStyle name="Bad 2 2 2 3" xfId="3785"/>
    <cellStyle name="Bad 2 2 2 4" xfId="3786"/>
    <cellStyle name="Bad 2 2 3" xfId="3787"/>
    <cellStyle name="Bad 2 2 4" xfId="3788"/>
    <cellStyle name="Bad 2 2 5" xfId="3789"/>
    <cellStyle name="Bad 2 3" xfId="3790"/>
    <cellStyle name="Bad 2 3 2" xfId="3791"/>
    <cellStyle name="Bad 2 3 2 2" xfId="3792"/>
    <cellStyle name="Bad 2 3 2 3" xfId="3793"/>
    <cellStyle name="Bad 2 3 2 4" xfId="3794"/>
    <cellStyle name="Bad 2 3 3" xfId="3795"/>
    <cellStyle name="Bad 2 3 3 2" xfId="3796"/>
    <cellStyle name="Bad 2 3 3 3" xfId="3797"/>
    <cellStyle name="Bad 2 3 4" xfId="3798"/>
    <cellStyle name="Bad 2 3 5" xfId="3799"/>
    <cellStyle name="Bad 2 3 6" xfId="3800"/>
    <cellStyle name="Bad 2 4" xfId="3801"/>
    <cellStyle name="Bad 2 4 2" xfId="3802"/>
    <cellStyle name="Bad 2 4 3" xfId="3803"/>
    <cellStyle name="Bad 2 5" xfId="3804"/>
    <cellStyle name="Bad 2 6" xfId="3805"/>
    <cellStyle name="Bad 2 7" xfId="3806"/>
    <cellStyle name="Bad 2 8" xfId="3807"/>
    <cellStyle name="Bad 3" xfId="3808"/>
    <cellStyle name="Bad 3 2" xfId="3809"/>
    <cellStyle name="Bad 3 2 2" xfId="3810"/>
    <cellStyle name="Bad 3 2 2 2" xfId="3811"/>
    <cellStyle name="Bad 3 2 2 2 2" xfId="3812"/>
    <cellStyle name="Bad 3 2 2 3" xfId="3813"/>
    <cellStyle name="Bad 3 2 3" xfId="3814"/>
    <cellStyle name="Bad 3 3" xfId="3815"/>
    <cellStyle name="Bad 3 3 2" xfId="3816"/>
    <cellStyle name="Bad 3 4" xfId="3817"/>
    <cellStyle name="Bad 4" xfId="3818"/>
    <cellStyle name="Bad 4 2" xfId="3819"/>
    <cellStyle name="Bad 4 2 2" xfId="3820"/>
    <cellStyle name="Bad 4 3" xfId="3821"/>
    <cellStyle name="Bad 5" xfId="3822"/>
    <cellStyle name="Bad 6" xfId="3823"/>
    <cellStyle name="Calculation 2" xfId="3824"/>
    <cellStyle name="Calculation 2 10" xfId="3825"/>
    <cellStyle name="Calculation 2 11" xfId="3826"/>
    <cellStyle name="Calculation 2 2" xfId="3827"/>
    <cellStyle name="Calculation 2 2 2" xfId="3828"/>
    <cellStyle name="Calculation 2 2 2 2" xfId="3829"/>
    <cellStyle name="Calculation 2 2 2 2 2" xfId="3830"/>
    <cellStyle name="Calculation 2 2 2 3" xfId="3831"/>
    <cellStyle name="Calculation 2 2 2 4" xfId="3832"/>
    <cellStyle name="Calculation 2 2 2 5" xfId="3833"/>
    <cellStyle name="Calculation 2 2 3" xfId="3834"/>
    <cellStyle name="Calculation 2 2 4" xfId="3835"/>
    <cellStyle name="Calculation 2 2 5" xfId="3836"/>
    <cellStyle name="Calculation 2 3" xfId="3837"/>
    <cellStyle name="Calculation 2 3 2" xfId="3838"/>
    <cellStyle name="Calculation 2 3 2 2" xfId="3839"/>
    <cellStyle name="Calculation 2 3 2 3" xfId="3840"/>
    <cellStyle name="Calculation 2 3 2 4" xfId="3841"/>
    <cellStyle name="Calculation 2 3 3" xfId="3842"/>
    <cellStyle name="Calculation 2 3 3 2" xfId="3843"/>
    <cellStyle name="Calculation 2 3 3 3" xfId="3844"/>
    <cellStyle name="Calculation 2 3 4" xfId="3845"/>
    <cellStyle name="Calculation 2 3 5" xfId="3846"/>
    <cellStyle name="Calculation 2 3 6" xfId="3847"/>
    <cellStyle name="Calculation 2 4" xfId="3848"/>
    <cellStyle name="Calculation 2 4 2" xfId="3849"/>
    <cellStyle name="Calculation 2 4 2 2" xfId="3850"/>
    <cellStyle name="Calculation 2 4 2 3" xfId="3851"/>
    <cellStyle name="Calculation 2 4 2 4" xfId="3852"/>
    <cellStyle name="Calculation 2 4 3" xfId="3853"/>
    <cellStyle name="Calculation 2 4 3 2" xfId="3854"/>
    <cellStyle name="Calculation 2 4 3 3" xfId="3855"/>
    <cellStyle name="Calculation 2 4 4" xfId="3856"/>
    <cellStyle name="Calculation 2 4 5" xfId="3857"/>
    <cellStyle name="Calculation 2 4 6" xfId="3858"/>
    <cellStyle name="Calculation 2 5" xfId="3859"/>
    <cellStyle name="Calculation 2 5 2" xfId="3860"/>
    <cellStyle name="Calculation 2 5 2 2" xfId="3861"/>
    <cellStyle name="Calculation 2 5 2 3" xfId="3862"/>
    <cellStyle name="Calculation 2 5 2 4" xfId="3863"/>
    <cellStyle name="Calculation 2 5 3" xfId="3864"/>
    <cellStyle name="Calculation 2 5 3 2" xfId="3865"/>
    <cellStyle name="Calculation 2 5 3 3" xfId="3866"/>
    <cellStyle name="Calculation 2 5 4" xfId="3867"/>
    <cellStyle name="Calculation 2 5 5" xfId="3868"/>
    <cellStyle name="Calculation 2 5 6" xfId="3869"/>
    <cellStyle name="Calculation 2 6" xfId="3870"/>
    <cellStyle name="Calculation 2 6 2" xfId="3871"/>
    <cellStyle name="Calculation 2 6 3" xfId="3872"/>
    <cellStyle name="Calculation 2 6 4" xfId="3873"/>
    <cellStyle name="Calculation 2 7" xfId="3874"/>
    <cellStyle name="Calculation 2 7 2" xfId="3875"/>
    <cellStyle name="Calculation 2 7 3" xfId="3876"/>
    <cellStyle name="Calculation 2 8" xfId="3877"/>
    <cellStyle name="Calculation 2 9" xfId="3878"/>
    <cellStyle name="Calculation 3" xfId="3879"/>
    <cellStyle name="Calculation 3 2" xfId="3880"/>
    <cellStyle name="Calculation 3 2 2" xfId="3881"/>
    <cellStyle name="Calculation 3 2 2 2" xfId="3882"/>
    <cellStyle name="Calculation 3 2 2 2 2" xfId="3883"/>
    <cellStyle name="Calculation 3 2 2 3" xfId="3884"/>
    <cellStyle name="Calculation 3 2 3" xfId="3885"/>
    <cellStyle name="Calculation 3 3" xfId="3886"/>
    <cellStyle name="Calculation 4" xfId="3887"/>
    <cellStyle name="Calculation 4 2" xfId="3888"/>
    <cellStyle name="Calculation 4 2 2" xfId="3889"/>
    <cellStyle name="Calculation 4 3" xfId="3890"/>
    <cellStyle name="Calculation 5" xfId="3891"/>
    <cellStyle name="Calculation 6" xfId="3892"/>
    <cellStyle name="Check Cell 2" xfId="3893"/>
    <cellStyle name="Check Cell 2 10" xfId="3894"/>
    <cellStyle name="Check Cell 2 11" xfId="3895"/>
    <cellStyle name="Check Cell 2 2" xfId="3896"/>
    <cellStyle name="Check Cell 2 2 2" xfId="3897"/>
    <cellStyle name="Check Cell 2 2 2 2" xfId="3898"/>
    <cellStyle name="Check Cell 2 2 2 2 2" xfId="3899"/>
    <cellStyle name="Check Cell 2 2 2 3" xfId="3900"/>
    <cellStyle name="Check Cell 2 2 2 4" xfId="3901"/>
    <cellStyle name="Check Cell 2 2 2 5" xfId="3902"/>
    <cellStyle name="Check Cell 2 2 3" xfId="3903"/>
    <cellStyle name="Check Cell 2 2 4" xfId="3904"/>
    <cellStyle name="Check Cell 2 2 5" xfId="3905"/>
    <cellStyle name="Check Cell 2 3" xfId="3906"/>
    <cellStyle name="Check Cell 2 3 2" xfId="3907"/>
    <cellStyle name="Check Cell 2 3 2 2" xfId="3908"/>
    <cellStyle name="Check Cell 2 3 2 3" xfId="3909"/>
    <cellStyle name="Check Cell 2 3 2 4" xfId="3910"/>
    <cellStyle name="Check Cell 2 3 3" xfId="3911"/>
    <cellStyle name="Check Cell 2 3 3 2" xfId="3912"/>
    <cellStyle name="Check Cell 2 3 3 3" xfId="3913"/>
    <cellStyle name="Check Cell 2 3 4" xfId="3914"/>
    <cellStyle name="Check Cell 2 3 5" xfId="3915"/>
    <cellStyle name="Check Cell 2 3 6" xfId="3916"/>
    <cellStyle name="Check Cell 2 4" xfId="3917"/>
    <cellStyle name="Check Cell 2 4 2" xfId="3918"/>
    <cellStyle name="Check Cell 2 4 2 2" xfId="3919"/>
    <cellStyle name="Check Cell 2 4 2 3" xfId="3920"/>
    <cellStyle name="Check Cell 2 4 2 4" xfId="3921"/>
    <cellStyle name="Check Cell 2 4 3" xfId="3922"/>
    <cellStyle name="Check Cell 2 4 3 2" xfId="3923"/>
    <cellStyle name="Check Cell 2 4 3 3" xfId="3924"/>
    <cellStyle name="Check Cell 2 4 4" xfId="3925"/>
    <cellStyle name="Check Cell 2 4 5" xfId="3926"/>
    <cellStyle name="Check Cell 2 4 6" xfId="3927"/>
    <cellStyle name="Check Cell 2 5" xfId="3928"/>
    <cellStyle name="Check Cell 2 5 2" xfId="3929"/>
    <cellStyle name="Check Cell 2 5 2 2" xfId="3930"/>
    <cellStyle name="Check Cell 2 5 2 3" xfId="3931"/>
    <cellStyle name="Check Cell 2 5 2 4" xfId="3932"/>
    <cellStyle name="Check Cell 2 5 3" xfId="3933"/>
    <cellStyle name="Check Cell 2 5 3 2" xfId="3934"/>
    <cellStyle name="Check Cell 2 5 3 3" xfId="3935"/>
    <cellStyle name="Check Cell 2 5 4" xfId="3936"/>
    <cellStyle name="Check Cell 2 5 5" xfId="3937"/>
    <cellStyle name="Check Cell 2 5 6" xfId="3938"/>
    <cellStyle name="Check Cell 2 6" xfId="3939"/>
    <cellStyle name="Check Cell 2 6 2" xfId="3940"/>
    <cellStyle name="Check Cell 2 6 3" xfId="3941"/>
    <cellStyle name="Check Cell 2 6 4" xfId="3942"/>
    <cellStyle name="Check Cell 2 7" xfId="3943"/>
    <cellStyle name="Check Cell 2 7 2" xfId="3944"/>
    <cellStyle name="Check Cell 2 7 3" xfId="3945"/>
    <cellStyle name="Check Cell 2 8" xfId="3946"/>
    <cellStyle name="Check Cell 2 9" xfId="3947"/>
    <cellStyle name="Check Cell 3" xfId="3948"/>
    <cellStyle name="Check Cell 3 2" xfId="3949"/>
    <cellStyle name="Check Cell 3 2 2" xfId="3950"/>
    <cellStyle name="Check Cell 3 2 2 2" xfId="3951"/>
    <cellStyle name="Check Cell 3 2 2 2 2" xfId="3952"/>
    <cellStyle name="Check Cell 3 2 2 3" xfId="3953"/>
    <cellStyle name="Check Cell 3 2 3" xfId="3954"/>
    <cellStyle name="Check Cell 3 3" xfId="3955"/>
    <cellStyle name="Check Cell 4" xfId="3956"/>
    <cellStyle name="Check Cell 4 2" xfId="3957"/>
    <cellStyle name="Check Cell 4 2 2" xfId="3958"/>
    <cellStyle name="Check Cell 4 3" xfId="3959"/>
    <cellStyle name="Check Cell 5" xfId="3960"/>
    <cellStyle name="Check Cell 6" xfId="3961"/>
    <cellStyle name="Comma" xfId="1" builtinId="3"/>
    <cellStyle name="Comma 2" xfId="3962"/>
    <cellStyle name="Comma 2 2" xfId="3963"/>
    <cellStyle name="Comma 2 3" xfId="3964"/>
    <cellStyle name="Comma 3" xfId="3965"/>
    <cellStyle name="Comma 4" xfId="6"/>
    <cellStyle name="Comma 4 2" xfId="3966"/>
    <cellStyle name="Comma 5" xfId="3967"/>
    <cellStyle name="Comma 5 2" xfId="3968"/>
    <cellStyle name="Comma 5 2 2" xfId="3969"/>
    <cellStyle name="Comma 5 2 2 2" xfId="3970"/>
    <cellStyle name="Comma 5 2 3" xfId="3971"/>
    <cellStyle name="Comma 5 2 3 2" xfId="3972"/>
    <cellStyle name="Comma 5 2 4" xfId="3973"/>
    <cellStyle name="Comma 5 3" xfId="3974"/>
    <cellStyle name="Comma 5 3 2" xfId="3975"/>
    <cellStyle name="Comma 5 4" xfId="3976"/>
    <cellStyle name="Comma 5 4 2" xfId="3977"/>
    <cellStyle name="Comma 5 5" xfId="3978"/>
    <cellStyle name="Comma 6" xfId="3979"/>
    <cellStyle name="Comma 7" xfId="12415"/>
    <cellStyle name="Euro" xfId="3980"/>
    <cellStyle name="Euro 2" xfId="3981"/>
    <cellStyle name="Euro 2 2" xfId="3982"/>
    <cellStyle name="Euro 2 2 2" xfId="3983"/>
    <cellStyle name="Euro 2 2 3" xfId="3984"/>
    <cellStyle name="Euro 2 2 4" xfId="3985"/>
    <cellStyle name="Euro 2 3" xfId="3986"/>
    <cellStyle name="Euro 2 3 2" xfId="3987"/>
    <cellStyle name="Euro 2 3 3" xfId="3988"/>
    <cellStyle name="Euro 2 4" xfId="3989"/>
    <cellStyle name="Euro 2 4 2" xfId="3990"/>
    <cellStyle name="Euro 2 4 3" xfId="3991"/>
    <cellStyle name="Euro 2 5" xfId="3992"/>
    <cellStyle name="Euro 2 6" xfId="3993"/>
    <cellStyle name="Euro 2 7" xfId="3994"/>
    <cellStyle name="Euro 3" xfId="3995"/>
    <cellStyle name="Euro 3 2" xfId="3996"/>
    <cellStyle name="Euro 3 2 2" xfId="3997"/>
    <cellStyle name="Euro 3 2 3" xfId="3998"/>
    <cellStyle name="Euro 3 3" xfId="3999"/>
    <cellStyle name="Euro 3 4" xfId="4000"/>
    <cellStyle name="Euro 3 5" xfId="4001"/>
    <cellStyle name="Euro 4" xfId="4002"/>
    <cellStyle name="Euro 4 2" xfId="4003"/>
    <cellStyle name="Euro 4 3" xfId="4004"/>
    <cellStyle name="Euro 5" xfId="4005"/>
    <cellStyle name="Euro 6" xfId="4006"/>
    <cellStyle name="Euro 7" xfId="4007"/>
    <cellStyle name="Excel Built-in Normal" xfId="4008"/>
    <cellStyle name="Excel Built-in Normal 10" xfId="4009"/>
    <cellStyle name="Excel Built-in Normal 11" xfId="4010"/>
    <cellStyle name="Excel Built-in Normal 12" xfId="4011"/>
    <cellStyle name="Excel Built-in Normal 2" xfId="2"/>
    <cellStyle name="Excel Built-in Normal 2 10" xfId="4012"/>
    <cellStyle name="Excel Built-in Normal 2 2" xfId="4013"/>
    <cellStyle name="Excel Built-in Normal 2 2 2" xfId="4014"/>
    <cellStyle name="Excel Built-in Normal 2 2 2 2" xfId="4015"/>
    <cellStyle name="Excel Built-in Normal 2 2 2 3" xfId="4016"/>
    <cellStyle name="Excel Built-in Normal 2 2 2 4" xfId="4017"/>
    <cellStyle name="Excel Built-in Normal 2 2 3" xfId="4018"/>
    <cellStyle name="Excel Built-in Normal 2 2 3 2" xfId="4019"/>
    <cellStyle name="Excel Built-in Normal 2 2 3 3" xfId="4020"/>
    <cellStyle name="Excel Built-in Normal 2 2 4" xfId="4021"/>
    <cellStyle name="Excel Built-in Normal 2 2 5" xfId="4022"/>
    <cellStyle name="Excel Built-in Normal 2 2 6" xfId="4023"/>
    <cellStyle name="Excel Built-in Normal 2 3" xfId="4024"/>
    <cellStyle name="Excel Built-in Normal 2 3 2" xfId="4025"/>
    <cellStyle name="Excel Built-in Normal 2 3 3" xfId="4026"/>
    <cellStyle name="Excel Built-in Normal 2 3 4" xfId="4027"/>
    <cellStyle name="Excel Built-in Normal 2 4" xfId="4028"/>
    <cellStyle name="Excel Built-in Normal 2 4 2" xfId="4029"/>
    <cellStyle name="Excel Built-in Normal 2 4 3" xfId="4030"/>
    <cellStyle name="Excel Built-in Normal 2 5" xfId="4031"/>
    <cellStyle name="Excel Built-in Normal 2 6" xfId="4032"/>
    <cellStyle name="Excel Built-in Normal 2 7" xfId="4033"/>
    <cellStyle name="Excel Built-in Normal 2 8" xfId="4034"/>
    <cellStyle name="Excel Built-in Normal 2 9" xfId="4035"/>
    <cellStyle name="Excel Built-in Normal 3" xfId="4036"/>
    <cellStyle name="Excel Built-in Normal 3 2" xfId="4037"/>
    <cellStyle name="Excel Built-in Normal 3 2 2" xfId="4038"/>
    <cellStyle name="Excel Built-in Normal 3 2 3" xfId="4039"/>
    <cellStyle name="Excel Built-in Normal 3 2 4" xfId="4040"/>
    <cellStyle name="Excel Built-in Normal 3 3" xfId="4041"/>
    <cellStyle name="Excel Built-in Normal 3 3 2" xfId="4042"/>
    <cellStyle name="Excel Built-in Normal 3 3 3" xfId="4043"/>
    <cellStyle name="Excel Built-in Normal 3 4" xfId="4044"/>
    <cellStyle name="Excel Built-in Normal 3 5" xfId="4045"/>
    <cellStyle name="Excel Built-in Normal 3 6" xfId="4046"/>
    <cellStyle name="Excel Built-in Normal 3 7" xfId="4047"/>
    <cellStyle name="Excel Built-in Normal 4" xfId="4048"/>
    <cellStyle name="Excel Built-in Normal 4 2" xfId="4049"/>
    <cellStyle name="Excel Built-in Normal 4 2 2" xfId="4050"/>
    <cellStyle name="Excel Built-in Normal 4 2 3" xfId="4051"/>
    <cellStyle name="Excel Built-in Normal 4 2 4" xfId="4052"/>
    <cellStyle name="Excel Built-in Normal 4 3" xfId="4053"/>
    <cellStyle name="Excel Built-in Normal 4 3 2" xfId="4054"/>
    <cellStyle name="Excel Built-in Normal 4 3 3" xfId="4055"/>
    <cellStyle name="Excel Built-in Normal 4 4" xfId="4056"/>
    <cellStyle name="Excel Built-in Normal 4 5" xfId="4057"/>
    <cellStyle name="Excel Built-in Normal 4 6" xfId="4058"/>
    <cellStyle name="Excel Built-in Normal 5" xfId="4059"/>
    <cellStyle name="Excel Built-in Normal 5 2" xfId="4060"/>
    <cellStyle name="Excel Built-in Normal 5 3" xfId="4061"/>
    <cellStyle name="Excel Built-in Normal 5 4" xfId="4062"/>
    <cellStyle name="Excel Built-in Normal 6" xfId="4063"/>
    <cellStyle name="Excel Built-in Normal 6 2" xfId="4064"/>
    <cellStyle name="Excel Built-in Normal 6 3" xfId="4065"/>
    <cellStyle name="Excel Built-in Normal 7" xfId="4066"/>
    <cellStyle name="Excel Built-in Normal 8" xfId="4067"/>
    <cellStyle name="Excel Built-in Normal 9" xfId="4068"/>
    <cellStyle name="Excel_BuiltIn_Calculation" xfId="4069"/>
    <cellStyle name="Explanatory Text 2" xfId="4070"/>
    <cellStyle name="Explanatory Text 2 2" xfId="4071"/>
    <cellStyle name="Explanatory Text 2 2 2" xfId="4072"/>
    <cellStyle name="Explanatory Text 2 2 2 2" xfId="4073"/>
    <cellStyle name="Explanatory Text 2 2 2 3" xfId="4074"/>
    <cellStyle name="Explanatory Text 2 2 2 4" xfId="4075"/>
    <cellStyle name="Explanatory Text 2 2 3" xfId="4076"/>
    <cellStyle name="Explanatory Text 2 2 4" xfId="4077"/>
    <cellStyle name="Explanatory Text 2 2 5" xfId="4078"/>
    <cellStyle name="Explanatory Text 2 3" xfId="4079"/>
    <cellStyle name="Explanatory Text 2 3 2" xfId="4080"/>
    <cellStyle name="Explanatory Text 2 3 2 2" xfId="4081"/>
    <cellStyle name="Explanatory Text 2 3 2 3" xfId="4082"/>
    <cellStyle name="Explanatory Text 2 3 2 4" xfId="4083"/>
    <cellStyle name="Explanatory Text 2 3 3" xfId="4084"/>
    <cellStyle name="Explanatory Text 2 3 3 2" xfId="4085"/>
    <cellStyle name="Explanatory Text 2 3 3 3" xfId="4086"/>
    <cellStyle name="Explanatory Text 2 3 4" xfId="4087"/>
    <cellStyle name="Explanatory Text 2 3 5" xfId="4088"/>
    <cellStyle name="Explanatory Text 2 3 6" xfId="4089"/>
    <cellStyle name="Explanatory Text 2 4" xfId="4090"/>
    <cellStyle name="Explanatory Text 2 4 2" xfId="4091"/>
    <cellStyle name="Explanatory Text 2 4 3" xfId="4092"/>
    <cellStyle name="Explanatory Text 2 5" xfId="4093"/>
    <cellStyle name="Explanatory Text 2 6" xfId="4094"/>
    <cellStyle name="Explanatory Text 2 7" xfId="4095"/>
    <cellStyle name="Explanatory Text 2 8" xfId="4096"/>
    <cellStyle name="Explanatory Text 3" xfId="4097"/>
    <cellStyle name="Explanatory Text 3 2" xfId="4098"/>
    <cellStyle name="Explanatory Text 3 2 2" xfId="4099"/>
    <cellStyle name="Explanatory Text 3 2 2 2" xfId="4100"/>
    <cellStyle name="Explanatory Text 3 2 2 2 2" xfId="4101"/>
    <cellStyle name="Explanatory Text 3 2 2 3" xfId="4102"/>
    <cellStyle name="Explanatory Text 3 2 3" xfId="4103"/>
    <cellStyle name="Explanatory Text 3 3" xfId="4104"/>
    <cellStyle name="Explanatory Text 4" xfId="4105"/>
    <cellStyle name="Explanatory Text 4 2" xfId="4106"/>
    <cellStyle name="Explanatory Text 4 2 2" xfId="4107"/>
    <cellStyle name="Explanatory Text 4 3" xfId="4108"/>
    <cellStyle name="Explanatory Text 5" xfId="4109"/>
    <cellStyle name="Explanatory Text 6" xfId="4110"/>
    <cellStyle name="Fail" xfId="4111"/>
    <cellStyle name="Fail 2" xfId="4112"/>
    <cellStyle name="Fail 2 2" xfId="4113"/>
    <cellStyle name="Fail 2 2 2" xfId="4114"/>
    <cellStyle name="Fail 2 2 2 2" xfId="4115"/>
    <cellStyle name="Fail 2 2 3" xfId="4116"/>
    <cellStyle name="Fail 2 2 4" xfId="4117"/>
    <cellStyle name="Fail 2 2 5" xfId="4118"/>
    <cellStyle name="Fail 2 3" xfId="4119"/>
    <cellStyle name="Fail 2 3 2" xfId="4120"/>
    <cellStyle name="Fail 2 3 3" xfId="4121"/>
    <cellStyle name="Fail 2 4" xfId="4122"/>
    <cellStyle name="Fail 2 5" xfId="4123"/>
    <cellStyle name="Fail 2 6" xfId="4124"/>
    <cellStyle name="Fail 2 7" xfId="4125"/>
    <cellStyle name="Fail 3" xfId="4126"/>
    <cellStyle name="Fail 3 2" xfId="4127"/>
    <cellStyle name="Fail 3 3" xfId="4128"/>
    <cellStyle name="Fail 3 4" xfId="4129"/>
    <cellStyle name="Fail 4" xfId="4130"/>
    <cellStyle name="Fail 4 2" xfId="4131"/>
    <cellStyle name="Fail 4 3" xfId="4132"/>
    <cellStyle name="Fail 5" xfId="4133"/>
    <cellStyle name="Fail 6" xfId="4134"/>
    <cellStyle name="Fail 7" xfId="4135"/>
    <cellStyle name="Fail 8" xfId="4136"/>
    <cellStyle name="Followed Hyperlink 2" xfId="4137"/>
    <cellStyle name="Followed Hyperlink 2 2" xfId="4138"/>
    <cellStyle name="Good 2" xfId="4139"/>
    <cellStyle name="Good 2 2" xfId="4140"/>
    <cellStyle name="Good 2 2 2" xfId="4141"/>
    <cellStyle name="Good 2 2 2 2" xfId="4142"/>
    <cellStyle name="Good 2 2 2 2 2" xfId="4143"/>
    <cellStyle name="Good 2 2 2 3" xfId="4144"/>
    <cellStyle name="Good 2 2 2 4" xfId="4145"/>
    <cellStyle name="Good 2 2 2 5" xfId="4146"/>
    <cellStyle name="Good 2 2 3" xfId="4147"/>
    <cellStyle name="Good 2 2 4" xfId="4148"/>
    <cellStyle name="Good 2 2 5" xfId="4149"/>
    <cellStyle name="Good 2 2 6" xfId="4150"/>
    <cellStyle name="Good 2 3" xfId="4151"/>
    <cellStyle name="Good 2 3 2" xfId="4152"/>
    <cellStyle name="Good 2 3 2 2" xfId="4153"/>
    <cellStyle name="Good 2 3 2 3" xfId="4154"/>
    <cellStyle name="Good 2 3 2 4" xfId="4155"/>
    <cellStyle name="Good 2 3 3" xfId="4156"/>
    <cellStyle name="Good 2 3 3 2" xfId="4157"/>
    <cellStyle name="Good 2 3 3 3" xfId="4158"/>
    <cellStyle name="Good 2 3 4" xfId="4159"/>
    <cellStyle name="Good 2 3 5" xfId="4160"/>
    <cellStyle name="Good 2 3 6" xfId="4161"/>
    <cellStyle name="Good 2 4" xfId="4162"/>
    <cellStyle name="Good 2 4 2" xfId="4163"/>
    <cellStyle name="Good 2 4 3" xfId="4164"/>
    <cellStyle name="Good 2 5" xfId="4165"/>
    <cellStyle name="Good 2 6" xfId="4166"/>
    <cellStyle name="Good 2 7" xfId="4167"/>
    <cellStyle name="Good 2 8" xfId="4168"/>
    <cellStyle name="Good 3" xfId="4169"/>
    <cellStyle name="Good 3 2" xfId="4170"/>
    <cellStyle name="Good 3 2 2" xfId="4171"/>
    <cellStyle name="Good 3 2 2 2" xfId="4172"/>
    <cellStyle name="Good 3 2 2 2 2" xfId="4173"/>
    <cellStyle name="Good 3 2 2 3" xfId="4174"/>
    <cellStyle name="Good 3 2 3" xfId="4175"/>
    <cellStyle name="Good 3 3" xfId="4176"/>
    <cellStyle name="Good 4" xfId="4177"/>
    <cellStyle name="Good 4 2" xfId="4178"/>
    <cellStyle name="Good 4 2 2" xfId="4179"/>
    <cellStyle name="Good 4 3" xfId="4180"/>
    <cellStyle name="Good 5" xfId="4181"/>
    <cellStyle name="Good 6" xfId="4182"/>
    <cellStyle name="Heading 1 2" xfId="4183"/>
    <cellStyle name="Heading 1 2 2" xfId="4184"/>
    <cellStyle name="Heading 1 2 2 2" xfId="4185"/>
    <cellStyle name="Heading 1 2 2 2 2" xfId="4186"/>
    <cellStyle name="Heading 1 2 2 2 3" xfId="4187"/>
    <cellStyle name="Heading 1 2 2 2 4" xfId="4188"/>
    <cellStyle name="Heading 1 2 2 3" xfId="4189"/>
    <cellStyle name="Heading 1 2 2 4" xfId="4190"/>
    <cellStyle name="Heading 1 2 2 5" xfId="4191"/>
    <cellStyle name="Heading 1 2 3" xfId="4192"/>
    <cellStyle name="Heading 1 2 3 2" xfId="4193"/>
    <cellStyle name="Heading 1 2 3 2 2" xfId="4194"/>
    <cellStyle name="Heading 1 2 3 2 3" xfId="4195"/>
    <cellStyle name="Heading 1 2 3 2 4" xfId="4196"/>
    <cellStyle name="Heading 1 2 3 3" xfId="4197"/>
    <cellStyle name="Heading 1 2 3 3 2" xfId="4198"/>
    <cellStyle name="Heading 1 2 3 3 3" xfId="4199"/>
    <cellStyle name="Heading 1 2 3 4" xfId="4200"/>
    <cellStyle name="Heading 1 2 3 5" xfId="4201"/>
    <cellStyle name="Heading 1 2 3 6" xfId="4202"/>
    <cellStyle name="Heading 1 2 4" xfId="4203"/>
    <cellStyle name="Heading 1 2 4 2" xfId="4204"/>
    <cellStyle name="Heading 1 2 4 3" xfId="4205"/>
    <cellStyle name="Heading 1 2 5" xfId="4206"/>
    <cellStyle name="Heading 1 2 6" xfId="4207"/>
    <cellStyle name="Heading 1 2 7" xfId="4208"/>
    <cellStyle name="Heading 1 2 8" xfId="4209"/>
    <cellStyle name="Heading 1 3" xfId="4210"/>
    <cellStyle name="Heading 1 3 2" xfId="4211"/>
    <cellStyle name="Heading 1 3 2 2" xfId="4212"/>
    <cellStyle name="Heading 1 3 2 2 2" xfId="4213"/>
    <cellStyle name="Heading 1 3 2 2 2 2" xfId="4214"/>
    <cellStyle name="Heading 1 3 2 2 3" xfId="4215"/>
    <cellStyle name="Heading 1 3 2 3" xfId="4216"/>
    <cellStyle name="Heading 1 3 3" xfId="4217"/>
    <cellStyle name="Heading 1 4" xfId="4218"/>
    <cellStyle name="Heading 1 4 2" xfId="4219"/>
    <cellStyle name="Heading 1 4 2 2" xfId="4220"/>
    <cellStyle name="Heading 1 4 3" xfId="4221"/>
    <cellStyle name="Heading 1 5" xfId="4222"/>
    <cellStyle name="Heading 1 6" xfId="4223"/>
    <cellStyle name="Heading 2 2" xfId="4224"/>
    <cellStyle name="Heading 2 2 2" xfId="4225"/>
    <cellStyle name="Heading 2 2 2 2" xfId="4226"/>
    <cellStyle name="Heading 2 2 2 2 2" xfId="4227"/>
    <cellStyle name="Heading 2 2 2 2 3" xfId="4228"/>
    <cellStyle name="Heading 2 2 2 2 4" xfId="4229"/>
    <cellStyle name="Heading 2 2 2 3" xfId="4230"/>
    <cellStyle name="Heading 2 2 2 4" xfId="4231"/>
    <cellStyle name="Heading 2 2 2 5" xfId="4232"/>
    <cellStyle name="Heading 2 2 3" xfId="4233"/>
    <cellStyle name="Heading 2 2 3 2" xfId="4234"/>
    <cellStyle name="Heading 2 2 3 2 2" xfId="4235"/>
    <cellStyle name="Heading 2 2 3 2 3" xfId="4236"/>
    <cellStyle name="Heading 2 2 3 2 4" xfId="4237"/>
    <cellStyle name="Heading 2 2 3 3" xfId="4238"/>
    <cellStyle name="Heading 2 2 3 3 2" xfId="4239"/>
    <cellStyle name="Heading 2 2 3 3 3" xfId="4240"/>
    <cellStyle name="Heading 2 2 3 4" xfId="4241"/>
    <cellStyle name="Heading 2 2 3 5" xfId="4242"/>
    <cellStyle name="Heading 2 2 3 6" xfId="4243"/>
    <cellStyle name="Heading 2 2 4" xfId="4244"/>
    <cellStyle name="Heading 2 2 4 2" xfId="4245"/>
    <cellStyle name="Heading 2 2 4 3" xfId="4246"/>
    <cellStyle name="Heading 2 2 5" xfId="4247"/>
    <cellStyle name="Heading 2 2 6" xfId="4248"/>
    <cellStyle name="Heading 2 2 7" xfId="4249"/>
    <cellStyle name="Heading 2 2 8" xfId="4250"/>
    <cellStyle name="Heading 2 3" xfId="4251"/>
    <cellStyle name="Heading 2 3 2" xfId="4252"/>
    <cellStyle name="Heading 2 3 2 2" xfId="4253"/>
    <cellStyle name="Heading 2 3 2 2 2" xfId="4254"/>
    <cellStyle name="Heading 2 3 2 2 2 2" xfId="4255"/>
    <cellStyle name="Heading 2 3 2 2 3" xfId="4256"/>
    <cellStyle name="Heading 2 3 2 3" xfId="4257"/>
    <cellStyle name="Heading 2 3 3" xfId="4258"/>
    <cellStyle name="Heading 2 4" xfId="4259"/>
    <cellStyle name="Heading 2 4 2" xfId="4260"/>
    <cellStyle name="Heading 2 4 2 2" xfId="4261"/>
    <cellStyle name="Heading 2 4 3" xfId="4262"/>
    <cellStyle name="Heading 2 5" xfId="4263"/>
    <cellStyle name="Heading 2 6" xfId="4264"/>
    <cellStyle name="Heading 3 2" xfId="4265"/>
    <cellStyle name="Heading 3 2 2" xfId="4266"/>
    <cellStyle name="Heading 3 2 2 2" xfId="4267"/>
    <cellStyle name="Heading 3 2 2 2 2" xfId="4268"/>
    <cellStyle name="Heading 3 2 2 2 3" xfId="4269"/>
    <cellStyle name="Heading 3 2 2 2 4" xfId="4270"/>
    <cellStyle name="Heading 3 2 2 3" xfId="4271"/>
    <cellStyle name="Heading 3 2 2 4" xfId="4272"/>
    <cellStyle name="Heading 3 2 2 5" xfId="4273"/>
    <cellStyle name="Heading 3 2 3" xfId="4274"/>
    <cellStyle name="Heading 3 2 3 2" xfId="4275"/>
    <cellStyle name="Heading 3 2 3 2 2" xfId="4276"/>
    <cellStyle name="Heading 3 2 3 2 3" xfId="4277"/>
    <cellStyle name="Heading 3 2 3 2 4" xfId="4278"/>
    <cellStyle name="Heading 3 2 3 3" xfId="4279"/>
    <cellStyle name="Heading 3 2 3 3 2" xfId="4280"/>
    <cellStyle name="Heading 3 2 3 3 3" xfId="4281"/>
    <cellStyle name="Heading 3 2 3 4" xfId="4282"/>
    <cellStyle name="Heading 3 2 3 5" xfId="4283"/>
    <cellStyle name="Heading 3 2 3 6" xfId="4284"/>
    <cellStyle name="Heading 3 2 4" xfId="4285"/>
    <cellStyle name="Heading 3 2 4 2" xfId="4286"/>
    <cellStyle name="Heading 3 2 4 3" xfId="4287"/>
    <cellStyle name="Heading 3 2 5" xfId="4288"/>
    <cellStyle name="Heading 3 2 6" xfId="4289"/>
    <cellStyle name="Heading 3 2 7" xfId="4290"/>
    <cellStyle name="Heading 3 2 8" xfId="4291"/>
    <cellStyle name="Heading 3 3" xfId="4292"/>
    <cellStyle name="Heading 3 3 2" xfId="4293"/>
    <cellStyle name="Heading 3 3 2 2" xfId="4294"/>
    <cellStyle name="Heading 3 3 2 2 2" xfId="4295"/>
    <cellStyle name="Heading 3 3 2 2 2 2" xfId="4296"/>
    <cellStyle name="Heading 3 3 2 2 3" xfId="4297"/>
    <cellStyle name="Heading 3 3 2 3" xfId="4298"/>
    <cellStyle name="Heading 3 3 3" xfId="4299"/>
    <cellStyle name="Heading 3 4" xfId="4300"/>
    <cellStyle name="Heading 3 4 2" xfId="4301"/>
    <cellStyle name="Heading 3 4 2 2" xfId="4302"/>
    <cellStyle name="Heading 3 4 3" xfId="4303"/>
    <cellStyle name="Heading 3 5" xfId="4304"/>
    <cellStyle name="Heading 3 6" xfId="4305"/>
    <cellStyle name="Heading 4 2" xfId="4306"/>
    <cellStyle name="Heading 4 2 2" xfId="4307"/>
    <cellStyle name="Heading 4 2 2 2" xfId="4308"/>
    <cellStyle name="Heading 4 2 2 2 2" xfId="4309"/>
    <cellStyle name="Heading 4 2 2 2 3" xfId="4310"/>
    <cellStyle name="Heading 4 2 2 2 4" xfId="4311"/>
    <cellStyle name="Heading 4 2 2 3" xfId="4312"/>
    <cellStyle name="Heading 4 2 2 4" xfId="4313"/>
    <cellStyle name="Heading 4 2 2 5" xfId="4314"/>
    <cellStyle name="Heading 4 2 3" xfId="4315"/>
    <cellStyle name="Heading 4 2 3 2" xfId="4316"/>
    <cellStyle name="Heading 4 2 3 2 2" xfId="4317"/>
    <cellStyle name="Heading 4 2 3 2 3" xfId="4318"/>
    <cellStyle name="Heading 4 2 3 2 4" xfId="4319"/>
    <cellStyle name="Heading 4 2 3 3" xfId="4320"/>
    <cellStyle name="Heading 4 2 3 3 2" xfId="4321"/>
    <cellStyle name="Heading 4 2 3 3 3" xfId="4322"/>
    <cellStyle name="Heading 4 2 3 4" xfId="4323"/>
    <cellStyle name="Heading 4 2 3 5" xfId="4324"/>
    <cellStyle name="Heading 4 2 3 6" xfId="4325"/>
    <cellStyle name="Heading 4 2 4" xfId="4326"/>
    <cellStyle name="Heading 4 2 4 2" xfId="4327"/>
    <cellStyle name="Heading 4 2 4 3" xfId="4328"/>
    <cellStyle name="Heading 4 2 5" xfId="4329"/>
    <cellStyle name="Heading 4 2 6" xfId="4330"/>
    <cellStyle name="Heading 4 2 7" xfId="4331"/>
    <cellStyle name="Heading 4 2 8" xfId="4332"/>
    <cellStyle name="Heading 4 3" xfId="4333"/>
    <cellStyle name="Heading 4 3 2" xfId="4334"/>
    <cellStyle name="Heading 4 3 2 2" xfId="4335"/>
    <cellStyle name="Heading 4 3 2 2 2" xfId="4336"/>
    <cellStyle name="Heading 4 3 2 2 2 2" xfId="4337"/>
    <cellStyle name="Heading 4 3 2 2 3" xfId="4338"/>
    <cellStyle name="Heading 4 3 2 3" xfId="4339"/>
    <cellStyle name="Heading 4 3 3" xfId="4340"/>
    <cellStyle name="Heading 4 4" xfId="4341"/>
    <cellStyle name="Heading 4 4 2" xfId="4342"/>
    <cellStyle name="Heading 4 4 2 2" xfId="4343"/>
    <cellStyle name="Heading 4 4 3" xfId="4344"/>
    <cellStyle name="Heading 4 5" xfId="4345"/>
    <cellStyle name="Heading 4 6" xfId="4346"/>
    <cellStyle name="Hyperlink" xfId="12419" builtinId="8"/>
    <cellStyle name="Hyperlink 10" xfId="4347"/>
    <cellStyle name="Hyperlink 11" xfId="4348"/>
    <cellStyle name="Hyperlink 12" xfId="4349"/>
    <cellStyle name="Hyperlink 13" xfId="4350"/>
    <cellStyle name="Hyperlink 14" xfId="12416"/>
    <cellStyle name="Hyperlink 15" xfId="12417"/>
    <cellStyle name="Hyperlink 2" xfId="4351"/>
    <cellStyle name="Hyperlink 2 2" xfId="4352"/>
    <cellStyle name="Hyperlink 2 2 2" xfId="4353"/>
    <cellStyle name="Hyperlink 2 2 2 2" xfId="4354"/>
    <cellStyle name="Hyperlink 2 2 2 2 2" xfId="4355"/>
    <cellStyle name="Hyperlink 2 2 2 3" xfId="4356"/>
    <cellStyle name="Hyperlink 2 2 2 4" xfId="4357"/>
    <cellStyle name="Hyperlink 2 2 2 5" xfId="4358"/>
    <cellStyle name="Hyperlink 2 2 3" xfId="4359"/>
    <cellStyle name="Hyperlink 2 2 3 2" xfId="4360"/>
    <cellStyle name="Hyperlink 2 2 3 3" xfId="4361"/>
    <cellStyle name="Hyperlink 2 2 3 4" xfId="4362"/>
    <cellStyle name="Hyperlink 2 2 3 5" xfId="4363"/>
    <cellStyle name="Hyperlink 2 2 4" xfId="4364"/>
    <cellStyle name="Hyperlink 2 2 5" xfId="4365"/>
    <cellStyle name="Hyperlink 2 2 6" xfId="4366"/>
    <cellStyle name="Hyperlink 2 2 7" xfId="4367"/>
    <cellStyle name="Hyperlink 2 3" xfId="4368"/>
    <cellStyle name="Hyperlink 2 3 2" xfId="4369"/>
    <cellStyle name="Hyperlink 2 3 2 2" xfId="4370"/>
    <cellStyle name="Hyperlink 2 3 2 3" xfId="4371"/>
    <cellStyle name="Hyperlink 2 3 3" xfId="4372"/>
    <cellStyle name="Hyperlink 2 3 4" xfId="4373"/>
    <cellStyle name="Hyperlink 2 4" xfId="4374"/>
    <cellStyle name="Hyperlink 2 4 2" xfId="4375"/>
    <cellStyle name="Hyperlink 2 4 3" xfId="4376"/>
    <cellStyle name="Hyperlink 2 4 4" xfId="4377"/>
    <cellStyle name="Hyperlink 2 4 5" xfId="4378"/>
    <cellStyle name="Hyperlink 2 5" xfId="4379"/>
    <cellStyle name="Hyperlink 2 6" xfId="4380"/>
    <cellStyle name="Hyperlink 2 7" xfId="4381"/>
    <cellStyle name="Hyperlink 2 8" xfId="4382"/>
    <cellStyle name="Hyperlink 2_(01-03) C-SCADA_UserManagement_ST_Testcase" xfId="4383"/>
    <cellStyle name="Hyperlink 3" xfId="4384"/>
    <cellStyle name="Hyperlink 3 2" xfId="4385"/>
    <cellStyle name="Hyperlink 3 2 2" xfId="4386"/>
    <cellStyle name="Hyperlink 3 2 2 2" xfId="4387"/>
    <cellStyle name="Hyperlink 3 2 2 2 2" xfId="4388"/>
    <cellStyle name="Hyperlink 3 2 2 3" xfId="4389"/>
    <cellStyle name="Hyperlink 3 2 2 4" xfId="4390"/>
    <cellStyle name="Hyperlink 3 2 2 5" xfId="4391"/>
    <cellStyle name="Hyperlink 3 2 3" xfId="4392"/>
    <cellStyle name="Hyperlink 3 2 3 2" xfId="4393"/>
    <cellStyle name="Hyperlink 3 2 3 3" xfId="4394"/>
    <cellStyle name="Hyperlink 3 2 4" xfId="4395"/>
    <cellStyle name="Hyperlink 3 2 5" xfId="4396"/>
    <cellStyle name="Hyperlink 3 2 6" xfId="4397"/>
    <cellStyle name="Hyperlink 3 2 7" xfId="4398"/>
    <cellStyle name="Hyperlink 3 3" xfId="4399"/>
    <cellStyle name="Hyperlink 3 3 2" xfId="4400"/>
    <cellStyle name="Hyperlink 3 3 3" xfId="4401"/>
    <cellStyle name="Hyperlink 3 3 4" xfId="4402"/>
    <cellStyle name="Hyperlink 3 4" xfId="4403"/>
    <cellStyle name="Hyperlink 3 4 2" xfId="4404"/>
    <cellStyle name="Hyperlink 3 4 3" xfId="4405"/>
    <cellStyle name="Hyperlink 3 4 4" xfId="4406"/>
    <cellStyle name="Hyperlink 3 4 5" xfId="4407"/>
    <cellStyle name="Hyperlink 3 5" xfId="4408"/>
    <cellStyle name="Hyperlink 3 6" xfId="4409"/>
    <cellStyle name="Hyperlink 3 7" xfId="4410"/>
    <cellStyle name="Hyperlink 3 8" xfId="4411"/>
    <cellStyle name="Hyperlink 4" xfId="4412"/>
    <cellStyle name="Hyperlink 4 2" xfId="4413"/>
    <cellStyle name="Hyperlink 4 2 2" xfId="4414"/>
    <cellStyle name="Hyperlink 4 2 2 2" xfId="4415"/>
    <cellStyle name="Hyperlink 4 2 2 2 2" xfId="4416"/>
    <cellStyle name="Hyperlink 4 2 2 3" xfId="4417"/>
    <cellStyle name="Hyperlink 4 2 2 4" xfId="4418"/>
    <cellStyle name="Hyperlink 4 2 3" xfId="4419"/>
    <cellStyle name="Hyperlink 4 2 3 2" xfId="4420"/>
    <cellStyle name="Hyperlink 4 2 4" xfId="4421"/>
    <cellStyle name="Hyperlink 4 2 5" xfId="4422"/>
    <cellStyle name="Hyperlink 4 3" xfId="4423"/>
    <cellStyle name="Hyperlink 4 3 2" xfId="4424"/>
    <cellStyle name="Hyperlink 4 3 3" xfId="4425"/>
    <cellStyle name="Hyperlink 4 3 4" xfId="4426"/>
    <cellStyle name="Hyperlink 4 3 5" xfId="4427"/>
    <cellStyle name="Hyperlink 4 4" xfId="4428"/>
    <cellStyle name="Hyperlink 4 4 2" xfId="4429"/>
    <cellStyle name="Hyperlink 4 5" xfId="4430"/>
    <cellStyle name="Hyperlink 4 6" xfId="4431"/>
    <cellStyle name="Hyperlink 4 7" xfId="4432"/>
    <cellStyle name="Hyperlink 5" xfId="4433"/>
    <cellStyle name="Hyperlink 5 2" xfId="4434"/>
    <cellStyle name="Hyperlink 5 2 2" xfId="4435"/>
    <cellStyle name="Hyperlink 5 2 2 2" xfId="4436"/>
    <cellStyle name="Hyperlink 5 2 3" xfId="4437"/>
    <cellStyle name="Hyperlink 5 2 4" xfId="4438"/>
    <cellStyle name="Hyperlink 5 2 5" xfId="4439"/>
    <cellStyle name="Hyperlink 5 3" xfId="4440"/>
    <cellStyle name="Hyperlink 5 3 2" xfId="4441"/>
    <cellStyle name="Hyperlink 5 3 3" xfId="4442"/>
    <cellStyle name="Hyperlink 5 3 4" xfId="4443"/>
    <cellStyle name="Hyperlink 5 3 5" xfId="4444"/>
    <cellStyle name="Hyperlink 5 4" xfId="4445"/>
    <cellStyle name="Hyperlink 5 4 2" xfId="4446"/>
    <cellStyle name="Hyperlink 5 5" xfId="4447"/>
    <cellStyle name="Hyperlink 5 6" xfId="4448"/>
    <cellStyle name="Hyperlink 5 7" xfId="4449"/>
    <cellStyle name="Hyperlink 6" xfId="4450"/>
    <cellStyle name="Hyperlink 6 2" xfId="4451"/>
    <cellStyle name="Hyperlink 6 2 2" xfId="4452"/>
    <cellStyle name="Hyperlink 6 2 3" xfId="4453"/>
    <cellStyle name="Hyperlink 6 3" xfId="4454"/>
    <cellStyle name="Hyperlink 6 4" xfId="4455"/>
    <cellStyle name="Hyperlink 7" xfId="4456"/>
    <cellStyle name="Hyperlink 7 2" xfId="4457"/>
    <cellStyle name="Hyperlink 7 3" xfId="4458"/>
    <cellStyle name="Hyperlink 7 4" xfId="4459"/>
    <cellStyle name="Hyperlink 8" xfId="4460"/>
    <cellStyle name="Hyperlink 8 2" xfId="4461"/>
    <cellStyle name="Hyperlink 8 3" xfId="4462"/>
    <cellStyle name="Hyperlink 9" xfId="4463"/>
    <cellStyle name="Input 2" xfId="4464"/>
    <cellStyle name="Input 2 10" xfId="4465"/>
    <cellStyle name="Input 2 11" xfId="4466"/>
    <cellStyle name="Input 2 2" xfId="4467"/>
    <cellStyle name="Input 2 2 2" xfId="4468"/>
    <cellStyle name="Input 2 2 2 2" xfId="4469"/>
    <cellStyle name="Input 2 2 2 2 2" xfId="4470"/>
    <cellStyle name="Input 2 2 2 3" xfId="4471"/>
    <cellStyle name="Input 2 2 2 4" xfId="4472"/>
    <cellStyle name="Input 2 2 2 5" xfId="4473"/>
    <cellStyle name="Input 2 2 3" xfId="4474"/>
    <cellStyle name="Input 2 2 3 2" xfId="4475"/>
    <cellStyle name="Input 2 2 4" xfId="4476"/>
    <cellStyle name="Input 2 2 5" xfId="4477"/>
    <cellStyle name="Input 2 2 6" xfId="4478"/>
    <cellStyle name="Input 2 3" xfId="4479"/>
    <cellStyle name="Input 2 3 2" xfId="4480"/>
    <cellStyle name="Input 2 3 2 2" xfId="4481"/>
    <cellStyle name="Input 2 3 2 3" xfId="4482"/>
    <cellStyle name="Input 2 3 2 4" xfId="4483"/>
    <cellStyle name="Input 2 3 3" xfId="4484"/>
    <cellStyle name="Input 2 3 3 2" xfId="4485"/>
    <cellStyle name="Input 2 3 3 3" xfId="4486"/>
    <cellStyle name="Input 2 3 4" xfId="4487"/>
    <cellStyle name="Input 2 3 5" xfId="4488"/>
    <cellStyle name="Input 2 3 6" xfId="4489"/>
    <cellStyle name="Input 2 4" xfId="4490"/>
    <cellStyle name="Input 2 4 2" xfId="4491"/>
    <cellStyle name="Input 2 4 2 2" xfId="4492"/>
    <cellStyle name="Input 2 4 2 3" xfId="4493"/>
    <cellStyle name="Input 2 4 2 4" xfId="4494"/>
    <cellStyle name="Input 2 4 3" xfId="4495"/>
    <cellStyle name="Input 2 4 3 2" xfId="4496"/>
    <cellStyle name="Input 2 4 3 3" xfId="4497"/>
    <cellStyle name="Input 2 4 4" xfId="4498"/>
    <cellStyle name="Input 2 4 5" xfId="4499"/>
    <cellStyle name="Input 2 4 6" xfId="4500"/>
    <cellStyle name="Input 2 5" xfId="4501"/>
    <cellStyle name="Input 2 5 2" xfId="4502"/>
    <cellStyle name="Input 2 5 2 2" xfId="4503"/>
    <cellStyle name="Input 2 5 2 3" xfId="4504"/>
    <cellStyle name="Input 2 5 2 4" xfId="4505"/>
    <cellStyle name="Input 2 5 3" xfId="4506"/>
    <cellStyle name="Input 2 5 3 2" xfId="4507"/>
    <cellStyle name="Input 2 5 3 3" xfId="4508"/>
    <cellStyle name="Input 2 5 4" xfId="4509"/>
    <cellStyle name="Input 2 5 5" xfId="4510"/>
    <cellStyle name="Input 2 5 6" xfId="4511"/>
    <cellStyle name="Input 2 6" xfId="4512"/>
    <cellStyle name="Input 2 6 2" xfId="4513"/>
    <cellStyle name="Input 2 6 3" xfId="4514"/>
    <cellStyle name="Input 2 6 4" xfId="4515"/>
    <cellStyle name="Input 2 7" xfId="4516"/>
    <cellStyle name="Input 2 7 2" xfId="4517"/>
    <cellStyle name="Input 2 7 3" xfId="4518"/>
    <cellStyle name="Input 2 7 4" xfId="4519"/>
    <cellStyle name="Input 2 7 5" xfId="4520"/>
    <cellStyle name="Input 2 8" xfId="4521"/>
    <cellStyle name="Input 2 9" xfId="4522"/>
    <cellStyle name="Input 3" xfId="4523"/>
    <cellStyle name="Input 3 2" xfId="4524"/>
    <cellStyle name="Input 3 2 2" xfId="4525"/>
    <cellStyle name="Input 3 2 2 2" xfId="4526"/>
    <cellStyle name="Input 3 2 2 2 2" xfId="4527"/>
    <cellStyle name="Input 3 2 2 3" xfId="4528"/>
    <cellStyle name="Input 3 2 3" xfId="4529"/>
    <cellStyle name="Input 3 3" xfId="4530"/>
    <cellStyle name="Input 4" xfId="4531"/>
    <cellStyle name="Input 4 2" xfId="4532"/>
    <cellStyle name="Input 4 2 2" xfId="4533"/>
    <cellStyle name="Input 4 3" xfId="4534"/>
    <cellStyle name="Input 5" xfId="4535"/>
    <cellStyle name="Input 6" xfId="4536"/>
    <cellStyle name="Linked Cell 2" xfId="4537"/>
    <cellStyle name="Linked Cell 2 2" xfId="4538"/>
    <cellStyle name="Linked Cell 2 2 2" xfId="4539"/>
    <cellStyle name="Linked Cell 2 2 2 2" xfId="4540"/>
    <cellStyle name="Linked Cell 2 2 2 3" xfId="4541"/>
    <cellStyle name="Linked Cell 2 2 2 4" xfId="4542"/>
    <cellStyle name="Linked Cell 2 2 3" xfId="4543"/>
    <cellStyle name="Linked Cell 2 2 4" xfId="4544"/>
    <cellStyle name="Linked Cell 2 2 5" xfId="4545"/>
    <cellStyle name="Linked Cell 2 3" xfId="4546"/>
    <cellStyle name="Linked Cell 2 3 2" xfId="4547"/>
    <cellStyle name="Linked Cell 2 3 2 2" xfId="4548"/>
    <cellStyle name="Linked Cell 2 3 2 3" xfId="4549"/>
    <cellStyle name="Linked Cell 2 3 2 4" xfId="4550"/>
    <cellStyle name="Linked Cell 2 3 3" xfId="4551"/>
    <cellStyle name="Linked Cell 2 3 3 2" xfId="4552"/>
    <cellStyle name="Linked Cell 2 3 3 3" xfId="4553"/>
    <cellStyle name="Linked Cell 2 3 4" xfId="4554"/>
    <cellStyle name="Linked Cell 2 3 5" xfId="4555"/>
    <cellStyle name="Linked Cell 2 3 6" xfId="4556"/>
    <cellStyle name="Linked Cell 2 4" xfId="4557"/>
    <cellStyle name="Linked Cell 2 4 2" xfId="4558"/>
    <cellStyle name="Linked Cell 2 4 3" xfId="4559"/>
    <cellStyle name="Linked Cell 2 5" xfId="4560"/>
    <cellStyle name="Linked Cell 2 6" xfId="4561"/>
    <cellStyle name="Linked Cell 2 7" xfId="4562"/>
    <cellStyle name="Linked Cell 2 8" xfId="4563"/>
    <cellStyle name="Linked Cell 3" xfId="4564"/>
    <cellStyle name="Linked Cell 3 2" xfId="4565"/>
    <cellStyle name="Linked Cell 3 2 2" xfId="4566"/>
    <cellStyle name="Linked Cell 3 2 2 2" xfId="4567"/>
    <cellStyle name="Linked Cell 3 2 2 2 2" xfId="4568"/>
    <cellStyle name="Linked Cell 3 2 2 3" xfId="4569"/>
    <cellStyle name="Linked Cell 3 2 3" xfId="4570"/>
    <cellStyle name="Linked Cell 3 3" xfId="4571"/>
    <cellStyle name="Linked Cell 4" xfId="4572"/>
    <cellStyle name="Linked Cell 4 2" xfId="4573"/>
    <cellStyle name="Linked Cell 4 2 2" xfId="4574"/>
    <cellStyle name="Linked Cell 4 3" xfId="4575"/>
    <cellStyle name="Linked Cell 5" xfId="4576"/>
    <cellStyle name="Linked Cell 6" xfId="4577"/>
    <cellStyle name="Neutral 2" xfId="4578"/>
    <cellStyle name="Neutral 2 2" xfId="4579"/>
    <cellStyle name="Neutral 2 2 2" xfId="4580"/>
    <cellStyle name="Neutral 2 2 2 2" xfId="4581"/>
    <cellStyle name="Neutral 2 2 2 2 2" xfId="4582"/>
    <cellStyle name="Neutral 2 2 2 3" xfId="4583"/>
    <cellStyle name="Neutral 2 2 2 4" xfId="4584"/>
    <cellStyle name="Neutral 2 2 2 5" xfId="4585"/>
    <cellStyle name="Neutral 2 2 3" xfId="4586"/>
    <cellStyle name="Neutral 2 2 4" xfId="4587"/>
    <cellStyle name="Neutral 2 2 5" xfId="4588"/>
    <cellStyle name="Neutral 2 2 6" xfId="4589"/>
    <cellStyle name="Neutral 2 3" xfId="4590"/>
    <cellStyle name="Neutral 2 3 2" xfId="4591"/>
    <cellStyle name="Neutral 2 3 2 2" xfId="4592"/>
    <cellStyle name="Neutral 2 3 2 3" xfId="4593"/>
    <cellStyle name="Neutral 2 3 2 4" xfId="4594"/>
    <cellStyle name="Neutral 2 3 3" xfId="4595"/>
    <cellStyle name="Neutral 2 3 3 2" xfId="4596"/>
    <cellStyle name="Neutral 2 3 3 3" xfId="4597"/>
    <cellStyle name="Neutral 2 3 4" xfId="4598"/>
    <cellStyle name="Neutral 2 3 5" xfId="4599"/>
    <cellStyle name="Neutral 2 3 6" xfId="4600"/>
    <cellStyle name="Neutral 2 4" xfId="4601"/>
    <cellStyle name="Neutral 2 4 2" xfId="4602"/>
    <cellStyle name="Neutral 2 4 3" xfId="4603"/>
    <cellStyle name="Neutral 2 5" xfId="4604"/>
    <cellStyle name="Neutral 2 6" xfId="4605"/>
    <cellStyle name="Neutral 2 7" xfId="4606"/>
    <cellStyle name="Neutral 2 8" xfId="4607"/>
    <cellStyle name="Neutral 3" xfId="4608"/>
    <cellStyle name="Neutral 3 2" xfId="4609"/>
    <cellStyle name="Neutral 3 2 2" xfId="4610"/>
    <cellStyle name="Neutral 3 2 2 2" xfId="4611"/>
    <cellStyle name="Neutral 3 2 2 2 2" xfId="4612"/>
    <cellStyle name="Neutral 3 2 2 3" xfId="4613"/>
    <cellStyle name="Neutral 3 2 3" xfId="4614"/>
    <cellStyle name="Neutral 3 3" xfId="4615"/>
    <cellStyle name="Neutral 4" xfId="4616"/>
    <cellStyle name="Neutral 4 2" xfId="4617"/>
    <cellStyle name="Neutral 4 2 2" xfId="4618"/>
    <cellStyle name="Neutral 4 3" xfId="4619"/>
    <cellStyle name="Neutral 5" xfId="4620"/>
    <cellStyle name="Neutral 6" xfId="4621"/>
    <cellStyle name="Normal" xfId="0" builtinId="0"/>
    <cellStyle name="Normal 10" xfId="4622"/>
    <cellStyle name="Normal 10 10" xfId="4623"/>
    <cellStyle name="Normal 10 11" xfId="4624"/>
    <cellStyle name="Normal 10 12" xfId="4625"/>
    <cellStyle name="Normal 10 12 2" xfId="4626"/>
    <cellStyle name="Normal 10 12 2 2" xfId="4627"/>
    <cellStyle name="Normal 10 12 3" xfId="4628"/>
    <cellStyle name="Normal 10 12 3 2" xfId="4629"/>
    <cellStyle name="Normal 10 12 4" xfId="4630"/>
    <cellStyle name="Normal 10 13" xfId="4631"/>
    <cellStyle name="Normal 10 13 2" xfId="4632"/>
    <cellStyle name="Normal 10 14" xfId="4633"/>
    <cellStyle name="Normal 10 14 2" xfId="4634"/>
    <cellStyle name="Normal 10 15" xfId="4635"/>
    <cellStyle name="Normal 10 2" xfId="4636"/>
    <cellStyle name="Normal 10 2 10" xfId="4637"/>
    <cellStyle name="Normal 10 2 2" xfId="4638"/>
    <cellStyle name="Normal 10 2 2 2" xfId="4639"/>
    <cellStyle name="Normal 10 2 2 3" xfId="4640"/>
    <cellStyle name="Normal 10 2 2 4" xfId="4641"/>
    <cellStyle name="Normal 10 2 2 4 2" xfId="4642"/>
    <cellStyle name="Normal 10 2 2 4 2 2" xfId="4643"/>
    <cellStyle name="Normal 10 2 2 4 2 2 2" xfId="4644"/>
    <cellStyle name="Normal 10 2 2 4 2 3" xfId="4645"/>
    <cellStyle name="Normal 10 2 2 4 2 3 2" xfId="4646"/>
    <cellStyle name="Normal 10 2 2 4 2 4" xfId="4647"/>
    <cellStyle name="Normal 10 2 2 4 3" xfId="4648"/>
    <cellStyle name="Normal 10 2 2 4 3 2" xfId="4649"/>
    <cellStyle name="Normal 10 2 2 4 4" xfId="4650"/>
    <cellStyle name="Normal 10 2 2 4 4 2" xfId="4651"/>
    <cellStyle name="Normal 10 2 2 4 5" xfId="4652"/>
    <cellStyle name="Normal 10 2 2 5" xfId="4653"/>
    <cellStyle name="Normal 10 2 2 5 2" xfId="4654"/>
    <cellStyle name="Normal 10 2 2 5 2 2" xfId="4655"/>
    <cellStyle name="Normal 10 2 2 5 2 2 2" xfId="4656"/>
    <cellStyle name="Normal 10 2 2 5 2 3" xfId="4657"/>
    <cellStyle name="Normal 10 2 2 5 2 3 2" xfId="4658"/>
    <cellStyle name="Normal 10 2 2 5 2 4" xfId="4659"/>
    <cellStyle name="Normal 10 2 2 5 3" xfId="4660"/>
    <cellStyle name="Normal 10 2 2 5 3 2" xfId="4661"/>
    <cellStyle name="Normal 10 2 2 5 3 2 2" xfId="4662"/>
    <cellStyle name="Normal 10 2 2 5 3 3" xfId="4663"/>
    <cellStyle name="Normal 10 2 2 5 3 3 2" xfId="4664"/>
    <cellStyle name="Normal 10 2 2 5 3 4" xfId="4665"/>
    <cellStyle name="Normal 10 2 2 5 4" xfId="4666"/>
    <cellStyle name="Normal 10 2 2 5 4 2" xfId="4667"/>
    <cellStyle name="Normal 10 2 2 5 5" xfId="4668"/>
    <cellStyle name="Normal 10 2 2 5 5 2" xfId="4669"/>
    <cellStyle name="Normal 10 2 2 5 6" xfId="4670"/>
    <cellStyle name="Normal 10 2 2 6" xfId="4671"/>
    <cellStyle name="Normal 10 2 2 6 2" xfId="4672"/>
    <cellStyle name="Normal 10 2 2 6 2 2" xfId="4673"/>
    <cellStyle name="Normal 10 2 2 6 3" xfId="4674"/>
    <cellStyle name="Normal 10 2 2 6 3 2" xfId="4675"/>
    <cellStyle name="Normal 10 2 2 6 4" xfId="4676"/>
    <cellStyle name="Normal 10 2 2 7" xfId="4677"/>
    <cellStyle name="Normal 10 2 2 7 2" xfId="4678"/>
    <cellStyle name="Normal 10 2 2 8" xfId="4679"/>
    <cellStyle name="Normal 10 2 2 8 2" xfId="4680"/>
    <cellStyle name="Normal 10 2 2 9" xfId="4681"/>
    <cellStyle name="Normal 10 2 3" xfId="4682"/>
    <cellStyle name="Normal 10 2 3 2" xfId="4683"/>
    <cellStyle name="Normal 10 2 3 2 2" xfId="4684"/>
    <cellStyle name="Normal 10 2 3 2 2 2" xfId="4685"/>
    <cellStyle name="Normal 10 2 3 2 2 2 2" xfId="4686"/>
    <cellStyle name="Normal 10 2 3 2 2 3" xfId="4687"/>
    <cellStyle name="Normal 10 2 3 2 2 3 2" xfId="4688"/>
    <cellStyle name="Normal 10 2 3 2 2 4" xfId="4689"/>
    <cellStyle name="Normal 10 2 3 2 3" xfId="4690"/>
    <cellStyle name="Normal 10 2 3 2 3 2" xfId="4691"/>
    <cellStyle name="Normal 10 2 3 2 4" xfId="4692"/>
    <cellStyle name="Normal 10 2 3 2 4 2" xfId="4693"/>
    <cellStyle name="Normal 10 2 3 2 5" xfId="4694"/>
    <cellStyle name="Normal 10 2 3 3" xfId="4695"/>
    <cellStyle name="Normal 10 2 3 3 2" xfId="4696"/>
    <cellStyle name="Normal 10 2 3 3 2 2" xfId="4697"/>
    <cellStyle name="Normal 10 2 3 3 2 2 2" xfId="4698"/>
    <cellStyle name="Normal 10 2 3 3 2 3" xfId="4699"/>
    <cellStyle name="Normal 10 2 3 3 2 3 2" xfId="4700"/>
    <cellStyle name="Normal 10 2 3 3 2 4" xfId="4701"/>
    <cellStyle name="Normal 10 2 3 3 3" xfId="4702"/>
    <cellStyle name="Normal 10 2 3 3 3 2" xfId="4703"/>
    <cellStyle name="Normal 10 2 3 3 3 2 2" xfId="4704"/>
    <cellStyle name="Normal 10 2 3 3 3 3" xfId="4705"/>
    <cellStyle name="Normal 10 2 3 3 3 3 2" xfId="4706"/>
    <cellStyle name="Normal 10 2 3 3 3 4" xfId="4707"/>
    <cellStyle name="Normal 10 2 3 3 4" xfId="4708"/>
    <cellStyle name="Normal 10 2 3 3 4 2" xfId="4709"/>
    <cellStyle name="Normal 10 2 3 3 5" xfId="4710"/>
    <cellStyle name="Normal 10 2 3 3 5 2" xfId="4711"/>
    <cellStyle name="Normal 10 2 3 3 6" xfId="4712"/>
    <cellStyle name="Normal 10 2 3 4" xfId="4713"/>
    <cellStyle name="Normal 10 2 3 4 2" xfId="4714"/>
    <cellStyle name="Normal 10 2 3 4 2 2" xfId="4715"/>
    <cellStyle name="Normal 10 2 3 4 3" xfId="4716"/>
    <cellStyle name="Normal 10 2 3 4 3 2" xfId="4717"/>
    <cellStyle name="Normal 10 2 3 4 4" xfId="4718"/>
    <cellStyle name="Normal 10 2 3 5" xfId="4719"/>
    <cellStyle name="Normal 10 2 3 5 2" xfId="4720"/>
    <cellStyle name="Normal 10 2 3 6" xfId="4721"/>
    <cellStyle name="Normal 10 2 3 6 2" xfId="4722"/>
    <cellStyle name="Normal 10 2 3 7" xfId="4723"/>
    <cellStyle name="Normal 10 2 4" xfId="4724"/>
    <cellStyle name="Normal 10 2 4 2" xfId="4725"/>
    <cellStyle name="Normal 10 2 4 2 2" xfId="4726"/>
    <cellStyle name="Normal 10 2 4 2 2 2" xfId="4727"/>
    <cellStyle name="Normal 10 2 4 2 2 2 2" xfId="4728"/>
    <cellStyle name="Normal 10 2 4 2 2 3" xfId="4729"/>
    <cellStyle name="Normal 10 2 4 2 2 3 2" xfId="4730"/>
    <cellStyle name="Normal 10 2 4 2 2 4" xfId="4731"/>
    <cellStyle name="Normal 10 2 4 2 3" xfId="4732"/>
    <cellStyle name="Normal 10 2 4 2 3 2" xfId="4733"/>
    <cellStyle name="Normal 10 2 4 2 4" xfId="4734"/>
    <cellStyle name="Normal 10 2 4 2 4 2" xfId="4735"/>
    <cellStyle name="Normal 10 2 4 2 5" xfId="4736"/>
    <cellStyle name="Normal 10 2 4 3" xfId="4737"/>
    <cellStyle name="Normal 10 2 4 3 2" xfId="4738"/>
    <cellStyle name="Normal 10 2 4 3 2 2" xfId="4739"/>
    <cellStyle name="Normal 10 2 4 3 2 2 2" xfId="4740"/>
    <cellStyle name="Normal 10 2 4 3 2 3" xfId="4741"/>
    <cellStyle name="Normal 10 2 4 3 2 3 2" xfId="4742"/>
    <cellStyle name="Normal 10 2 4 3 2 4" xfId="4743"/>
    <cellStyle name="Normal 10 2 4 3 3" xfId="4744"/>
    <cellStyle name="Normal 10 2 4 3 3 2" xfId="4745"/>
    <cellStyle name="Normal 10 2 4 3 3 2 2" xfId="4746"/>
    <cellStyle name="Normal 10 2 4 3 3 3" xfId="4747"/>
    <cellStyle name="Normal 10 2 4 3 3 3 2" xfId="4748"/>
    <cellStyle name="Normal 10 2 4 3 3 4" xfId="4749"/>
    <cellStyle name="Normal 10 2 4 3 4" xfId="4750"/>
    <cellStyle name="Normal 10 2 4 3 4 2" xfId="4751"/>
    <cellStyle name="Normal 10 2 4 3 5" xfId="4752"/>
    <cellStyle name="Normal 10 2 4 3 5 2" xfId="4753"/>
    <cellStyle name="Normal 10 2 4 3 6" xfId="4754"/>
    <cellStyle name="Normal 10 2 4 4" xfId="4755"/>
    <cellStyle name="Normal 10 2 4 4 2" xfId="4756"/>
    <cellStyle name="Normal 10 2 4 4 2 2" xfId="4757"/>
    <cellStyle name="Normal 10 2 4 4 3" xfId="4758"/>
    <cellStyle name="Normal 10 2 4 4 3 2" xfId="4759"/>
    <cellStyle name="Normal 10 2 4 4 4" xfId="4760"/>
    <cellStyle name="Normal 10 2 4 5" xfId="4761"/>
    <cellStyle name="Normal 10 2 4 5 2" xfId="4762"/>
    <cellStyle name="Normal 10 2 4 6" xfId="4763"/>
    <cellStyle name="Normal 10 2 4 6 2" xfId="4764"/>
    <cellStyle name="Normal 10 2 4 7" xfId="4765"/>
    <cellStyle name="Normal 10 2 5" xfId="4766"/>
    <cellStyle name="Normal 10 2 5 2" xfId="4767"/>
    <cellStyle name="Normal 10 2 5 2 2" xfId="4768"/>
    <cellStyle name="Normal 10 2 5 2 2 2" xfId="4769"/>
    <cellStyle name="Normal 10 2 5 2 2 2 2" xfId="4770"/>
    <cellStyle name="Normal 10 2 5 2 2 3" xfId="4771"/>
    <cellStyle name="Normal 10 2 5 2 2 3 2" xfId="4772"/>
    <cellStyle name="Normal 10 2 5 2 2 4" xfId="4773"/>
    <cellStyle name="Normal 10 2 5 2 3" xfId="4774"/>
    <cellStyle name="Normal 10 2 5 2 3 2" xfId="4775"/>
    <cellStyle name="Normal 10 2 5 2 4" xfId="4776"/>
    <cellStyle name="Normal 10 2 5 2 4 2" xfId="4777"/>
    <cellStyle name="Normal 10 2 5 2 5" xfId="4778"/>
    <cellStyle name="Normal 10 2 5 3" xfId="4779"/>
    <cellStyle name="Normal 10 2 5 3 2" xfId="4780"/>
    <cellStyle name="Normal 10 2 5 3 2 2" xfId="4781"/>
    <cellStyle name="Normal 10 2 5 3 2 2 2" xfId="4782"/>
    <cellStyle name="Normal 10 2 5 3 2 3" xfId="4783"/>
    <cellStyle name="Normal 10 2 5 3 2 3 2" xfId="4784"/>
    <cellStyle name="Normal 10 2 5 3 2 4" xfId="4785"/>
    <cellStyle name="Normal 10 2 5 3 3" xfId="4786"/>
    <cellStyle name="Normal 10 2 5 3 3 2" xfId="4787"/>
    <cellStyle name="Normal 10 2 5 3 3 2 2" xfId="4788"/>
    <cellStyle name="Normal 10 2 5 3 3 3" xfId="4789"/>
    <cellStyle name="Normal 10 2 5 3 3 3 2" xfId="4790"/>
    <cellStyle name="Normal 10 2 5 3 3 4" xfId="4791"/>
    <cellStyle name="Normal 10 2 5 3 4" xfId="4792"/>
    <cellStyle name="Normal 10 2 5 3 4 2" xfId="4793"/>
    <cellStyle name="Normal 10 2 5 3 5" xfId="4794"/>
    <cellStyle name="Normal 10 2 5 3 5 2" xfId="4795"/>
    <cellStyle name="Normal 10 2 5 3 6" xfId="4796"/>
    <cellStyle name="Normal 10 2 5 4" xfId="4797"/>
    <cellStyle name="Normal 10 2 5 4 2" xfId="4798"/>
    <cellStyle name="Normal 10 2 5 4 2 2" xfId="4799"/>
    <cellStyle name="Normal 10 2 5 4 3" xfId="4800"/>
    <cellStyle name="Normal 10 2 5 4 3 2" xfId="4801"/>
    <cellStyle name="Normal 10 2 5 4 4" xfId="4802"/>
    <cellStyle name="Normal 10 2 5 5" xfId="4803"/>
    <cellStyle name="Normal 10 2 5 5 2" xfId="4804"/>
    <cellStyle name="Normal 10 2 5 6" xfId="4805"/>
    <cellStyle name="Normal 10 2 5 6 2" xfId="4806"/>
    <cellStyle name="Normal 10 2 5 7" xfId="4807"/>
    <cellStyle name="Normal 10 2 6" xfId="4808"/>
    <cellStyle name="Normal 10 2 6 2" xfId="4809"/>
    <cellStyle name="Normal 10 2 6 2 2" xfId="4810"/>
    <cellStyle name="Normal 10 2 6 2 2 2" xfId="4811"/>
    <cellStyle name="Normal 10 2 6 2 3" xfId="4812"/>
    <cellStyle name="Normal 10 2 6 2 3 2" xfId="4813"/>
    <cellStyle name="Normal 10 2 6 2 4" xfId="4814"/>
    <cellStyle name="Normal 10 2 6 3" xfId="4815"/>
    <cellStyle name="Normal 10 2 6 3 2" xfId="4816"/>
    <cellStyle name="Normal 10 2 6 4" xfId="4817"/>
    <cellStyle name="Normal 10 2 6 4 2" xfId="4818"/>
    <cellStyle name="Normal 10 2 6 5" xfId="4819"/>
    <cellStyle name="Normal 10 2 7" xfId="4820"/>
    <cellStyle name="Normal 10 2 7 2" xfId="4821"/>
    <cellStyle name="Normal 10 2 7 2 2" xfId="4822"/>
    <cellStyle name="Normal 10 2 7 3" xfId="4823"/>
    <cellStyle name="Normal 10 2 7 3 2" xfId="4824"/>
    <cellStyle name="Normal 10 2 7 4" xfId="4825"/>
    <cellStyle name="Normal 10 2 8" xfId="4826"/>
    <cellStyle name="Normal 10 2 8 2" xfId="4827"/>
    <cellStyle name="Normal 10 2 9" xfId="4828"/>
    <cellStyle name="Normal 10 2 9 2" xfId="4829"/>
    <cellStyle name="Normal 10 3" xfId="4830"/>
    <cellStyle name="Normal 10 3 10" xfId="4831"/>
    <cellStyle name="Normal 10 3 2" xfId="4832"/>
    <cellStyle name="Normal 10 3 2 2" xfId="4833"/>
    <cellStyle name="Normal 10 3 2 2 2" xfId="4834"/>
    <cellStyle name="Normal 10 3 2 2 2 2" xfId="4835"/>
    <cellStyle name="Normal 10 3 2 2 2 2 2" xfId="4836"/>
    <cellStyle name="Normal 10 3 2 2 2 3" xfId="4837"/>
    <cellStyle name="Normal 10 3 2 2 2 3 2" xfId="4838"/>
    <cellStyle name="Normal 10 3 2 2 2 4" xfId="4839"/>
    <cellStyle name="Normal 10 3 2 2 3" xfId="4840"/>
    <cellStyle name="Normal 10 3 2 2 3 2" xfId="4841"/>
    <cellStyle name="Normal 10 3 2 2 4" xfId="4842"/>
    <cellStyle name="Normal 10 3 2 2 4 2" xfId="4843"/>
    <cellStyle name="Normal 10 3 2 2 5" xfId="4844"/>
    <cellStyle name="Normal 10 3 2 3" xfId="4845"/>
    <cellStyle name="Normal 10 3 2 3 2" xfId="4846"/>
    <cellStyle name="Normal 10 3 2 3 2 2" xfId="4847"/>
    <cellStyle name="Normal 10 3 2 3 2 2 2" xfId="4848"/>
    <cellStyle name="Normal 10 3 2 3 2 3" xfId="4849"/>
    <cellStyle name="Normal 10 3 2 3 2 3 2" xfId="4850"/>
    <cellStyle name="Normal 10 3 2 3 2 4" xfId="4851"/>
    <cellStyle name="Normal 10 3 2 3 3" xfId="4852"/>
    <cellStyle name="Normal 10 3 2 3 3 2" xfId="4853"/>
    <cellStyle name="Normal 10 3 2 3 3 2 2" xfId="4854"/>
    <cellStyle name="Normal 10 3 2 3 3 3" xfId="4855"/>
    <cellStyle name="Normal 10 3 2 3 3 3 2" xfId="4856"/>
    <cellStyle name="Normal 10 3 2 3 3 4" xfId="4857"/>
    <cellStyle name="Normal 10 3 2 3 4" xfId="4858"/>
    <cellStyle name="Normal 10 3 2 3 4 2" xfId="4859"/>
    <cellStyle name="Normal 10 3 2 3 5" xfId="4860"/>
    <cellStyle name="Normal 10 3 2 3 5 2" xfId="4861"/>
    <cellStyle name="Normal 10 3 2 3 6" xfId="4862"/>
    <cellStyle name="Normal 10 3 2 4" xfId="4863"/>
    <cellStyle name="Normal 10 3 2 4 2" xfId="4864"/>
    <cellStyle name="Normal 10 3 2 4 2 2" xfId="4865"/>
    <cellStyle name="Normal 10 3 2 4 3" xfId="4866"/>
    <cellStyle name="Normal 10 3 2 4 3 2" xfId="4867"/>
    <cellStyle name="Normal 10 3 2 4 4" xfId="4868"/>
    <cellStyle name="Normal 10 3 2 5" xfId="4869"/>
    <cellStyle name="Normal 10 3 2 5 2" xfId="4870"/>
    <cellStyle name="Normal 10 3 2 6" xfId="4871"/>
    <cellStyle name="Normal 10 3 2 6 2" xfId="4872"/>
    <cellStyle name="Normal 10 3 2 7" xfId="4873"/>
    <cellStyle name="Normal 10 3 3" xfId="4874"/>
    <cellStyle name="Normal 10 3 3 2" xfId="4875"/>
    <cellStyle name="Normal 10 3 3 2 2" xfId="4876"/>
    <cellStyle name="Normal 10 3 3 2 2 2" xfId="4877"/>
    <cellStyle name="Normal 10 3 3 2 2 2 2" xfId="4878"/>
    <cellStyle name="Normal 10 3 3 2 2 3" xfId="4879"/>
    <cellStyle name="Normal 10 3 3 2 2 3 2" xfId="4880"/>
    <cellStyle name="Normal 10 3 3 2 2 4" xfId="4881"/>
    <cellStyle name="Normal 10 3 3 2 3" xfId="4882"/>
    <cellStyle name="Normal 10 3 3 2 3 2" xfId="4883"/>
    <cellStyle name="Normal 10 3 3 2 4" xfId="4884"/>
    <cellStyle name="Normal 10 3 3 2 4 2" xfId="4885"/>
    <cellStyle name="Normal 10 3 3 2 5" xfId="4886"/>
    <cellStyle name="Normal 10 3 3 3" xfId="4887"/>
    <cellStyle name="Normal 10 3 3 3 2" xfId="4888"/>
    <cellStyle name="Normal 10 3 3 3 2 2" xfId="4889"/>
    <cellStyle name="Normal 10 3 3 3 2 2 2" xfId="4890"/>
    <cellStyle name="Normal 10 3 3 3 2 3" xfId="4891"/>
    <cellStyle name="Normal 10 3 3 3 2 3 2" xfId="4892"/>
    <cellStyle name="Normal 10 3 3 3 2 4" xfId="4893"/>
    <cellStyle name="Normal 10 3 3 3 3" xfId="4894"/>
    <cellStyle name="Normal 10 3 3 3 3 2" xfId="4895"/>
    <cellStyle name="Normal 10 3 3 3 3 2 2" xfId="4896"/>
    <cellStyle name="Normal 10 3 3 3 3 3" xfId="4897"/>
    <cellStyle name="Normal 10 3 3 3 3 3 2" xfId="4898"/>
    <cellStyle name="Normal 10 3 3 3 3 4" xfId="4899"/>
    <cellStyle name="Normal 10 3 3 3 4" xfId="4900"/>
    <cellStyle name="Normal 10 3 3 3 4 2" xfId="4901"/>
    <cellStyle name="Normal 10 3 3 3 5" xfId="4902"/>
    <cellStyle name="Normal 10 3 3 3 5 2" xfId="4903"/>
    <cellStyle name="Normal 10 3 3 3 6" xfId="4904"/>
    <cellStyle name="Normal 10 3 3 4" xfId="4905"/>
    <cellStyle name="Normal 10 3 3 4 2" xfId="4906"/>
    <cellStyle name="Normal 10 3 3 4 2 2" xfId="4907"/>
    <cellStyle name="Normal 10 3 3 4 3" xfId="4908"/>
    <cellStyle name="Normal 10 3 3 4 3 2" xfId="4909"/>
    <cellStyle name="Normal 10 3 3 4 4" xfId="4910"/>
    <cellStyle name="Normal 10 3 3 5" xfId="4911"/>
    <cellStyle name="Normal 10 3 3 5 2" xfId="4912"/>
    <cellStyle name="Normal 10 3 3 6" xfId="4913"/>
    <cellStyle name="Normal 10 3 3 6 2" xfId="4914"/>
    <cellStyle name="Normal 10 3 3 7" xfId="4915"/>
    <cellStyle name="Normal 10 3 4" xfId="4916"/>
    <cellStyle name="Normal 10 3 4 2" xfId="4917"/>
    <cellStyle name="Normal 10 3 4 2 2" xfId="4918"/>
    <cellStyle name="Normal 10 3 4 2 2 2" xfId="4919"/>
    <cellStyle name="Normal 10 3 4 2 2 2 2" xfId="4920"/>
    <cellStyle name="Normal 10 3 4 2 2 3" xfId="4921"/>
    <cellStyle name="Normal 10 3 4 2 2 3 2" xfId="4922"/>
    <cellStyle name="Normal 10 3 4 2 2 4" xfId="4923"/>
    <cellStyle name="Normal 10 3 4 2 3" xfId="4924"/>
    <cellStyle name="Normal 10 3 4 2 3 2" xfId="4925"/>
    <cellStyle name="Normal 10 3 4 2 4" xfId="4926"/>
    <cellStyle name="Normal 10 3 4 2 4 2" xfId="4927"/>
    <cellStyle name="Normal 10 3 4 2 5" xfId="4928"/>
    <cellStyle name="Normal 10 3 4 3" xfId="4929"/>
    <cellStyle name="Normal 10 3 4 3 2" xfId="4930"/>
    <cellStyle name="Normal 10 3 4 3 2 2" xfId="4931"/>
    <cellStyle name="Normal 10 3 4 3 2 2 2" xfId="4932"/>
    <cellStyle name="Normal 10 3 4 3 2 3" xfId="4933"/>
    <cellStyle name="Normal 10 3 4 3 2 3 2" xfId="4934"/>
    <cellStyle name="Normal 10 3 4 3 2 4" xfId="4935"/>
    <cellStyle name="Normal 10 3 4 3 3" xfId="4936"/>
    <cellStyle name="Normal 10 3 4 3 3 2" xfId="4937"/>
    <cellStyle name="Normal 10 3 4 3 3 2 2" xfId="4938"/>
    <cellStyle name="Normal 10 3 4 3 3 3" xfId="4939"/>
    <cellStyle name="Normal 10 3 4 3 3 3 2" xfId="4940"/>
    <cellStyle name="Normal 10 3 4 3 3 4" xfId="4941"/>
    <cellStyle name="Normal 10 3 4 3 4" xfId="4942"/>
    <cellStyle name="Normal 10 3 4 3 4 2" xfId="4943"/>
    <cellStyle name="Normal 10 3 4 3 5" xfId="4944"/>
    <cellStyle name="Normal 10 3 4 3 5 2" xfId="4945"/>
    <cellStyle name="Normal 10 3 4 3 6" xfId="4946"/>
    <cellStyle name="Normal 10 3 4 4" xfId="4947"/>
    <cellStyle name="Normal 10 3 4 4 2" xfId="4948"/>
    <cellStyle name="Normal 10 3 4 4 2 2" xfId="4949"/>
    <cellStyle name="Normal 10 3 4 4 3" xfId="4950"/>
    <cellStyle name="Normal 10 3 4 4 3 2" xfId="4951"/>
    <cellStyle name="Normal 10 3 4 4 4" xfId="4952"/>
    <cellStyle name="Normal 10 3 4 5" xfId="4953"/>
    <cellStyle name="Normal 10 3 4 5 2" xfId="4954"/>
    <cellStyle name="Normal 10 3 4 6" xfId="4955"/>
    <cellStyle name="Normal 10 3 4 6 2" xfId="4956"/>
    <cellStyle name="Normal 10 3 4 7" xfId="4957"/>
    <cellStyle name="Normal 10 3 5" xfId="4958"/>
    <cellStyle name="Normal 10 3 5 2" xfId="4959"/>
    <cellStyle name="Normal 10 3 5 2 2" xfId="4960"/>
    <cellStyle name="Normal 10 3 5 2 2 2" xfId="4961"/>
    <cellStyle name="Normal 10 3 5 2 2 2 2" xfId="4962"/>
    <cellStyle name="Normal 10 3 5 2 2 3" xfId="4963"/>
    <cellStyle name="Normal 10 3 5 2 2 3 2" xfId="4964"/>
    <cellStyle name="Normal 10 3 5 2 2 4" xfId="4965"/>
    <cellStyle name="Normal 10 3 5 2 3" xfId="4966"/>
    <cellStyle name="Normal 10 3 5 2 3 2" xfId="4967"/>
    <cellStyle name="Normal 10 3 5 2 4" xfId="4968"/>
    <cellStyle name="Normal 10 3 5 2 4 2" xfId="4969"/>
    <cellStyle name="Normal 10 3 5 2 5" xfId="4970"/>
    <cellStyle name="Normal 10 3 5 3" xfId="4971"/>
    <cellStyle name="Normal 10 3 5 3 2" xfId="4972"/>
    <cellStyle name="Normal 10 3 5 3 2 2" xfId="4973"/>
    <cellStyle name="Normal 10 3 5 3 2 2 2" xfId="4974"/>
    <cellStyle name="Normal 10 3 5 3 2 3" xfId="4975"/>
    <cellStyle name="Normal 10 3 5 3 2 3 2" xfId="4976"/>
    <cellStyle name="Normal 10 3 5 3 2 4" xfId="4977"/>
    <cellStyle name="Normal 10 3 5 3 3" xfId="4978"/>
    <cellStyle name="Normal 10 3 5 3 3 2" xfId="4979"/>
    <cellStyle name="Normal 10 3 5 3 3 2 2" xfId="4980"/>
    <cellStyle name="Normal 10 3 5 3 3 3" xfId="4981"/>
    <cellStyle name="Normal 10 3 5 3 3 3 2" xfId="4982"/>
    <cellStyle name="Normal 10 3 5 3 3 4" xfId="4983"/>
    <cellStyle name="Normal 10 3 5 3 4" xfId="4984"/>
    <cellStyle name="Normal 10 3 5 3 4 2" xfId="4985"/>
    <cellStyle name="Normal 10 3 5 3 5" xfId="4986"/>
    <cellStyle name="Normal 10 3 5 3 5 2" xfId="4987"/>
    <cellStyle name="Normal 10 3 5 3 6" xfId="4988"/>
    <cellStyle name="Normal 10 3 5 4" xfId="4989"/>
    <cellStyle name="Normal 10 3 5 4 2" xfId="4990"/>
    <cellStyle name="Normal 10 3 5 4 2 2" xfId="4991"/>
    <cellStyle name="Normal 10 3 5 4 3" xfId="4992"/>
    <cellStyle name="Normal 10 3 5 4 3 2" xfId="4993"/>
    <cellStyle name="Normal 10 3 5 4 4" xfId="4994"/>
    <cellStyle name="Normal 10 3 5 5" xfId="4995"/>
    <cellStyle name="Normal 10 3 5 5 2" xfId="4996"/>
    <cellStyle name="Normal 10 3 5 6" xfId="4997"/>
    <cellStyle name="Normal 10 3 5 6 2" xfId="4998"/>
    <cellStyle name="Normal 10 3 5 7" xfId="4999"/>
    <cellStyle name="Normal 10 3 6" xfId="5000"/>
    <cellStyle name="Normal 10 3 6 2" xfId="5001"/>
    <cellStyle name="Normal 10 3 6 2 2" xfId="5002"/>
    <cellStyle name="Normal 10 3 6 2 2 2" xfId="5003"/>
    <cellStyle name="Normal 10 3 6 2 3" xfId="5004"/>
    <cellStyle name="Normal 10 3 6 2 3 2" xfId="5005"/>
    <cellStyle name="Normal 10 3 6 2 4" xfId="5006"/>
    <cellStyle name="Normal 10 3 6 3" xfId="5007"/>
    <cellStyle name="Normal 10 3 6 3 2" xfId="5008"/>
    <cellStyle name="Normal 10 3 6 4" xfId="5009"/>
    <cellStyle name="Normal 10 3 6 4 2" xfId="5010"/>
    <cellStyle name="Normal 10 3 6 5" xfId="5011"/>
    <cellStyle name="Normal 10 3 7" xfId="5012"/>
    <cellStyle name="Normal 10 3 7 2" xfId="5013"/>
    <cellStyle name="Normal 10 3 7 2 2" xfId="5014"/>
    <cellStyle name="Normal 10 3 7 3" xfId="5015"/>
    <cellStyle name="Normal 10 3 7 3 2" xfId="5016"/>
    <cellStyle name="Normal 10 3 7 4" xfId="5017"/>
    <cellStyle name="Normal 10 3 8" xfId="5018"/>
    <cellStyle name="Normal 10 3 8 2" xfId="5019"/>
    <cellStyle name="Normal 10 3 9" xfId="5020"/>
    <cellStyle name="Normal 10 3 9 2" xfId="5021"/>
    <cellStyle name="Normal 10 4" xfId="5022"/>
    <cellStyle name="Normal 10 4 10" xfId="5023"/>
    <cellStyle name="Normal 10 4 2" xfId="5024"/>
    <cellStyle name="Normal 10 4 2 2" xfId="5025"/>
    <cellStyle name="Normal 10 4 2 2 2" xfId="5026"/>
    <cellStyle name="Normal 10 4 2 2 2 2" xfId="5027"/>
    <cellStyle name="Normal 10 4 2 2 2 2 2" xfId="5028"/>
    <cellStyle name="Normal 10 4 2 2 2 3" xfId="5029"/>
    <cellStyle name="Normal 10 4 2 2 2 3 2" xfId="5030"/>
    <cellStyle name="Normal 10 4 2 2 2 4" xfId="5031"/>
    <cellStyle name="Normal 10 4 2 2 3" xfId="5032"/>
    <cellStyle name="Normal 10 4 2 2 3 2" xfId="5033"/>
    <cellStyle name="Normal 10 4 2 2 4" xfId="5034"/>
    <cellStyle name="Normal 10 4 2 2 4 2" xfId="5035"/>
    <cellStyle name="Normal 10 4 2 2 5" xfId="5036"/>
    <cellStyle name="Normal 10 4 2 3" xfId="5037"/>
    <cellStyle name="Normal 10 4 2 3 2" xfId="5038"/>
    <cellStyle name="Normal 10 4 2 3 2 2" xfId="5039"/>
    <cellStyle name="Normal 10 4 2 3 2 2 2" xfId="5040"/>
    <cellStyle name="Normal 10 4 2 3 2 3" xfId="5041"/>
    <cellStyle name="Normal 10 4 2 3 2 3 2" xfId="5042"/>
    <cellStyle name="Normal 10 4 2 3 2 4" xfId="5043"/>
    <cellStyle name="Normal 10 4 2 3 3" xfId="5044"/>
    <cellStyle name="Normal 10 4 2 3 3 2" xfId="5045"/>
    <cellStyle name="Normal 10 4 2 3 3 2 2" xfId="5046"/>
    <cellStyle name="Normal 10 4 2 3 3 3" xfId="5047"/>
    <cellStyle name="Normal 10 4 2 3 3 3 2" xfId="5048"/>
    <cellStyle name="Normal 10 4 2 3 3 4" xfId="5049"/>
    <cellStyle name="Normal 10 4 2 3 4" xfId="5050"/>
    <cellStyle name="Normal 10 4 2 3 4 2" xfId="5051"/>
    <cellStyle name="Normal 10 4 2 3 5" xfId="5052"/>
    <cellStyle name="Normal 10 4 2 3 5 2" xfId="5053"/>
    <cellStyle name="Normal 10 4 2 3 6" xfId="5054"/>
    <cellStyle name="Normal 10 4 2 4" xfId="5055"/>
    <cellStyle name="Normal 10 4 2 4 2" xfId="5056"/>
    <cellStyle name="Normal 10 4 2 4 2 2" xfId="5057"/>
    <cellStyle name="Normal 10 4 2 4 3" xfId="5058"/>
    <cellStyle name="Normal 10 4 2 4 3 2" xfId="5059"/>
    <cellStyle name="Normal 10 4 2 4 4" xfId="5060"/>
    <cellStyle name="Normal 10 4 2 5" xfId="5061"/>
    <cellStyle name="Normal 10 4 2 5 2" xfId="5062"/>
    <cellStyle name="Normal 10 4 2 6" xfId="5063"/>
    <cellStyle name="Normal 10 4 2 6 2" xfId="5064"/>
    <cellStyle name="Normal 10 4 2 7" xfId="5065"/>
    <cellStyle name="Normal 10 4 3" xfId="5066"/>
    <cellStyle name="Normal 10 4 3 2" xfId="5067"/>
    <cellStyle name="Normal 10 4 3 2 2" xfId="5068"/>
    <cellStyle name="Normal 10 4 3 2 2 2" xfId="5069"/>
    <cellStyle name="Normal 10 4 3 2 2 2 2" xfId="5070"/>
    <cellStyle name="Normal 10 4 3 2 2 3" xfId="5071"/>
    <cellStyle name="Normal 10 4 3 2 2 3 2" xfId="5072"/>
    <cellStyle name="Normal 10 4 3 2 2 4" xfId="5073"/>
    <cellStyle name="Normal 10 4 3 2 3" xfId="5074"/>
    <cellStyle name="Normal 10 4 3 2 3 2" xfId="5075"/>
    <cellStyle name="Normal 10 4 3 2 4" xfId="5076"/>
    <cellStyle name="Normal 10 4 3 2 4 2" xfId="5077"/>
    <cellStyle name="Normal 10 4 3 2 5" xfId="5078"/>
    <cellStyle name="Normal 10 4 3 3" xfId="5079"/>
    <cellStyle name="Normal 10 4 3 3 2" xfId="5080"/>
    <cellStyle name="Normal 10 4 3 3 2 2" xfId="5081"/>
    <cellStyle name="Normal 10 4 3 3 2 2 2" xfId="5082"/>
    <cellStyle name="Normal 10 4 3 3 2 3" xfId="5083"/>
    <cellStyle name="Normal 10 4 3 3 2 3 2" xfId="5084"/>
    <cellStyle name="Normal 10 4 3 3 2 4" xfId="5085"/>
    <cellStyle name="Normal 10 4 3 3 3" xfId="5086"/>
    <cellStyle name="Normal 10 4 3 3 3 2" xfId="5087"/>
    <cellStyle name="Normal 10 4 3 3 3 2 2" xfId="5088"/>
    <cellStyle name="Normal 10 4 3 3 3 3" xfId="5089"/>
    <cellStyle name="Normal 10 4 3 3 3 3 2" xfId="5090"/>
    <cellStyle name="Normal 10 4 3 3 3 4" xfId="5091"/>
    <cellStyle name="Normal 10 4 3 3 4" xfId="5092"/>
    <cellStyle name="Normal 10 4 3 3 4 2" xfId="5093"/>
    <cellStyle name="Normal 10 4 3 3 5" xfId="5094"/>
    <cellStyle name="Normal 10 4 3 3 5 2" xfId="5095"/>
    <cellStyle name="Normal 10 4 3 3 6" xfId="5096"/>
    <cellStyle name="Normal 10 4 3 4" xfId="5097"/>
    <cellStyle name="Normal 10 4 3 4 2" xfId="5098"/>
    <cellStyle name="Normal 10 4 3 4 2 2" xfId="5099"/>
    <cellStyle name="Normal 10 4 3 4 3" xfId="5100"/>
    <cellStyle name="Normal 10 4 3 4 3 2" xfId="5101"/>
    <cellStyle name="Normal 10 4 3 4 4" xfId="5102"/>
    <cellStyle name="Normal 10 4 3 5" xfId="5103"/>
    <cellStyle name="Normal 10 4 3 5 2" xfId="5104"/>
    <cellStyle name="Normal 10 4 3 6" xfId="5105"/>
    <cellStyle name="Normal 10 4 3 6 2" xfId="5106"/>
    <cellStyle name="Normal 10 4 3 7" xfId="5107"/>
    <cellStyle name="Normal 10 4 4" xfId="5108"/>
    <cellStyle name="Normal 10 4 4 2" xfId="5109"/>
    <cellStyle name="Normal 10 4 4 2 2" xfId="5110"/>
    <cellStyle name="Normal 10 4 4 2 2 2" xfId="5111"/>
    <cellStyle name="Normal 10 4 4 2 2 2 2" xfId="5112"/>
    <cellStyle name="Normal 10 4 4 2 2 3" xfId="5113"/>
    <cellStyle name="Normal 10 4 4 2 2 3 2" xfId="5114"/>
    <cellStyle name="Normal 10 4 4 2 2 4" xfId="5115"/>
    <cellStyle name="Normal 10 4 4 2 3" xfId="5116"/>
    <cellStyle name="Normal 10 4 4 2 3 2" xfId="5117"/>
    <cellStyle name="Normal 10 4 4 2 4" xfId="5118"/>
    <cellStyle name="Normal 10 4 4 2 4 2" xfId="5119"/>
    <cellStyle name="Normal 10 4 4 2 5" xfId="5120"/>
    <cellStyle name="Normal 10 4 4 3" xfId="5121"/>
    <cellStyle name="Normal 10 4 4 3 2" xfId="5122"/>
    <cellStyle name="Normal 10 4 4 3 2 2" xfId="5123"/>
    <cellStyle name="Normal 10 4 4 3 2 2 2" xfId="5124"/>
    <cellStyle name="Normal 10 4 4 3 2 3" xfId="5125"/>
    <cellStyle name="Normal 10 4 4 3 2 3 2" xfId="5126"/>
    <cellStyle name="Normal 10 4 4 3 2 4" xfId="5127"/>
    <cellStyle name="Normal 10 4 4 3 3" xfId="5128"/>
    <cellStyle name="Normal 10 4 4 3 3 2" xfId="5129"/>
    <cellStyle name="Normal 10 4 4 3 3 2 2" xfId="5130"/>
    <cellStyle name="Normal 10 4 4 3 3 3" xfId="5131"/>
    <cellStyle name="Normal 10 4 4 3 3 3 2" xfId="5132"/>
    <cellStyle name="Normal 10 4 4 3 3 4" xfId="5133"/>
    <cellStyle name="Normal 10 4 4 3 4" xfId="5134"/>
    <cellStyle name="Normal 10 4 4 3 4 2" xfId="5135"/>
    <cellStyle name="Normal 10 4 4 3 5" xfId="5136"/>
    <cellStyle name="Normal 10 4 4 3 5 2" xfId="5137"/>
    <cellStyle name="Normal 10 4 4 3 6" xfId="5138"/>
    <cellStyle name="Normal 10 4 4 4" xfId="5139"/>
    <cellStyle name="Normal 10 4 4 4 2" xfId="5140"/>
    <cellStyle name="Normal 10 4 4 4 2 2" xfId="5141"/>
    <cellStyle name="Normal 10 4 4 4 3" xfId="5142"/>
    <cellStyle name="Normal 10 4 4 4 3 2" xfId="5143"/>
    <cellStyle name="Normal 10 4 4 4 4" xfId="5144"/>
    <cellStyle name="Normal 10 4 4 5" xfId="5145"/>
    <cellStyle name="Normal 10 4 4 5 2" xfId="5146"/>
    <cellStyle name="Normal 10 4 4 6" xfId="5147"/>
    <cellStyle name="Normal 10 4 4 6 2" xfId="5148"/>
    <cellStyle name="Normal 10 4 4 7" xfId="5149"/>
    <cellStyle name="Normal 10 4 5" xfId="5150"/>
    <cellStyle name="Normal 10 4 5 2" xfId="5151"/>
    <cellStyle name="Normal 10 4 5 2 2" xfId="5152"/>
    <cellStyle name="Normal 10 4 5 2 2 2" xfId="5153"/>
    <cellStyle name="Normal 10 4 5 2 2 2 2" xfId="5154"/>
    <cellStyle name="Normal 10 4 5 2 2 3" xfId="5155"/>
    <cellStyle name="Normal 10 4 5 2 2 3 2" xfId="5156"/>
    <cellStyle name="Normal 10 4 5 2 2 4" xfId="5157"/>
    <cellStyle name="Normal 10 4 5 2 3" xfId="5158"/>
    <cellStyle name="Normal 10 4 5 2 3 2" xfId="5159"/>
    <cellStyle name="Normal 10 4 5 2 4" xfId="5160"/>
    <cellStyle name="Normal 10 4 5 2 4 2" xfId="5161"/>
    <cellStyle name="Normal 10 4 5 2 5" xfId="5162"/>
    <cellStyle name="Normal 10 4 5 3" xfId="5163"/>
    <cellStyle name="Normal 10 4 5 3 2" xfId="5164"/>
    <cellStyle name="Normal 10 4 5 3 2 2" xfId="5165"/>
    <cellStyle name="Normal 10 4 5 3 2 2 2" xfId="5166"/>
    <cellStyle name="Normal 10 4 5 3 2 3" xfId="5167"/>
    <cellStyle name="Normal 10 4 5 3 2 3 2" xfId="5168"/>
    <cellStyle name="Normal 10 4 5 3 2 4" xfId="5169"/>
    <cellStyle name="Normal 10 4 5 3 3" xfId="5170"/>
    <cellStyle name="Normal 10 4 5 3 3 2" xfId="5171"/>
    <cellStyle name="Normal 10 4 5 3 3 2 2" xfId="5172"/>
    <cellStyle name="Normal 10 4 5 3 3 3" xfId="5173"/>
    <cellStyle name="Normal 10 4 5 3 3 3 2" xfId="5174"/>
    <cellStyle name="Normal 10 4 5 3 3 4" xfId="5175"/>
    <cellStyle name="Normal 10 4 5 3 4" xfId="5176"/>
    <cellStyle name="Normal 10 4 5 3 4 2" xfId="5177"/>
    <cellStyle name="Normal 10 4 5 3 5" xfId="5178"/>
    <cellStyle name="Normal 10 4 5 3 5 2" xfId="5179"/>
    <cellStyle name="Normal 10 4 5 3 6" xfId="5180"/>
    <cellStyle name="Normal 10 4 5 4" xfId="5181"/>
    <cellStyle name="Normal 10 4 5 4 2" xfId="5182"/>
    <cellStyle name="Normal 10 4 5 4 2 2" xfId="5183"/>
    <cellStyle name="Normal 10 4 5 4 3" xfId="5184"/>
    <cellStyle name="Normal 10 4 5 4 3 2" xfId="5185"/>
    <cellStyle name="Normal 10 4 5 4 4" xfId="5186"/>
    <cellStyle name="Normal 10 4 5 5" xfId="5187"/>
    <cellStyle name="Normal 10 4 5 5 2" xfId="5188"/>
    <cellStyle name="Normal 10 4 5 6" xfId="5189"/>
    <cellStyle name="Normal 10 4 5 6 2" xfId="5190"/>
    <cellStyle name="Normal 10 4 5 7" xfId="5191"/>
    <cellStyle name="Normal 10 4 6" xfId="5192"/>
    <cellStyle name="Normal 10 4 6 2" xfId="5193"/>
    <cellStyle name="Normal 10 4 6 2 2" xfId="5194"/>
    <cellStyle name="Normal 10 4 6 2 2 2" xfId="5195"/>
    <cellStyle name="Normal 10 4 6 2 3" xfId="5196"/>
    <cellStyle name="Normal 10 4 6 2 3 2" xfId="5197"/>
    <cellStyle name="Normal 10 4 6 2 4" xfId="5198"/>
    <cellStyle name="Normal 10 4 6 3" xfId="5199"/>
    <cellStyle name="Normal 10 4 6 3 2" xfId="5200"/>
    <cellStyle name="Normal 10 4 6 4" xfId="5201"/>
    <cellStyle name="Normal 10 4 6 4 2" xfId="5202"/>
    <cellStyle name="Normal 10 4 6 5" xfId="5203"/>
    <cellStyle name="Normal 10 4 7" xfId="5204"/>
    <cellStyle name="Normal 10 4 7 2" xfId="5205"/>
    <cellStyle name="Normal 10 4 7 2 2" xfId="5206"/>
    <cellStyle name="Normal 10 4 7 3" xfId="5207"/>
    <cellStyle name="Normal 10 4 7 3 2" xfId="5208"/>
    <cellStyle name="Normal 10 4 7 4" xfId="5209"/>
    <cellStyle name="Normal 10 4 8" xfId="5210"/>
    <cellStyle name="Normal 10 4 8 2" xfId="5211"/>
    <cellStyle name="Normal 10 4 9" xfId="5212"/>
    <cellStyle name="Normal 10 4 9 2" xfId="5213"/>
    <cellStyle name="Normal 10 5" xfId="5214"/>
    <cellStyle name="Normal 10 5 2" xfId="5215"/>
    <cellStyle name="Normal 10 5 3" xfId="5216"/>
    <cellStyle name="Normal 10 5 4" xfId="5217"/>
    <cellStyle name="Normal 10 5 4 2" xfId="5218"/>
    <cellStyle name="Normal 10 5 5" xfId="5219"/>
    <cellStyle name="Normal 10 5 5 2" xfId="5220"/>
    <cellStyle name="Normal 10 5 6" xfId="5221"/>
    <cellStyle name="Normal 10 6" xfId="5222"/>
    <cellStyle name="Normal 10 6 2" xfId="5223"/>
    <cellStyle name="Normal 10 6 2 2" xfId="5224"/>
    <cellStyle name="Normal 10 6 2 2 2" xfId="5225"/>
    <cellStyle name="Normal 10 6 2 2 2 2" xfId="5226"/>
    <cellStyle name="Normal 10 6 2 2 3" xfId="5227"/>
    <cellStyle name="Normal 10 6 2 2 3 2" xfId="5228"/>
    <cellStyle name="Normal 10 6 2 2 4" xfId="5229"/>
    <cellStyle name="Normal 10 6 2 3" xfId="5230"/>
    <cellStyle name="Normal 10 6 2 3 2" xfId="5231"/>
    <cellStyle name="Normal 10 6 2 4" xfId="5232"/>
    <cellStyle name="Normal 10 6 2 4 2" xfId="5233"/>
    <cellStyle name="Normal 10 6 2 5" xfId="5234"/>
    <cellStyle name="Normal 10 6 3" xfId="5235"/>
    <cellStyle name="Normal 10 6 3 2" xfId="5236"/>
    <cellStyle name="Normal 10 6 3 2 2" xfId="5237"/>
    <cellStyle name="Normal 10 6 3 3" xfId="5238"/>
    <cellStyle name="Normal 10 6 3 3 2" xfId="5239"/>
    <cellStyle name="Normal 10 6 3 4" xfId="5240"/>
    <cellStyle name="Normal 10 6 4" xfId="5241"/>
    <cellStyle name="Normal 10 6 4 2" xfId="5242"/>
    <cellStyle name="Normal 10 6 5" xfId="5243"/>
    <cellStyle name="Normal 10 6 5 2" xfId="5244"/>
    <cellStyle name="Normal 10 6 6" xfId="5245"/>
    <cellStyle name="Normal 10 7" xfId="5246"/>
    <cellStyle name="Normal 10 7 2" xfId="5247"/>
    <cellStyle name="Normal 10 7 2 2" xfId="5248"/>
    <cellStyle name="Normal 10 7 2 2 2" xfId="5249"/>
    <cellStyle name="Normal 10 7 2 2 2 2" xfId="5250"/>
    <cellStyle name="Normal 10 7 2 2 3" xfId="5251"/>
    <cellStyle name="Normal 10 7 2 2 3 2" xfId="5252"/>
    <cellStyle name="Normal 10 7 2 2 4" xfId="5253"/>
    <cellStyle name="Normal 10 7 2 3" xfId="5254"/>
    <cellStyle name="Normal 10 7 2 3 2" xfId="5255"/>
    <cellStyle name="Normal 10 7 2 4" xfId="5256"/>
    <cellStyle name="Normal 10 7 2 4 2" xfId="5257"/>
    <cellStyle name="Normal 10 7 2 5" xfId="5258"/>
    <cellStyle name="Normal 10 7 3" xfId="5259"/>
    <cellStyle name="Normal 10 7 3 2" xfId="5260"/>
    <cellStyle name="Normal 10 7 3 2 2" xfId="5261"/>
    <cellStyle name="Normal 10 7 3 2 2 2" xfId="5262"/>
    <cellStyle name="Normal 10 7 3 2 3" xfId="5263"/>
    <cellStyle name="Normal 10 7 3 2 3 2" xfId="5264"/>
    <cellStyle name="Normal 10 7 3 2 4" xfId="5265"/>
    <cellStyle name="Normal 10 7 3 3" xfId="5266"/>
    <cellStyle name="Normal 10 7 3 3 2" xfId="5267"/>
    <cellStyle name="Normal 10 7 3 3 2 2" xfId="5268"/>
    <cellStyle name="Normal 10 7 3 3 3" xfId="5269"/>
    <cellStyle name="Normal 10 7 3 3 3 2" xfId="5270"/>
    <cellStyle name="Normal 10 7 3 3 4" xfId="5271"/>
    <cellStyle name="Normal 10 7 3 4" xfId="5272"/>
    <cellStyle name="Normal 10 7 3 4 2" xfId="5273"/>
    <cellStyle name="Normal 10 7 3 5" xfId="5274"/>
    <cellStyle name="Normal 10 7 3 5 2" xfId="5275"/>
    <cellStyle name="Normal 10 7 3 6" xfId="5276"/>
    <cellStyle name="Normal 10 7 4" xfId="5277"/>
    <cellStyle name="Normal 10 7 4 2" xfId="5278"/>
    <cellStyle name="Normal 10 7 4 2 2" xfId="5279"/>
    <cellStyle name="Normal 10 7 4 3" xfId="5280"/>
    <cellStyle name="Normal 10 7 4 3 2" xfId="5281"/>
    <cellStyle name="Normal 10 7 4 4" xfId="5282"/>
    <cellStyle name="Normal 10 7 5" xfId="5283"/>
    <cellStyle name="Normal 10 7 5 2" xfId="5284"/>
    <cellStyle name="Normal 10 7 6" xfId="5285"/>
    <cellStyle name="Normal 10 7 6 2" xfId="5286"/>
    <cellStyle name="Normal 10 7 7" xfId="5287"/>
    <cellStyle name="Normal 10 8" xfId="5288"/>
    <cellStyle name="Normal 10 8 2" xfId="5289"/>
    <cellStyle name="Normal 10 8 2 2" xfId="5290"/>
    <cellStyle name="Normal 10 8 2 2 2" xfId="5291"/>
    <cellStyle name="Normal 10 8 2 2 2 2" xfId="5292"/>
    <cellStyle name="Normal 10 8 2 2 3" xfId="5293"/>
    <cellStyle name="Normal 10 8 2 2 3 2" xfId="5294"/>
    <cellStyle name="Normal 10 8 2 2 4" xfId="5295"/>
    <cellStyle name="Normal 10 8 2 3" xfId="5296"/>
    <cellStyle name="Normal 10 8 2 3 2" xfId="5297"/>
    <cellStyle name="Normal 10 8 2 4" xfId="5298"/>
    <cellStyle name="Normal 10 8 2 4 2" xfId="5299"/>
    <cellStyle name="Normal 10 8 2 5" xfId="5300"/>
    <cellStyle name="Normal 10 8 3" xfId="5301"/>
    <cellStyle name="Normal 10 8 3 2" xfId="5302"/>
    <cellStyle name="Normal 10 8 3 2 2" xfId="5303"/>
    <cellStyle name="Normal 10 8 3 2 2 2" xfId="5304"/>
    <cellStyle name="Normal 10 8 3 2 3" xfId="5305"/>
    <cellStyle name="Normal 10 8 3 2 3 2" xfId="5306"/>
    <cellStyle name="Normal 10 8 3 2 4" xfId="5307"/>
    <cellStyle name="Normal 10 8 3 3" xfId="5308"/>
    <cellStyle name="Normal 10 8 3 3 2" xfId="5309"/>
    <cellStyle name="Normal 10 8 3 3 2 2" xfId="5310"/>
    <cellStyle name="Normal 10 8 3 3 3" xfId="5311"/>
    <cellStyle name="Normal 10 8 3 3 3 2" xfId="5312"/>
    <cellStyle name="Normal 10 8 3 3 4" xfId="5313"/>
    <cellStyle name="Normal 10 8 3 4" xfId="5314"/>
    <cellStyle name="Normal 10 8 3 4 2" xfId="5315"/>
    <cellStyle name="Normal 10 8 3 5" xfId="5316"/>
    <cellStyle name="Normal 10 8 3 5 2" xfId="5317"/>
    <cellStyle name="Normal 10 8 3 6" xfId="5318"/>
    <cellStyle name="Normal 10 8 4" xfId="5319"/>
    <cellStyle name="Normal 10 8 4 2" xfId="5320"/>
    <cellStyle name="Normal 10 8 4 2 2" xfId="5321"/>
    <cellStyle name="Normal 10 8 4 3" xfId="5322"/>
    <cellStyle name="Normal 10 8 4 3 2" xfId="5323"/>
    <cellStyle name="Normal 10 8 4 4" xfId="5324"/>
    <cellStyle name="Normal 10 8 5" xfId="5325"/>
    <cellStyle name="Normal 10 8 5 2" xfId="5326"/>
    <cellStyle name="Normal 10 8 6" xfId="5327"/>
    <cellStyle name="Normal 10 8 6 2" xfId="5328"/>
    <cellStyle name="Normal 10 8 7" xfId="5329"/>
    <cellStyle name="Normal 10 9" xfId="5330"/>
    <cellStyle name="Normal 10 9 2" xfId="5331"/>
    <cellStyle name="Normal 10 9 2 2" xfId="5332"/>
    <cellStyle name="Normal 10 9 2 2 2" xfId="5333"/>
    <cellStyle name="Normal 10 9 2 2 2 2" xfId="5334"/>
    <cellStyle name="Normal 10 9 2 2 3" xfId="5335"/>
    <cellStyle name="Normal 10 9 2 2 3 2" xfId="5336"/>
    <cellStyle name="Normal 10 9 2 2 4" xfId="5337"/>
    <cellStyle name="Normal 10 9 2 3" xfId="5338"/>
    <cellStyle name="Normal 10 9 2 3 2" xfId="5339"/>
    <cellStyle name="Normal 10 9 2 4" xfId="5340"/>
    <cellStyle name="Normal 10 9 2 4 2" xfId="5341"/>
    <cellStyle name="Normal 10 9 2 5" xfId="5342"/>
    <cellStyle name="Normal 10 9 3" xfId="5343"/>
    <cellStyle name="Normal 10 9 3 2" xfId="5344"/>
    <cellStyle name="Normal 10 9 3 2 2" xfId="5345"/>
    <cellStyle name="Normal 10 9 3 2 2 2" xfId="5346"/>
    <cellStyle name="Normal 10 9 3 2 3" xfId="5347"/>
    <cellStyle name="Normal 10 9 3 2 3 2" xfId="5348"/>
    <cellStyle name="Normal 10 9 3 2 4" xfId="5349"/>
    <cellStyle name="Normal 10 9 3 3" xfId="5350"/>
    <cellStyle name="Normal 10 9 3 3 2" xfId="5351"/>
    <cellStyle name="Normal 10 9 3 3 2 2" xfId="5352"/>
    <cellStyle name="Normal 10 9 3 3 3" xfId="5353"/>
    <cellStyle name="Normal 10 9 3 3 3 2" xfId="5354"/>
    <cellStyle name="Normal 10 9 3 3 4" xfId="5355"/>
    <cellStyle name="Normal 10 9 3 4" xfId="5356"/>
    <cellStyle name="Normal 10 9 3 4 2" xfId="5357"/>
    <cellStyle name="Normal 10 9 3 5" xfId="5358"/>
    <cellStyle name="Normal 10 9 3 5 2" xfId="5359"/>
    <cellStyle name="Normal 10 9 3 6" xfId="5360"/>
    <cellStyle name="Normal 10 9 4" xfId="5361"/>
    <cellStyle name="Normal 10 9 4 2" xfId="5362"/>
    <cellStyle name="Normal 10 9 4 2 2" xfId="5363"/>
    <cellStyle name="Normal 10 9 4 3" xfId="5364"/>
    <cellStyle name="Normal 10 9 4 3 2" xfId="5365"/>
    <cellStyle name="Normal 10 9 4 4" xfId="5366"/>
    <cellStyle name="Normal 10 9 5" xfId="5367"/>
    <cellStyle name="Normal 10 9 5 2" xfId="5368"/>
    <cellStyle name="Normal 10 9 6" xfId="5369"/>
    <cellStyle name="Normal 10 9 6 2" xfId="5370"/>
    <cellStyle name="Normal 10 9 7" xfId="5371"/>
    <cellStyle name="Normal 11" xfId="5372"/>
    <cellStyle name="Normal 11 2" xfId="5373"/>
    <cellStyle name="Normal 11 2 2" xfId="5374"/>
    <cellStyle name="Normal 11 2 2 2" xfId="5375"/>
    <cellStyle name="Normal 11 2 3" xfId="5376"/>
    <cellStyle name="Normal 11 2 4" xfId="5377"/>
    <cellStyle name="Normal 11 2 4 10" xfId="5378"/>
    <cellStyle name="Normal 11 2 4 10 2" xfId="5379"/>
    <cellStyle name="Normal 11 2 4 10 2 2" xfId="5380"/>
    <cellStyle name="Normal 11 2 4 10 3" xfId="5381"/>
    <cellStyle name="Normal 11 2 4 10 3 2" xfId="5382"/>
    <cellStyle name="Normal 11 2 4 10 4" xfId="5383"/>
    <cellStyle name="Normal 11 2 4 11" xfId="5384"/>
    <cellStyle name="Normal 11 2 4 11 2" xfId="5385"/>
    <cellStyle name="Normal 11 2 4 11 2 2" xfId="5386"/>
    <cellStyle name="Normal 11 2 4 11 3" xfId="5387"/>
    <cellStyle name="Normal 11 2 4 11 3 2" xfId="5388"/>
    <cellStyle name="Normal 11 2 4 11 4" xfId="5389"/>
    <cellStyle name="Normal 11 2 4 12" xfId="5390"/>
    <cellStyle name="Normal 11 2 4 12 2" xfId="5391"/>
    <cellStyle name="Normal 11 2 4 12 2 2" xfId="5392"/>
    <cellStyle name="Normal 11 2 4 12 3" xfId="5393"/>
    <cellStyle name="Normal 11 2 4 12 3 2" xfId="5394"/>
    <cellStyle name="Normal 11 2 4 12 4" xfId="5395"/>
    <cellStyle name="Normal 11 2 4 13" xfId="5396"/>
    <cellStyle name="Normal 11 2 4 13 2" xfId="5397"/>
    <cellStyle name="Normal 11 2 4 13 2 2" xfId="5398"/>
    <cellStyle name="Normal 11 2 4 13 3" xfId="5399"/>
    <cellStyle name="Normal 11 2 4 13 3 2" xfId="5400"/>
    <cellStyle name="Normal 11 2 4 13 4" xfId="5401"/>
    <cellStyle name="Normal 11 2 4 14" xfId="5402"/>
    <cellStyle name="Normal 11 2 4 14 2" xfId="5403"/>
    <cellStyle name="Normal 11 2 4 15" xfId="5404"/>
    <cellStyle name="Normal 11 2 4 15 2" xfId="5405"/>
    <cellStyle name="Normal 11 2 4 16" xfId="5406"/>
    <cellStyle name="Normal 11 2 4 2" xfId="5407"/>
    <cellStyle name="Normal 11 2 4 2 2" xfId="5408"/>
    <cellStyle name="Normal 11 2 4 2 2 2" xfId="5409"/>
    <cellStyle name="Normal 11 2 4 2 2 2 2" xfId="5410"/>
    <cellStyle name="Normal 11 2 4 2 2 2 2 2" xfId="5411"/>
    <cellStyle name="Normal 11 2 4 2 2 2 3" xfId="5412"/>
    <cellStyle name="Normal 11 2 4 2 2 2 3 2" xfId="5413"/>
    <cellStyle name="Normal 11 2 4 2 2 2 4" xfId="5414"/>
    <cellStyle name="Normal 11 2 4 2 2 3" xfId="5415"/>
    <cellStyle name="Normal 11 2 4 2 2 3 2" xfId="5416"/>
    <cellStyle name="Normal 11 2 4 2 2 3 2 2" xfId="5417"/>
    <cellStyle name="Normal 11 2 4 2 2 3 3" xfId="5418"/>
    <cellStyle name="Normal 11 2 4 2 2 3 3 2" xfId="5419"/>
    <cellStyle name="Normal 11 2 4 2 2 3 4" xfId="5420"/>
    <cellStyle name="Normal 11 2 4 2 2 4" xfId="5421"/>
    <cellStyle name="Normal 11 2 4 2 2 4 2" xfId="5422"/>
    <cellStyle name="Normal 11 2 4 2 2 4 2 2" xfId="5423"/>
    <cellStyle name="Normal 11 2 4 2 2 4 3" xfId="5424"/>
    <cellStyle name="Normal 11 2 4 2 2 4 3 2" xfId="5425"/>
    <cellStyle name="Normal 11 2 4 2 2 4 4" xfId="5426"/>
    <cellStyle name="Normal 11 2 4 2 2 5" xfId="5427"/>
    <cellStyle name="Normal 11 2 4 2 2 5 2" xfId="5428"/>
    <cellStyle name="Normal 11 2 4 2 2 6" xfId="5429"/>
    <cellStyle name="Normal 11 2 4 2 2 6 2" xfId="5430"/>
    <cellStyle name="Normal 11 2 4 2 2 7" xfId="5431"/>
    <cellStyle name="Normal 11 2 4 2 3" xfId="5432"/>
    <cellStyle name="Normal 11 2 4 2 3 2" xfId="5433"/>
    <cellStyle name="Normal 11 2 4 2 3 2 2" xfId="5434"/>
    <cellStyle name="Normal 11 2 4 2 3 3" xfId="5435"/>
    <cellStyle name="Normal 11 2 4 2 3 3 2" xfId="5436"/>
    <cellStyle name="Normal 11 2 4 2 3 4" xfId="5437"/>
    <cellStyle name="Normal 11 2 4 2 4" xfId="5438"/>
    <cellStyle name="Normal 11 2 4 2 4 2" xfId="5439"/>
    <cellStyle name="Normal 11 2 4 2 4 2 2" xfId="5440"/>
    <cellStyle name="Normal 11 2 4 2 4 3" xfId="5441"/>
    <cellStyle name="Normal 11 2 4 2 4 3 2" xfId="5442"/>
    <cellStyle name="Normal 11 2 4 2 4 4" xfId="5443"/>
    <cellStyle name="Normal 11 2 4 2 5" xfId="5444"/>
    <cellStyle name="Normal 11 2 4 2 5 2" xfId="5445"/>
    <cellStyle name="Normal 11 2 4 2 5 2 2" xfId="5446"/>
    <cellStyle name="Normal 11 2 4 2 5 3" xfId="5447"/>
    <cellStyle name="Normal 11 2 4 2 5 3 2" xfId="5448"/>
    <cellStyle name="Normal 11 2 4 2 5 4" xfId="5449"/>
    <cellStyle name="Normal 11 2 4 2 6" xfId="5450"/>
    <cellStyle name="Normal 11 2 4 2 6 2" xfId="5451"/>
    <cellStyle name="Normal 11 2 4 2 7" xfId="5452"/>
    <cellStyle name="Normal 11 2 4 2 7 2" xfId="5453"/>
    <cellStyle name="Normal 11 2 4 2 8" xfId="5454"/>
    <cellStyle name="Normal 11 2 4 3" xfId="5455"/>
    <cellStyle name="Normal 11 2 4 3 2" xfId="5456"/>
    <cellStyle name="Normal 11 2 4 3 2 2" xfId="5457"/>
    <cellStyle name="Normal 11 2 4 3 2 2 2" xfId="5458"/>
    <cellStyle name="Normal 11 2 4 3 2 3" xfId="5459"/>
    <cellStyle name="Normal 11 2 4 3 2 3 2" xfId="5460"/>
    <cellStyle name="Normal 11 2 4 3 2 4" xfId="5461"/>
    <cellStyle name="Normal 11 2 4 3 3" xfId="5462"/>
    <cellStyle name="Normal 11 2 4 3 3 2" xfId="5463"/>
    <cellStyle name="Normal 11 2 4 3 3 2 2" xfId="5464"/>
    <cellStyle name="Normal 11 2 4 3 3 3" xfId="5465"/>
    <cellStyle name="Normal 11 2 4 3 3 3 2" xfId="5466"/>
    <cellStyle name="Normal 11 2 4 3 3 4" xfId="5467"/>
    <cellStyle name="Normal 11 2 4 3 4" xfId="5468"/>
    <cellStyle name="Normal 11 2 4 3 4 2" xfId="5469"/>
    <cellStyle name="Normal 11 2 4 3 4 2 2" xfId="5470"/>
    <cellStyle name="Normal 11 2 4 3 4 3" xfId="5471"/>
    <cellStyle name="Normal 11 2 4 3 4 3 2" xfId="5472"/>
    <cellStyle name="Normal 11 2 4 3 4 4" xfId="5473"/>
    <cellStyle name="Normal 11 2 4 3 5" xfId="5474"/>
    <cellStyle name="Normal 11 2 4 3 5 2" xfId="5475"/>
    <cellStyle name="Normal 11 2 4 3 6" xfId="5476"/>
    <cellStyle name="Normal 11 2 4 3 6 2" xfId="5477"/>
    <cellStyle name="Normal 11 2 4 3 7" xfId="5478"/>
    <cellStyle name="Normal 11 2 4 4" xfId="5479"/>
    <cellStyle name="Normal 11 2 4 4 2" xfId="5480"/>
    <cellStyle name="Normal 11 2 4 4 2 2" xfId="5481"/>
    <cellStyle name="Normal 11 2 4 4 2 2 2" xfId="5482"/>
    <cellStyle name="Normal 11 2 4 4 2 3" xfId="5483"/>
    <cellStyle name="Normal 11 2 4 4 2 3 2" xfId="5484"/>
    <cellStyle name="Normal 11 2 4 4 2 4" xfId="5485"/>
    <cellStyle name="Normal 11 2 4 4 3" xfId="5486"/>
    <cellStyle name="Normal 11 2 4 4 3 2" xfId="5487"/>
    <cellStyle name="Normal 11 2 4 4 3 2 2" xfId="5488"/>
    <cellStyle name="Normal 11 2 4 4 3 3" xfId="5489"/>
    <cellStyle name="Normal 11 2 4 4 3 3 2" xfId="5490"/>
    <cellStyle name="Normal 11 2 4 4 3 4" xfId="5491"/>
    <cellStyle name="Normal 11 2 4 4 4" xfId="5492"/>
    <cellStyle name="Normal 11 2 4 4 4 2" xfId="5493"/>
    <cellStyle name="Normal 11 2 4 4 4 2 2" xfId="5494"/>
    <cellStyle name="Normal 11 2 4 4 4 3" xfId="5495"/>
    <cellStyle name="Normal 11 2 4 4 4 3 2" xfId="5496"/>
    <cellStyle name="Normal 11 2 4 4 4 4" xfId="5497"/>
    <cellStyle name="Normal 11 2 4 4 5" xfId="5498"/>
    <cellStyle name="Normal 11 2 4 4 5 2" xfId="5499"/>
    <cellStyle name="Normal 11 2 4 4 6" xfId="5500"/>
    <cellStyle name="Normal 11 2 4 4 6 2" xfId="5501"/>
    <cellStyle name="Normal 11 2 4 4 7" xfId="5502"/>
    <cellStyle name="Normal 11 2 4 5" xfId="5503"/>
    <cellStyle name="Normal 11 2 4 5 2" xfId="5504"/>
    <cellStyle name="Normal 11 2 4 5 2 2" xfId="5505"/>
    <cellStyle name="Normal 11 2 4 5 2 2 2" xfId="5506"/>
    <cellStyle name="Normal 11 2 4 5 2 3" xfId="5507"/>
    <cellStyle name="Normal 11 2 4 5 2 3 2" xfId="5508"/>
    <cellStyle name="Normal 11 2 4 5 2 4" xfId="5509"/>
    <cellStyle name="Normal 11 2 4 5 3" xfId="5510"/>
    <cellStyle name="Normal 11 2 4 5 3 2" xfId="5511"/>
    <cellStyle name="Normal 11 2 4 5 3 2 2" xfId="5512"/>
    <cellStyle name="Normal 11 2 4 5 3 3" xfId="5513"/>
    <cellStyle name="Normal 11 2 4 5 3 3 2" xfId="5514"/>
    <cellStyle name="Normal 11 2 4 5 3 4" xfId="5515"/>
    <cellStyle name="Normal 11 2 4 5 4" xfId="5516"/>
    <cellStyle name="Normal 11 2 4 5 4 2" xfId="5517"/>
    <cellStyle name="Normal 11 2 4 5 4 2 2" xfId="5518"/>
    <cellStyle name="Normal 11 2 4 5 4 3" xfId="5519"/>
    <cellStyle name="Normal 11 2 4 5 4 3 2" xfId="5520"/>
    <cellStyle name="Normal 11 2 4 5 4 4" xfId="5521"/>
    <cellStyle name="Normal 11 2 4 5 5" xfId="5522"/>
    <cellStyle name="Normal 11 2 4 5 5 2" xfId="5523"/>
    <cellStyle name="Normal 11 2 4 5 6" xfId="5524"/>
    <cellStyle name="Normal 11 2 4 5 6 2" xfId="5525"/>
    <cellStyle name="Normal 11 2 4 5 7" xfId="5526"/>
    <cellStyle name="Normal 11 2 4 6" xfId="5527"/>
    <cellStyle name="Normal 11 2 4 6 2" xfId="5528"/>
    <cellStyle name="Normal 11 2 4 6 2 2" xfId="5529"/>
    <cellStyle name="Normal 11 2 4 6 2 2 2" xfId="5530"/>
    <cellStyle name="Normal 11 2 4 6 2 3" xfId="5531"/>
    <cellStyle name="Normal 11 2 4 6 2 3 2" xfId="5532"/>
    <cellStyle name="Normal 11 2 4 6 2 4" xfId="5533"/>
    <cellStyle name="Normal 11 2 4 6 3" xfId="5534"/>
    <cellStyle name="Normal 11 2 4 6 3 2" xfId="5535"/>
    <cellStyle name="Normal 11 2 4 6 3 2 2" xfId="5536"/>
    <cellStyle name="Normal 11 2 4 6 3 3" xfId="5537"/>
    <cellStyle name="Normal 11 2 4 6 3 3 2" xfId="5538"/>
    <cellStyle name="Normal 11 2 4 6 3 4" xfId="5539"/>
    <cellStyle name="Normal 11 2 4 6 4" xfId="5540"/>
    <cellStyle name="Normal 11 2 4 6 4 2" xfId="5541"/>
    <cellStyle name="Normal 11 2 4 6 4 2 2" xfId="5542"/>
    <cellStyle name="Normal 11 2 4 6 4 3" xfId="5543"/>
    <cellStyle name="Normal 11 2 4 6 4 3 2" xfId="5544"/>
    <cellStyle name="Normal 11 2 4 6 4 4" xfId="5545"/>
    <cellStyle name="Normal 11 2 4 6 5" xfId="5546"/>
    <cellStyle name="Normal 11 2 4 6 5 2" xfId="5547"/>
    <cellStyle name="Normal 11 2 4 6 6" xfId="5548"/>
    <cellStyle name="Normal 11 2 4 6 6 2" xfId="5549"/>
    <cellStyle name="Normal 11 2 4 6 7" xfId="5550"/>
    <cellStyle name="Normal 11 2 4 7" xfId="5551"/>
    <cellStyle name="Normal 11 2 4 7 2" xfId="5552"/>
    <cellStyle name="Normal 11 2 4 7 2 2" xfId="5553"/>
    <cellStyle name="Normal 11 2 4 7 2 2 2" xfId="5554"/>
    <cellStyle name="Normal 11 2 4 7 2 3" xfId="5555"/>
    <cellStyle name="Normal 11 2 4 7 2 3 2" xfId="5556"/>
    <cellStyle name="Normal 11 2 4 7 2 4" xfId="5557"/>
    <cellStyle name="Normal 11 2 4 7 3" xfId="5558"/>
    <cellStyle name="Normal 11 2 4 7 3 2" xfId="5559"/>
    <cellStyle name="Normal 11 2 4 7 3 2 2" xfId="5560"/>
    <cellStyle name="Normal 11 2 4 7 3 3" xfId="5561"/>
    <cellStyle name="Normal 11 2 4 7 3 3 2" xfId="5562"/>
    <cellStyle name="Normal 11 2 4 7 3 4" xfId="5563"/>
    <cellStyle name="Normal 11 2 4 7 4" xfId="5564"/>
    <cellStyle name="Normal 11 2 4 7 4 2" xfId="5565"/>
    <cellStyle name="Normal 11 2 4 7 4 2 2" xfId="5566"/>
    <cellStyle name="Normal 11 2 4 7 4 3" xfId="5567"/>
    <cellStyle name="Normal 11 2 4 7 4 3 2" xfId="5568"/>
    <cellStyle name="Normal 11 2 4 7 4 4" xfId="5569"/>
    <cellStyle name="Normal 11 2 4 7 5" xfId="5570"/>
    <cellStyle name="Normal 11 2 4 7 5 2" xfId="5571"/>
    <cellStyle name="Normal 11 2 4 7 6" xfId="5572"/>
    <cellStyle name="Normal 11 2 4 7 6 2" xfId="5573"/>
    <cellStyle name="Normal 11 2 4 7 7" xfId="5574"/>
    <cellStyle name="Normal 11 2 4 8" xfId="5575"/>
    <cellStyle name="Normal 11 2 4 8 2" xfId="5576"/>
    <cellStyle name="Normal 11 2 4 8 2 2" xfId="5577"/>
    <cellStyle name="Normal 11 2 4 8 2 2 2" xfId="5578"/>
    <cellStyle name="Normal 11 2 4 8 2 3" xfId="5579"/>
    <cellStyle name="Normal 11 2 4 8 2 3 2" xfId="5580"/>
    <cellStyle name="Normal 11 2 4 8 2 4" xfId="5581"/>
    <cellStyle name="Normal 11 2 4 8 3" xfId="5582"/>
    <cellStyle name="Normal 11 2 4 8 3 2" xfId="5583"/>
    <cellStyle name="Normal 11 2 4 8 3 2 2" xfId="5584"/>
    <cellStyle name="Normal 11 2 4 8 3 3" xfId="5585"/>
    <cellStyle name="Normal 11 2 4 8 3 3 2" xfId="5586"/>
    <cellStyle name="Normal 11 2 4 8 3 4" xfId="5587"/>
    <cellStyle name="Normal 11 2 4 8 4" xfId="5588"/>
    <cellStyle name="Normal 11 2 4 8 4 2" xfId="5589"/>
    <cellStyle name="Normal 11 2 4 8 4 2 2" xfId="5590"/>
    <cellStyle name="Normal 11 2 4 8 4 3" xfId="5591"/>
    <cellStyle name="Normal 11 2 4 8 4 3 2" xfId="5592"/>
    <cellStyle name="Normal 11 2 4 8 4 4" xfId="5593"/>
    <cellStyle name="Normal 11 2 4 8 5" xfId="5594"/>
    <cellStyle name="Normal 11 2 4 8 5 2" xfId="5595"/>
    <cellStyle name="Normal 11 2 4 8 6" xfId="5596"/>
    <cellStyle name="Normal 11 2 4 8 6 2" xfId="5597"/>
    <cellStyle name="Normal 11 2 4 8 7" xfId="5598"/>
    <cellStyle name="Normal 11 2 4 9" xfId="5599"/>
    <cellStyle name="Normal 11 2 4 9 2" xfId="5600"/>
    <cellStyle name="Normal 11 2 4 9 2 2" xfId="5601"/>
    <cellStyle name="Normal 11 2 4 9 2 2 2" xfId="5602"/>
    <cellStyle name="Normal 11 2 4 9 2 3" xfId="5603"/>
    <cellStyle name="Normal 11 2 4 9 2 3 2" xfId="5604"/>
    <cellStyle name="Normal 11 2 4 9 2 4" xfId="5605"/>
    <cellStyle name="Normal 11 2 4 9 3" xfId="5606"/>
    <cellStyle name="Normal 11 2 4 9 3 2" xfId="5607"/>
    <cellStyle name="Normal 11 2 4 9 3 2 2" xfId="5608"/>
    <cellStyle name="Normal 11 2 4 9 3 3" xfId="5609"/>
    <cellStyle name="Normal 11 2 4 9 3 3 2" xfId="5610"/>
    <cellStyle name="Normal 11 2 4 9 3 4" xfId="5611"/>
    <cellStyle name="Normal 11 2 4 9 4" xfId="5612"/>
    <cellStyle name="Normal 11 2 4 9 4 2" xfId="5613"/>
    <cellStyle name="Normal 11 2 4 9 4 2 2" xfId="5614"/>
    <cellStyle name="Normal 11 2 4 9 4 3" xfId="5615"/>
    <cellStyle name="Normal 11 2 4 9 4 3 2" xfId="5616"/>
    <cellStyle name="Normal 11 2 4 9 4 4" xfId="5617"/>
    <cellStyle name="Normal 11 2 4 9 5" xfId="5618"/>
    <cellStyle name="Normal 11 2 4 9 5 2" xfId="5619"/>
    <cellStyle name="Normal 11 2 4 9 6" xfId="5620"/>
    <cellStyle name="Normal 11 2 4 9 6 2" xfId="5621"/>
    <cellStyle name="Normal 11 2 4 9 7" xfId="5622"/>
    <cellStyle name="Normal 11 2 5" xfId="5623"/>
    <cellStyle name="Normal 11 2 5 10" xfId="5624"/>
    <cellStyle name="Normal 11 2 5 10 2" xfId="5625"/>
    <cellStyle name="Normal 11 2 5 10 2 2" xfId="5626"/>
    <cellStyle name="Normal 11 2 5 10 3" xfId="5627"/>
    <cellStyle name="Normal 11 2 5 10 3 2" xfId="5628"/>
    <cellStyle name="Normal 11 2 5 10 4" xfId="5629"/>
    <cellStyle name="Normal 11 2 5 11" xfId="5630"/>
    <cellStyle name="Normal 11 2 5 11 2" xfId="5631"/>
    <cellStyle name="Normal 11 2 5 11 2 2" xfId="5632"/>
    <cellStyle name="Normal 11 2 5 11 3" xfId="5633"/>
    <cellStyle name="Normal 11 2 5 11 3 2" xfId="5634"/>
    <cellStyle name="Normal 11 2 5 11 4" xfId="5635"/>
    <cellStyle name="Normal 11 2 5 12" xfId="5636"/>
    <cellStyle name="Normal 11 2 5 12 2" xfId="5637"/>
    <cellStyle name="Normal 11 2 5 12 2 2" xfId="5638"/>
    <cellStyle name="Normal 11 2 5 12 3" xfId="5639"/>
    <cellStyle name="Normal 11 2 5 12 3 2" xfId="5640"/>
    <cellStyle name="Normal 11 2 5 12 4" xfId="5641"/>
    <cellStyle name="Normal 11 2 5 13" xfId="5642"/>
    <cellStyle name="Normal 11 2 5 13 2" xfId="5643"/>
    <cellStyle name="Normal 11 2 5 13 2 2" xfId="5644"/>
    <cellStyle name="Normal 11 2 5 13 3" xfId="5645"/>
    <cellStyle name="Normal 11 2 5 13 3 2" xfId="5646"/>
    <cellStyle name="Normal 11 2 5 13 4" xfId="5647"/>
    <cellStyle name="Normal 11 2 5 14" xfId="5648"/>
    <cellStyle name="Normal 11 2 5 14 2" xfId="5649"/>
    <cellStyle name="Normal 11 2 5 15" xfId="5650"/>
    <cellStyle name="Normal 11 2 5 15 2" xfId="5651"/>
    <cellStyle name="Normal 11 2 5 16" xfId="5652"/>
    <cellStyle name="Normal 11 2 5 2" xfId="5653"/>
    <cellStyle name="Normal 11 2 5 2 2" xfId="5654"/>
    <cellStyle name="Normal 11 2 5 2 2 2" xfId="5655"/>
    <cellStyle name="Normal 11 2 5 2 2 2 2" xfId="5656"/>
    <cellStyle name="Normal 11 2 5 2 2 2 2 2" xfId="5657"/>
    <cellStyle name="Normal 11 2 5 2 2 2 3" xfId="5658"/>
    <cellStyle name="Normal 11 2 5 2 2 2 3 2" xfId="5659"/>
    <cellStyle name="Normal 11 2 5 2 2 2 4" xfId="5660"/>
    <cellStyle name="Normal 11 2 5 2 2 3" xfId="5661"/>
    <cellStyle name="Normal 11 2 5 2 2 3 2" xfId="5662"/>
    <cellStyle name="Normal 11 2 5 2 2 3 2 2" xfId="5663"/>
    <cellStyle name="Normal 11 2 5 2 2 3 3" xfId="5664"/>
    <cellStyle name="Normal 11 2 5 2 2 3 3 2" xfId="5665"/>
    <cellStyle name="Normal 11 2 5 2 2 3 4" xfId="5666"/>
    <cellStyle name="Normal 11 2 5 2 2 4" xfId="5667"/>
    <cellStyle name="Normal 11 2 5 2 2 4 2" xfId="5668"/>
    <cellStyle name="Normal 11 2 5 2 2 4 2 2" xfId="5669"/>
    <cellStyle name="Normal 11 2 5 2 2 4 3" xfId="5670"/>
    <cellStyle name="Normal 11 2 5 2 2 4 3 2" xfId="5671"/>
    <cellStyle name="Normal 11 2 5 2 2 4 4" xfId="5672"/>
    <cellStyle name="Normal 11 2 5 2 2 5" xfId="5673"/>
    <cellStyle name="Normal 11 2 5 2 2 5 2" xfId="5674"/>
    <cellStyle name="Normal 11 2 5 2 2 6" xfId="5675"/>
    <cellStyle name="Normal 11 2 5 2 2 6 2" xfId="5676"/>
    <cellStyle name="Normal 11 2 5 2 2 7" xfId="5677"/>
    <cellStyle name="Normal 11 2 5 2 3" xfId="5678"/>
    <cellStyle name="Normal 11 2 5 2 3 2" xfId="5679"/>
    <cellStyle name="Normal 11 2 5 2 3 2 2" xfId="5680"/>
    <cellStyle name="Normal 11 2 5 2 3 3" xfId="5681"/>
    <cellStyle name="Normal 11 2 5 2 3 3 2" xfId="5682"/>
    <cellStyle name="Normal 11 2 5 2 3 4" xfId="5683"/>
    <cellStyle name="Normal 11 2 5 2 4" xfId="5684"/>
    <cellStyle name="Normal 11 2 5 2 4 2" xfId="5685"/>
    <cellStyle name="Normal 11 2 5 2 4 2 2" xfId="5686"/>
    <cellStyle name="Normal 11 2 5 2 4 3" xfId="5687"/>
    <cellStyle name="Normal 11 2 5 2 4 3 2" xfId="5688"/>
    <cellStyle name="Normal 11 2 5 2 4 4" xfId="5689"/>
    <cellStyle name="Normal 11 2 5 2 5" xfId="5690"/>
    <cellStyle name="Normal 11 2 5 2 5 2" xfId="5691"/>
    <cellStyle name="Normal 11 2 5 2 5 2 2" xfId="5692"/>
    <cellStyle name="Normal 11 2 5 2 5 3" xfId="5693"/>
    <cellStyle name="Normal 11 2 5 2 5 3 2" xfId="5694"/>
    <cellStyle name="Normal 11 2 5 2 5 4" xfId="5695"/>
    <cellStyle name="Normal 11 2 5 2 6" xfId="5696"/>
    <cellStyle name="Normal 11 2 5 2 6 2" xfId="5697"/>
    <cellStyle name="Normal 11 2 5 2 7" xfId="5698"/>
    <cellStyle name="Normal 11 2 5 2 7 2" xfId="5699"/>
    <cellStyle name="Normal 11 2 5 2 8" xfId="5700"/>
    <cellStyle name="Normal 11 2 5 3" xfId="5701"/>
    <cellStyle name="Normal 11 2 5 3 2" xfId="5702"/>
    <cellStyle name="Normal 11 2 5 3 2 2" xfId="5703"/>
    <cellStyle name="Normal 11 2 5 3 2 2 2" xfId="5704"/>
    <cellStyle name="Normal 11 2 5 3 2 3" xfId="5705"/>
    <cellStyle name="Normal 11 2 5 3 2 3 2" xfId="5706"/>
    <cellStyle name="Normal 11 2 5 3 2 4" xfId="5707"/>
    <cellStyle name="Normal 11 2 5 3 3" xfId="5708"/>
    <cellStyle name="Normal 11 2 5 3 3 2" xfId="5709"/>
    <cellStyle name="Normal 11 2 5 3 3 2 2" xfId="5710"/>
    <cellStyle name="Normal 11 2 5 3 3 3" xfId="5711"/>
    <cellStyle name="Normal 11 2 5 3 3 3 2" xfId="5712"/>
    <cellStyle name="Normal 11 2 5 3 3 4" xfId="5713"/>
    <cellStyle name="Normal 11 2 5 3 4" xfId="5714"/>
    <cellStyle name="Normal 11 2 5 3 4 2" xfId="5715"/>
    <cellStyle name="Normal 11 2 5 3 4 2 2" xfId="5716"/>
    <cellStyle name="Normal 11 2 5 3 4 3" xfId="5717"/>
    <cellStyle name="Normal 11 2 5 3 4 3 2" xfId="5718"/>
    <cellStyle name="Normal 11 2 5 3 4 4" xfId="5719"/>
    <cellStyle name="Normal 11 2 5 3 5" xfId="5720"/>
    <cellStyle name="Normal 11 2 5 3 5 2" xfId="5721"/>
    <cellStyle name="Normal 11 2 5 3 6" xfId="5722"/>
    <cellStyle name="Normal 11 2 5 3 6 2" xfId="5723"/>
    <cellStyle name="Normal 11 2 5 3 7" xfId="5724"/>
    <cellStyle name="Normal 11 2 5 4" xfId="5725"/>
    <cellStyle name="Normal 11 2 5 4 2" xfId="5726"/>
    <cellStyle name="Normal 11 2 5 4 2 2" xfId="5727"/>
    <cellStyle name="Normal 11 2 5 4 2 2 2" xfId="5728"/>
    <cellStyle name="Normal 11 2 5 4 2 3" xfId="5729"/>
    <cellStyle name="Normal 11 2 5 4 2 3 2" xfId="5730"/>
    <cellStyle name="Normal 11 2 5 4 2 4" xfId="5731"/>
    <cellStyle name="Normal 11 2 5 4 3" xfId="5732"/>
    <cellStyle name="Normal 11 2 5 4 3 2" xfId="5733"/>
    <cellStyle name="Normal 11 2 5 4 3 2 2" xfId="5734"/>
    <cellStyle name="Normal 11 2 5 4 3 3" xfId="5735"/>
    <cellStyle name="Normal 11 2 5 4 3 3 2" xfId="5736"/>
    <cellStyle name="Normal 11 2 5 4 3 4" xfId="5737"/>
    <cellStyle name="Normal 11 2 5 4 4" xfId="5738"/>
    <cellStyle name="Normal 11 2 5 4 4 2" xfId="5739"/>
    <cellStyle name="Normal 11 2 5 4 4 2 2" xfId="5740"/>
    <cellStyle name="Normal 11 2 5 4 4 3" xfId="5741"/>
    <cellStyle name="Normal 11 2 5 4 4 3 2" xfId="5742"/>
    <cellStyle name="Normal 11 2 5 4 4 4" xfId="5743"/>
    <cellStyle name="Normal 11 2 5 4 5" xfId="5744"/>
    <cellStyle name="Normal 11 2 5 4 5 2" xfId="5745"/>
    <cellStyle name="Normal 11 2 5 4 6" xfId="5746"/>
    <cellStyle name="Normal 11 2 5 4 6 2" xfId="5747"/>
    <cellStyle name="Normal 11 2 5 4 7" xfId="5748"/>
    <cellStyle name="Normal 11 2 5 5" xfId="5749"/>
    <cellStyle name="Normal 11 2 5 5 2" xfId="5750"/>
    <cellStyle name="Normal 11 2 5 5 2 2" xfId="5751"/>
    <cellStyle name="Normal 11 2 5 5 2 2 2" xfId="5752"/>
    <cellStyle name="Normal 11 2 5 5 2 3" xfId="5753"/>
    <cellStyle name="Normal 11 2 5 5 2 3 2" xfId="5754"/>
    <cellStyle name="Normal 11 2 5 5 2 4" xfId="5755"/>
    <cellStyle name="Normal 11 2 5 5 3" xfId="5756"/>
    <cellStyle name="Normal 11 2 5 5 3 2" xfId="5757"/>
    <cellStyle name="Normal 11 2 5 5 3 2 2" xfId="5758"/>
    <cellStyle name="Normal 11 2 5 5 3 3" xfId="5759"/>
    <cellStyle name="Normal 11 2 5 5 3 3 2" xfId="5760"/>
    <cellStyle name="Normal 11 2 5 5 3 4" xfId="5761"/>
    <cellStyle name="Normal 11 2 5 5 4" xfId="5762"/>
    <cellStyle name="Normal 11 2 5 5 4 2" xfId="5763"/>
    <cellStyle name="Normal 11 2 5 5 4 2 2" xfId="5764"/>
    <cellStyle name="Normal 11 2 5 5 4 3" xfId="5765"/>
    <cellStyle name="Normal 11 2 5 5 4 3 2" xfId="5766"/>
    <cellStyle name="Normal 11 2 5 5 4 4" xfId="5767"/>
    <cellStyle name="Normal 11 2 5 5 5" xfId="5768"/>
    <cellStyle name="Normal 11 2 5 5 5 2" xfId="5769"/>
    <cellStyle name="Normal 11 2 5 5 6" xfId="5770"/>
    <cellStyle name="Normal 11 2 5 5 6 2" xfId="5771"/>
    <cellStyle name="Normal 11 2 5 5 7" xfId="5772"/>
    <cellStyle name="Normal 11 2 5 6" xfId="5773"/>
    <cellStyle name="Normal 11 2 5 6 2" xfId="5774"/>
    <cellStyle name="Normal 11 2 5 6 2 2" xfId="5775"/>
    <cellStyle name="Normal 11 2 5 6 2 2 2" xfId="5776"/>
    <cellStyle name="Normal 11 2 5 6 2 3" xfId="5777"/>
    <cellStyle name="Normal 11 2 5 6 2 3 2" xfId="5778"/>
    <cellStyle name="Normal 11 2 5 6 2 4" xfId="5779"/>
    <cellStyle name="Normal 11 2 5 6 3" xfId="5780"/>
    <cellStyle name="Normal 11 2 5 6 3 2" xfId="5781"/>
    <cellStyle name="Normal 11 2 5 6 3 2 2" xfId="5782"/>
    <cellStyle name="Normal 11 2 5 6 3 3" xfId="5783"/>
    <cellStyle name="Normal 11 2 5 6 3 3 2" xfId="5784"/>
    <cellStyle name="Normal 11 2 5 6 3 4" xfId="5785"/>
    <cellStyle name="Normal 11 2 5 6 4" xfId="5786"/>
    <cellStyle name="Normal 11 2 5 6 4 2" xfId="5787"/>
    <cellStyle name="Normal 11 2 5 6 4 2 2" xfId="5788"/>
    <cellStyle name="Normal 11 2 5 6 4 3" xfId="5789"/>
    <cellStyle name="Normal 11 2 5 6 4 3 2" xfId="5790"/>
    <cellStyle name="Normal 11 2 5 6 4 4" xfId="5791"/>
    <cellStyle name="Normal 11 2 5 6 5" xfId="5792"/>
    <cellStyle name="Normal 11 2 5 6 5 2" xfId="5793"/>
    <cellStyle name="Normal 11 2 5 6 6" xfId="5794"/>
    <cellStyle name="Normal 11 2 5 6 6 2" xfId="5795"/>
    <cellStyle name="Normal 11 2 5 6 7" xfId="5796"/>
    <cellStyle name="Normal 11 2 5 7" xfId="5797"/>
    <cellStyle name="Normal 11 2 5 7 2" xfId="5798"/>
    <cellStyle name="Normal 11 2 5 7 2 2" xfId="5799"/>
    <cellStyle name="Normal 11 2 5 7 2 2 2" xfId="5800"/>
    <cellStyle name="Normal 11 2 5 7 2 3" xfId="5801"/>
    <cellStyle name="Normal 11 2 5 7 2 3 2" xfId="5802"/>
    <cellStyle name="Normal 11 2 5 7 2 4" xfId="5803"/>
    <cellStyle name="Normal 11 2 5 7 3" xfId="5804"/>
    <cellStyle name="Normal 11 2 5 7 3 2" xfId="5805"/>
    <cellStyle name="Normal 11 2 5 7 3 2 2" xfId="5806"/>
    <cellStyle name="Normal 11 2 5 7 3 3" xfId="5807"/>
    <cellStyle name="Normal 11 2 5 7 3 3 2" xfId="5808"/>
    <cellStyle name="Normal 11 2 5 7 3 4" xfId="5809"/>
    <cellStyle name="Normal 11 2 5 7 4" xfId="5810"/>
    <cellStyle name="Normal 11 2 5 7 4 2" xfId="5811"/>
    <cellStyle name="Normal 11 2 5 7 4 2 2" xfId="5812"/>
    <cellStyle name="Normal 11 2 5 7 4 3" xfId="5813"/>
    <cellStyle name="Normal 11 2 5 7 4 3 2" xfId="5814"/>
    <cellStyle name="Normal 11 2 5 7 4 4" xfId="5815"/>
    <cellStyle name="Normal 11 2 5 7 5" xfId="5816"/>
    <cellStyle name="Normal 11 2 5 7 5 2" xfId="5817"/>
    <cellStyle name="Normal 11 2 5 7 6" xfId="5818"/>
    <cellStyle name="Normal 11 2 5 7 6 2" xfId="5819"/>
    <cellStyle name="Normal 11 2 5 7 7" xfId="5820"/>
    <cellStyle name="Normal 11 2 5 8" xfId="5821"/>
    <cellStyle name="Normal 11 2 5 8 2" xfId="5822"/>
    <cellStyle name="Normal 11 2 5 8 2 2" xfId="5823"/>
    <cellStyle name="Normal 11 2 5 8 2 2 2" xfId="5824"/>
    <cellStyle name="Normal 11 2 5 8 2 3" xfId="5825"/>
    <cellStyle name="Normal 11 2 5 8 2 3 2" xfId="5826"/>
    <cellStyle name="Normal 11 2 5 8 2 4" xfId="5827"/>
    <cellStyle name="Normal 11 2 5 8 3" xfId="5828"/>
    <cellStyle name="Normal 11 2 5 8 3 2" xfId="5829"/>
    <cellStyle name="Normal 11 2 5 8 3 2 2" xfId="5830"/>
    <cellStyle name="Normal 11 2 5 8 3 3" xfId="5831"/>
    <cellStyle name="Normal 11 2 5 8 3 3 2" xfId="5832"/>
    <cellStyle name="Normal 11 2 5 8 3 4" xfId="5833"/>
    <cellStyle name="Normal 11 2 5 8 4" xfId="5834"/>
    <cellStyle name="Normal 11 2 5 8 4 2" xfId="5835"/>
    <cellStyle name="Normal 11 2 5 8 4 2 2" xfId="5836"/>
    <cellStyle name="Normal 11 2 5 8 4 3" xfId="5837"/>
    <cellStyle name="Normal 11 2 5 8 4 3 2" xfId="5838"/>
    <cellStyle name="Normal 11 2 5 8 4 4" xfId="5839"/>
    <cellStyle name="Normal 11 2 5 8 5" xfId="5840"/>
    <cellStyle name="Normal 11 2 5 8 5 2" xfId="5841"/>
    <cellStyle name="Normal 11 2 5 8 6" xfId="5842"/>
    <cellStyle name="Normal 11 2 5 8 6 2" xfId="5843"/>
    <cellStyle name="Normal 11 2 5 8 7" xfId="5844"/>
    <cellStyle name="Normal 11 2 5 9" xfId="5845"/>
    <cellStyle name="Normal 11 2 5 9 2" xfId="5846"/>
    <cellStyle name="Normal 11 2 5 9 2 2" xfId="5847"/>
    <cellStyle name="Normal 11 2 5 9 2 2 2" xfId="5848"/>
    <cellStyle name="Normal 11 2 5 9 2 3" xfId="5849"/>
    <cellStyle name="Normal 11 2 5 9 2 3 2" xfId="5850"/>
    <cellStyle name="Normal 11 2 5 9 2 4" xfId="5851"/>
    <cellStyle name="Normal 11 2 5 9 3" xfId="5852"/>
    <cellStyle name="Normal 11 2 5 9 3 2" xfId="5853"/>
    <cellStyle name="Normal 11 2 5 9 3 2 2" xfId="5854"/>
    <cellStyle name="Normal 11 2 5 9 3 3" xfId="5855"/>
    <cellStyle name="Normal 11 2 5 9 3 3 2" xfId="5856"/>
    <cellStyle name="Normal 11 2 5 9 3 4" xfId="5857"/>
    <cellStyle name="Normal 11 2 5 9 4" xfId="5858"/>
    <cellStyle name="Normal 11 2 5 9 4 2" xfId="5859"/>
    <cellStyle name="Normal 11 2 5 9 4 2 2" xfId="5860"/>
    <cellStyle name="Normal 11 2 5 9 4 3" xfId="5861"/>
    <cellStyle name="Normal 11 2 5 9 4 3 2" xfId="5862"/>
    <cellStyle name="Normal 11 2 5 9 4 4" xfId="5863"/>
    <cellStyle name="Normal 11 2 5 9 5" xfId="5864"/>
    <cellStyle name="Normal 11 2 5 9 5 2" xfId="5865"/>
    <cellStyle name="Normal 11 2 5 9 6" xfId="5866"/>
    <cellStyle name="Normal 11 2 5 9 6 2" xfId="5867"/>
    <cellStyle name="Normal 11 2 5 9 7" xfId="5868"/>
    <cellStyle name="Normal 11 2 6" xfId="5869"/>
    <cellStyle name="Normal 11 2 6 10" xfId="5870"/>
    <cellStyle name="Normal 11 2 6 10 2" xfId="5871"/>
    <cellStyle name="Normal 11 2 6 10 2 2" xfId="5872"/>
    <cellStyle name="Normal 11 2 6 10 3" xfId="5873"/>
    <cellStyle name="Normal 11 2 6 10 3 2" xfId="5874"/>
    <cellStyle name="Normal 11 2 6 10 4" xfId="5875"/>
    <cellStyle name="Normal 11 2 6 11" xfId="5876"/>
    <cellStyle name="Normal 11 2 6 11 2" xfId="5877"/>
    <cellStyle name="Normal 11 2 6 11 2 2" xfId="5878"/>
    <cellStyle name="Normal 11 2 6 11 3" xfId="5879"/>
    <cellStyle name="Normal 11 2 6 11 3 2" xfId="5880"/>
    <cellStyle name="Normal 11 2 6 11 4" xfId="5881"/>
    <cellStyle name="Normal 11 2 6 12" xfId="5882"/>
    <cellStyle name="Normal 11 2 6 12 2" xfId="5883"/>
    <cellStyle name="Normal 11 2 6 12 2 2" xfId="5884"/>
    <cellStyle name="Normal 11 2 6 12 3" xfId="5885"/>
    <cellStyle name="Normal 11 2 6 12 3 2" xfId="5886"/>
    <cellStyle name="Normal 11 2 6 12 4" xfId="5887"/>
    <cellStyle name="Normal 11 2 6 13" xfId="5888"/>
    <cellStyle name="Normal 11 2 6 13 2" xfId="5889"/>
    <cellStyle name="Normal 11 2 6 13 2 2" xfId="5890"/>
    <cellStyle name="Normal 11 2 6 13 3" xfId="5891"/>
    <cellStyle name="Normal 11 2 6 13 3 2" xfId="5892"/>
    <cellStyle name="Normal 11 2 6 13 4" xfId="5893"/>
    <cellStyle name="Normal 11 2 6 14" xfId="5894"/>
    <cellStyle name="Normal 11 2 6 14 2" xfId="5895"/>
    <cellStyle name="Normal 11 2 6 15" xfId="5896"/>
    <cellStyle name="Normal 11 2 6 15 2" xfId="5897"/>
    <cellStyle name="Normal 11 2 6 16" xfId="5898"/>
    <cellStyle name="Normal 11 2 6 2" xfId="5899"/>
    <cellStyle name="Normal 11 2 6 2 2" xfId="5900"/>
    <cellStyle name="Normal 11 2 6 2 2 2" xfId="5901"/>
    <cellStyle name="Normal 11 2 6 2 2 2 2" xfId="5902"/>
    <cellStyle name="Normal 11 2 6 2 2 2 2 2" xfId="5903"/>
    <cellStyle name="Normal 11 2 6 2 2 2 3" xfId="5904"/>
    <cellStyle name="Normal 11 2 6 2 2 2 3 2" xfId="5905"/>
    <cellStyle name="Normal 11 2 6 2 2 2 4" xfId="5906"/>
    <cellStyle name="Normal 11 2 6 2 2 3" xfId="5907"/>
    <cellStyle name="Normal 11 2 6 2 2 3 2" xfId="5908"/>
    <cellStyle name="Normal 11 2 6 2 2 3 2 2" xfId="5909"/>
    <cellStyle name="Normal 11 2 6 2 2 3 3" xfId="5910"/>
    <cellStyle name="Normal 11 2 6 2 2 3 3 2" xfId="5911"/>
    <cellStyle name="Normal 11 2 6 2 2 3 4" xfId="5912"/>
    <cellStyle name="Normal 11 2 6 2 2 4" xfId="5913"/>
    <cellStyle name="Normal 11 2 6 2 2 4 2" xfId="5914"/>
    <cellStyle name="Normal 11 2 6 2 2 4 2 2" xfId="5915"/>
    <cellStyle name="Normal 11 2 6 2 2 4 3" xfId="5916"/>
    <cellStyle name="Normal 11 2 6 2 2 4 3 2" xfId="5917"/>
    <cellStyle name="Normal 11 2 6 2 2 4 4" xfId="5918"/>
    <cellStyle name="Normal 11 2 6 2 2 5" xfId="5919"/>
    <cellStyle name="Normal 11 2 6 2 2 5 2" xfId="5920"/>
    <cellStyle name="Normal 11 2 6 2 2 6" xfId="5921"/>
    <cellStyle name="Normal 11 2 6 2 2 6 2" xfId="5922"/>
    <cellStyle name="Normal 11 2 6 2 2 7" xfId="5923"/>
    <cellStyle name="Normal 11 2 6 2 3" xfId="5924"/>
    <cellStyle name="Normal 11 2 6 2 3 2" xfId="5925"/>
    <cellStyle name="Normal 11 2 6 2 3 2 2" xfId="5926"/>
    <cellStyle name="Normal 11 2 6 2 3 3" xfId="5927"/>
    <cellStyle name="Normal 11 2 6 2 3 3 2" xfId="5928"/>
    <cellStyle name="Normal 11 2 6 2 3 4" xfId="5929"/>
    <cellStyle name="Normal 11 2 6 2 4" xfId="5930"/>
    <cellStyle name="Normal 11 2 6 2 4 2" xfId="5931"/>
    <cellStyle name="Normal 11 2 6 2 4 2 2" xfId="5932"/>
    <cellStyle name="Normal 11 2 6 2 4 3" xfId="5933"/>
    <cellStyle name="Normal 11 2 6 2 4 3 2" xfId="5934"/>
    <cellStyle name="Normal 11 2 6 2 4 4" xfId="5935"/>
    <cellStyle name="Normal 11 2 6 2 5" xfId="5936"/>
    <cellStyle name="Normal 11 2 6 2 5 2" xfId="5937"/>
    <cellStyle name="Normal 11 2 6 2 5 2 2" xfId="5938"/>
    <cellStyle name="Normal 11 2 6 2 5 3" xfId="5939"/>
    <cellStyle name="Normal 11 2 6 2 5 3 2" xfId="5940"/>
    <cellStyle name="Normal 11 2 6 2 5 4" xfId="5941"/>
    <cellStyle name="Normal 11 2 6 2 6" xfId="5942"/>
    <cellStyle name="Normal 11 2 6 2 6 2" xfId="5943"/>
    <cellStyle name="Normal 11 2 6 2 7" xfId="5944"/>
    <cellStyle name="Normal 11 2 6 2 7 2" xfId="5945"/>
    <cellStyle name="Normal 11 2 6 2 8" xfId="5946"/>
    <cellStyle name="Normal 11 2 6 3" xfId="5947"/>
    <cellStyle name="Normal 11 2 6 3 2" xfId="5948"/>
    <cellStyle name="Normal 11 2 6 3 2 2" xfId="5949"/>
    <cellStyle name="Normal 11 2 6 3 2 2 2" xfId="5950"/>
    <cellStyle name="Normal 11 2 6 3 2 3" xfId="5951"/>
    <cellStyle name="Normal 11 2 6 3 2 3 2" xfId="5952"/>
    <cellStyle name="Normal 11 2 6 3 2 4" xfId="5953"/>
    <cellStyle name="Normal 11 2 6 3 3" xfId="5954"/>
    <cellStyle name="Normal 11 2 6 3 3 2" xfId="5955"/>
    <cellStyle name="Normal 11 2 6 3 3 2 2" xfId="5956"/>
    <cellStyle name="Normal 11 2 6 3 3 3" xfId="5957"/>
    <cellStyle name="Normal 11 2 6 3 3 3 2" xfId="5958"/>
    <cellStyle name="Normal 11 2 6 3 3 4" xfId="5959"/>
    <cellStyle name="Normal 11 2 6 3 4" xfId="5960"/>
    <cellStyle name="Normal 11 2 6 3 4 2" xfId="5961"/>
    <cellStyle name="Normal 11 2 6 3 4 2 2" xfId="5962"/>
    <cellStyle name="Normal 11 2 6 3 4 3" xfId="5963"/>
    <cellStyle name="Normal 11 2 6 3 4 3 2" xfId="5964"/>
    <cellStyle name="Normal 11 2 6 3 4 4" xfId="5965"/>
    <cellStyle name="Normal 11 2 6 3 5" xfId="5966"/>
    <cellStyle name="Normal 11 2 6 3 5 2" xfId="5967"/>
    <cellStyle name="Normal 11 2 6 3 6" xfId="5968"/>
    <cellStyle name="Normal 11 2 6 3 6 2" xfId="5969"/>
    <cellStyle name="Normal 11 2 6 3 7" xfId="5970"/>
    <cellStyle name="Normal 11 2 6 4" xfId="5971"/>
    <cellStyle name="Normal 11 2 6 4 2" xfId="5972"/>
    <cellStyle name="Normal 11 2 6 4 2 2" xfId="5973"/>
    <cellStyle name="Normal 11 2 6 4 2 2 2" xfId="5974"/>
    <cellStyle name="Normal 11 2 6 4 2 3" xfId="5975"/>
    <cellStyle name="Normal 11 2 6 4 2 3 2" xfId="5976"/>
    <cellStyle name="Normal 11 2 6 4 2 4" xfId="5977"/>
    <cellStyle name="Normal 11 2 6 4 3" xfId="5978"/>
    <cellStyle name="Normal 11 2 6 4 3 2" xfId="5979"/>
    <cellStyle name="Normal 11 2 6 4 3 2 2" xfId="5980"/>
    <cellStyle name="Normal 11 2 6 4 3 3" xfId="5981"/>
    <cellStyle name="Normal 11 2 6 4 3 3 2" xfId="5982"/>
    <cellStyle name="Normal 11 2 6 4 3 4" xfId="5983"/>
    <cellStyle name="Normal 11 2 6 4 4" xfId="5984"/>
    <cellStyle name="Normal 11 2 6 4 4 2" xfId="5985"/>
    <cellStyle name="Normal 11 2 6 4 4 2 2" xfId="5986"/>
    <cellStyle name="Normal 11 2 6 4 4 3" xfId="5987"/>
    <cellStyle name="Normal 11 2 6 4 4 3 2" xfId="5988"/>
    <cellStyle name="Normal 11 2 6 4 4 4" xfId="5989"/>
    <cellStyle name="Normal 11 2 6 4 5" xfId="5990"/>
    <cellStyle name="Normal 11 2 6 4 5 2" xfId="5991"/>
    <cellStyle name="Normal 11 2 6 4 6" xfId="5992"/>
    <cellStyle name="Normal 11 2 6 4 6 2" xfId="5993"/>
    <cellStyle name="Normal 11 2 6 4 7" xfId="5994"/>
    <cellStyle name="Normal 11 2 6 5" xfId="5995"/>
    <cellStyle name="Normal 11 2 6 5 2" xfId="5996"/>
    <cellStyle name="Normal 11 2 6 5 2 2" xfId="5997"/>
    <cellStyle name="Normal 11 2 6 5 2 2 2" xfId="5998"/>
    <cellStyle name="Normal 11 2 6 5 2 3" xfId="5999"/>
    <cellStyle name="Normal 11 2 6 5 2 3 2" xfId="6000"/>
    <cellStyle name="Normal 11 2 6 5 2 4" xfId="6001"/>
    <cellStyle name="Normal 11 2 6 5 3" xfId="6002"/>
    <cellStyle name="Normal 11 2 6 5 3 2" xfId="6003"/>
    <cellStyle name="Normal 11 2 6 5 3 2 2" xfId="6004"/>
    <cellStyle name="Normal 11 2 6 5 3 3" xfId="6005"/>
    <cellStyle name="Normal 11 2 6 5 3 3 2" xfId="6006"/>
    <cellStyle name="Normal 11 2 6 5 3 4" xfId="6007"/>
    <cellStyle name="Normal 11 2 6 5 4" xfId="6008"/>
    <cellStyle name="Normal 11 2 6 5 4 2" xfId="6009"/>
    <cellStyle name="Normal 11 2 6 5 4 2 2" xfId="6010"/>
    <cellStyle name="Normal 11 2 6 5 4 3" xfId="6011"/>
    <cellStyle name="Normal 11 2 6 5 4 3 2" xfId="6012"/>
    <cellStyle name="Normal 11 2 6 5 4 4" xfId="6013"/>
    <cellStyle name="Normal 11 2 6 5 5" xfId="6014"/>
    <cellStyle name="Normal 11 2 6 5 5 2" xfId="6015"/>
    <cellStyle name="Normal 11 2 6 5 6" xfId="6016"/>
    <cellStyle name="Normal 11 2 6 5 6 2" xfId="6017"/>
    <cellStyle name="Normal 11 2 6 5 7" xfId="6018"/>
    <cellStyle name="Normal 11 2 6 6" xfId="6019"/>
    <cellStyle name="Normal 11 2 6 6 2" xfId="6020"/>
    <cellStyle name="Normal 11 2 6 6 2 2" xfId="6021"/>
    <cellStyle name="Normal 11 2 6 6 2 2 2" xfId="6022"/>
    <cellStyle name="Normal 11 2 6 6 2 3" xfId="6023"/>
    <cellStyle name="Normal 11 2 6 6 2 3 2" xfId="6024"/>
    <cellStyle name="Normal 11 2 6 6 2 4" xfId="6025"/>
    <cellStyle name="Normal 11 2 6 6 3" xfId="6026"/>
    <cellStyle name="Normal 11 2 6 6 3 2" xfId="6027"/>
    <cellStyle name="Normal 11 2 6 6 3 2 2" xfId="6028"/>
    <cellStyle name="Normal 11 2 6 6 3 3" xfId="6029"/>
    <cellStyle name="Normal 11 2 6 6 3 3 2" xfId="6030"/>
    <cellStyle name="Normal 11 2 6 6 3 4" xfId="6031"/>
    <cellStyle name="Normal 11 2 6 6 4" xfId="6032"/>
    <cellStyle name="Normal 11 2 6 6 4 2" xfId="6033"/>
    <cellStyle name="Normal 11 2 6 6 4 2 2" xfId="6034"/>
    <cellStyle name="Normal 11 2 6 6 4 3" xfId="6035"/>
    <cellStyle name="Normal 11 2 6 6 4 3 2" xfId="6036"/>
    <cellStyle name="Normal 11 2 6 6 4 4" xfId="6037"/>
    <cellStyle name="Normal 11 2 6 6 5" xfId="6038"/>
    <cellStyle name="Normal 11 2 6 6 5 2" xfId="6039"/>
    <cellStyle name="Normal 11 2 6 6 6" xfId="6040"/>
    <cellStyle name="Normal 11 2 6 6 6 2" xfId="6041"/>
    <cellStyle name="Normal 11 2 6 6 7" xfId="6042"/>
    <cellStyle name="Normal 11 2 6 7" xfId="6043"/>
    <cellStyle name="Normal 11 2 6 7 2" xfId="6044"/>
    <cellStyle name="Normal 11 2 6 7 2 2" xfId="6045"/>
    <cellStyle name="Normal 11 2 6 7 2 2 2" xfId="6046"/>
    <cellStyle name="Normal 11 2 6 7 2 3" xfId="6047"/>
    <cellStyle name="Normal 11 2 6 7 2 3 2" xfId="6048"/>
    <cellStyle name="Normal 11 2 6 7 2 4" xfId="6049"/>
    <cellStyle name="Normal 11 2 6 7 3" xfId="6050"/>
    <cellStyle name="Normal 11 2 6 7 3 2" xfId="6051"/>
    <cellStyle name="Normal 11 2 6 7 3 2 2" xfId="6052"/>
    <cellStyle name="Normal 11 2 6 7 3 3" xfId="6053"/>
    <cellStyle name="Normal 11 2 6 7 3 3 2" xfId="6054"/>
    <cellStyle name="Normal 11 2 6 7 3 4" xfId="6055"/>
    <cellStyle name="Normal 11 2 6 7 4" xfId="6056"/>
    <cellStyle name="Normal 11 2 6 7 4 2" xfId="6057"/>
    <cellStyle name="Normal 11 2 6 7 4 2 2" xfId="6058"/>
    <cellStyle name="Normal 11 2 6 7 4 3" xfId="6059"/>
    <cellStyle name="Normal 11 2 6 7 4 3 2" xfId="6060"/>
    <cellStyle name="Normal 11 2 6 7 4 4" xfId="6061"/>
    <cellStyle name="Normal 11 2 6 7 5" xfId="6062"/>
    <cellStyle name="Normal 11 2 6 7 5 2" xfId="6063"/>
    <cellStyle name="Normal 11 2 6 7 6" xfId="6064"/>
    <cellStyle name="Normal 11 2 6 7 6 2" xfId="6065"/>
    <cellStyle name="Normal 11 2 6 7 7" xfId="6066"/>
    <cellStyle name="Normal 11 2 6 8" xfId="6067"/>
    <cellStyle name="Normal 11 2 6 8 2" xfId="6068"/>
    <cellStyle name="Normal 11 2 6 8 2 2" xfId="6069"/>
    <cellStyle name="Normal 11 2 6 8 2 2 2" xfId="6070"/>
    <cellStyle name="Normal 11 2 6 8 2 3" xfId="6071"/>
    <cellStyle name="Normal 11 2 6 8 2 3 2" xfId="6072"/>
    <cellStyle name="Normal 11 2 6 8 2 4" xfId="6073"/>
    <cellStyle name="Normal 11 2 6 8 3" xfId="6074"/>
    <cellStyle name="Normal 11 2 6 8 3 2" xfId="6075"/>
    <cellStyle name="Normal 11 2 6 8 3 2 2" xfId="6076"/>
    <cellStyle name="Normal 11 2 6 8 3 3" xfId="6077"/>
    <cellStyle name="Normal 11 2 6 8 3 3 2" xfId="6078"/>
    <cellStyle name="Normal 11 2 6 8 3 4" xfId="6079"/>
    <cellStyle name="Normal 11 2 6 8 4" xfId="6080"/>
    <cellStyle name="Normal 11 2 6 8 4 2" xfId="6081"/>
    <cellStyle name="Normal 11 2 6 8 4 2 2" xfId="6082"/>
    <cellStyle name="Normal 11 2 6 8 4 3" xfId="6083"/>
    <cellStyle name="Normal 11 2 6 8 4 3 2" xfId="6084"/>
    <cellStyle name="Normal 11 2 6 8 4 4" xfId="6085"/>
    <cellStyle name="Normal 11 2 6 8 5" xfId="6086"/>
    <cellStyle name="Normal 11 2 6 8 5 2" xfId="6087"/>
    <cellStyle name="Normal 11 2 6 8 6" xfId="6088"/>
    <cellStyle name="Normal 11 2 6 8 6 2" xfId="6089"/>
    <cellStyle name="Normal 11 2 6 8 7" xfId="6090"/>
    <cellStyle name="Normal 11 2 6 9" xfId="6091"/>
    <cellStyle name="Normal 11 2 6 9 2" xfId="6092"/>
    <cellStyle name="Normal 11 2 6 9 2 2" xfId="6093"/>
    <cellStyle name="Normal 11 2 6 9 2 2 2" xfId="6094"/>
    <cellStyle name="Normal 11 2 6 9 2 3" xfId="6095"/>
    <cellStyle name="Normal 11 2 6 9 2 3 2" xfId="6096"/>
    <cellStyle name="Normal 11 2 6 9 2 4" xfId="6097"/>
    <cellStyle name="Normal 11 2 6 9 3" xfId="6098"/>
    <cellStyle name="Normal 11 2 6 9 3 2" xfId="6099"/>
    <cellStyle name="Normal 11 2 6 9 3 2 2" xfId="6100"/>
    <cellStyle name="Normal 11 2 6 9 3 3" xfId="6101"/>
    <cellStyle name="Normal 11 2 6 9 3 3 2" xfId="6102"/>
    <cellStyle name="Normal 11 2 6 9 3 4" xfId="6103"/>
    <cellStyle name="Normal 11 2 6 9 4" xfId="6104"/>
    <cellStyle name="Normal 11 2 6 9 4 2" xfId="6105"/>
    <cellStyle name="Normal 11 2 6 9 4 2 2" xfId="6106"/>
    <cellStyle name="Normal 11 2 6 9 4 3" xfId="6107"/>
    <cellStyle name="Normal 11 2 6 9 4 3 2" xfId="6108"/>
    <cellStyle name="Normal 11 2 6 9 4 4" xfId="6109"/>
    <cellStyle name="Normal 11 2 6 9 5" xfId="6110"/>
    <cellStyle name="Normal 11 2 6 9 5 2" xfId="6111"/>
    <cellStyle name="Normal 11 2 6 9 6" xfId="6112"/>
    <cellStyle name="Normal 11 2 6 9 6 2" xfId="6113"/>
    <cellStyle name="Normal 11 2 6 9 7" xfId="6114"/>
    <cellStyle name="Normal 11 3" xfId="6115"/>
    <cellStyle name="Normal 11 3 2" xfId="6116"/>
    <cellStyle name="Normal 11 3 3" xfId="6117"/>
    <cellStyle name="Normal 11 3 4" xfId="6118"/>
    <cellStyle name="Normal 11 3 5" xfId="6119"/>
    <cellStyle name="Normal 11 4" xfId="6120"/>
    <cellStyle name="Normal 11 5" xfId="6121"/>
    <cellStyle name="Normal 11 6" xfId="6122"/>
    <cellStyle name="Normal 11 6 10" xfId="6123"/>
    <cellStyle name="Normal 11 6 10 2" xfId="6124"/>
    <cellStyle name="Normal 11 6 10 2 2" xfId="6125"/>
    <cellStyle name="Normal 11 6 10 3" xfId="6126"/>
    <cellStyle name="Normal 11 6 10 3 2" xfId="6127"/>
    <cellStyle name="Normal 11 6 10 4" xfId="6128"/>
    <cellStyle name="Normal 11 6 11" xfId="6129"/>
    <cellStyle name="Normal 11 6 11 2" xfId="6130"/>
    <cellStyle name="Normal 11 6 11 2 2" xfId="6131"/>
    <cellStyle name="Normal 11 6 11 3" xfId="6132"/>
    <cellStyle name="Normal 11 6 11 3 2" xfId="6133"/>
    <cellStyle name="Normal 11 6 11 4" xfId="6134"/>
    <cellStyle name="Normal 11 6 12" xfId="6135"/>
    <cellStyle name="Normal 11 6 12 2" xfId="6136"/>
    <cellStyle name="Normal 11 6 12 2 2" xfId="6137"/>
    <cellStyle name="Normal 11 6 12 3" xfId="6138"/>
    <cellStyle name="Normal 11 6 12 3 2" xfId="6139"/>
    <cellStyle name="Normal 11 6 12 4" xfId="6140"/>
    <cellStyle name="Normal 11 6 13" xfId="6141"/>
    <cellStyle name="Normal 11 6 13 2" xfId="6142"/>
    <cellStyle name="Normal 11 6 13 2 2" xfId="6143"/>
    <cellStyle name="Normal 11 6 13 3" xfId="6144"/>
    <cellStyle name="Normal 11 6 13 3 2" xfId="6145"/>
    <cellStyle name="Normal 11 6 13 4" xfId="6146"/>
    <cellStyle name="Normal 11 6 14" xfId="6147"/>
    <cellStyle name="Normal 11 6 14 2" xfId="6148"/>
    <cellStyle name="Normal 11 6 15" xfId="6149"/>
    <cellStyle name="Normal 11 6 15 2" xfId="6150"/>
    <cellStyle name="Normal 11 6 16" xfId="6151"/>
    <cellStyle name="Normal 11 6 2" xfId="6152"/>
    <cellStyle name="Normal 11 6 2 2" xfId="6153"/>
    <cellStyle name="Normal 11 6 2 2 2" xfId="6154"/>
    <cellStyle name="Normal 11 6 2 2 2 2" xfId="6155"/>
    <cellStyle name="Normal 11 6 2 2 2 2 2" xfId="6156"/>
    <cellStyle name="Normal 11 6 2 2 2 3" xfId="6157"/>
    <cellStyle name="Normal 11 6 2 2 2 3 2" xfId="6158"/>
    <cellStyle name="Normal 11 6 2 2 2 4" xfId="6159"/>
    <cellStyle name="Normal 11 6 2 2 3" xfId="6160"/>
    <cellStyle name="Normal 11 6 2 2 3 2" xfId="6161"/>
    <cellStyle name="Normal 11 6 2 2 3 2 2" xfId="6162"/>
    <cellStyle name="Normal 11 6 2 2 3 3" xfId="6163"/>
    <cellStyle name="Normal 11 6 2 2 3 3 2" xfId="6164"/>
    <cellStyle name="Normal 11 6 2 2 3 4" xfId="6165"/>
    <cellStyle name="Normal 11 6 2 2 4" xfId="6166"/>
    <cellStyle name="Normal 11 6 2 2 4 2" xfId="6167"/>
    <cellStyle name="Normal 11 6 2 2 4 2 2" xfId="6168"/>
    <cellStyle name="Normal 11 6 2 2 4 3" xfId="6169"/>
    <cellStyle name="Normal 11 6 2 2 4 3 2" xfId="6170"/>
    <cellStyle name="Normal 11 6 2 2 4 4" xfId="6171"/>
    <cellStyle name="Normal 11 6 2 2 5" xfId="6172"/>
    <cellStyle name="Normal 11 6 2 2 5 2" xfId="6173"/>
    <cellStyle name="Normal 11 6 2 2 6" xfId="6174"/>
    <cellStyle name="Normal 11 6 2 2 6 2" xfId="6175"/>
    <cellStyle name="Normal 11 6 2 2 7" xfId="6176"/>
    <cellStyle name="Normal 11 6 2 3" xfId="6177"/>
    <cellStyle name="Normal 11 6 2 3 2" xfId="6178"/>
    <cellStyle name="Normal 11 6 2 3 2 2" xfId="6179"/>
    <cellStyle name="Normal 11 6 2 3 3" xfId="6180"/>
    <cellStyle name="Normal 11 6 2 3 3 2" xfId="6181"/>
    <cellStyle name="Normal 11 6 2 3 4" xfId="6182"/>
    <cellStyle name="Normal 11 6 2 4" xfId="6183"/>
    <cellStyle name="Normal 11 6 2 4 2" xfId="6184"/>
    <cellStyle name="Normal 11 6 2 4 2 2" xfId="6185"/>
    <cellStyle name="Normal 11 6 2 4 3" xfId="6186"/>
    <cellStyle name="Normal 11 6 2 4 3 2" xfId="6187"/>
    <cellStyle name="Normal 11 6 2 4 4" xfId="6188"/>
    <cellStyle name="Normal 11 6 2 5" xfId="6189"/>
    <cellStyle name="Normal 11 6 2 5 2" xfId="6190"/>
    <cellStyle name="Normal 11 6 2 5 2 2" xfId="6191"/>
    <cellStyle name="Normal 11 6 2 5 3" xfId="6192"/>
    <cellStyle name="Normal 11 6 2 5 3 2" xfId="6193"/>
    <cellStyle name="Normal 11 6 2 5 4" xfId="6194"/>
    <cellStyle name="Normal 11 6 2 6" xfId="6195"/>
    <cellStyle name="Normal 11 6 2 6 2" xfId="6196"/>
    <cellStyle name="Normal 11 6 2 7" xfId="6197"/>
    <cellStyle name="Normal 11 6 2 7 2" xfId="6198"/>
    <cellStyle name="Normal 11 6 2 8" xfId="6199"/>
    <cellStyle name="Normal 11 6 3" xfId="6200"/>
    <cellStyle name="Normal 11 6 3 2" xfId="6201"/>
    <cellStyle name="Normal 11 6 3 2 2" xfId="6202"/>
    <cellStyle name="Normal 11 6 3 2 2 2" xfId="6203"/>
    <cellStyle name="Normal 11 6 3 2 3" xfId="6204"/>
    <cellStyle name="Normal 11 6 3 2 3 2" xfId="6205"/>
    <cellStyle name="Normal 11 6 3 2 4" xfId="6206"/>
    <cellStyle name="Normal 11 6 3 3" xfId="6207"/>
    <cellStyle name="Normal 11 6 3 3 2" xfId="6208"/>
    <cellStyle name="Normal 11 6 3 3 2 2" xfId="6209"/>
    <cellStyle name="Normal 11 6 3 3 3" xfId="6210"/>
    <cellStyle name="Normal 11 6 3 3 3 2" xfId="6211"/>
    <cellStyle name="Normal 11 6 3 3 4" xfId="6212"/>
    <cellStyle name="Normal 11 6 3 4" xfId="6213"/>
    <cellStyle name="Normal 11 6 3 4 2" xfId="6214"/>
    <cellStyle name="Normal 11 6 3 4 2 2" xfId="6215"/>
    <cellStyle name="Normal 11 6 3 4 3" xfId="6216"/>
    <cellStyle name="Normal 11 6 3 4 3 2" xfId="6217"/>
    <cellStyle name="Normal 11 6 3 4 4" xfId="6218"/>
    <cellStyle name="Normal 11 6 3 5" xfId="6219"/>
    <cellStyle name="Normal 11 6 3 5 2" xfId="6220"/>
    <cellStyle name="Normal 11 6 3 6" xfId="6221"/>
    <cellStyle name="Normal 11 6 3 6 2" xfId="6222"/>
    <cellStyle name="Normal 11 6 3 7" xfId="6223"/>
    <cellStyle name="Normal 11 6 4" xfId="6224"/>
    <cellStyle name="Normal 11 6 4 2" xfId="6225"/>
    <cellStyle name="Normal 11 6 4 2 2" xfId="6226"/>
    <cellStyle name="Normal 11 6 4 2 2 2" xfId="6227"/>
    <cellStyle name="Normal 11 6 4 2 3" xfId="6228"/>
    <cellStyle name="Normal 11 6 4 2 3 2" xfId="6229"/>
    <cellStyle name="Normal 11 6 4 2 4" xfId="6230"/>
    <cellStyle name="Normal 11 6 4 3" xfId="6231"/>
    <cellStyle name="Normal 11 6 4 3 2" xfId="6232"/>
    <cellStyle name="Normal 11 6 4 3 2 2" xfId="6233"/>
    <cellStyle name="Normal 11 6 4 3 3" xfId="6234"/>
    <cellStyle name="Normal 11 6 4 3 3 2" xfId="6235"/>
    <cellStyle name="Normal 11 6 4 3 4" xfId="6236"/>
    <cellStyle name="Normal 11 6 4 4" xfId="6237"/>
    <cellStyle name="Normal 11 6 4 4 2" xfId="6238"/>
    <cellStyle name="Normal 11 6 4 4 2 2" xfId="6239"/>
    <cellStyle name="Normal 11 6 4 4 3" xfId="6240"/>
    <cellStyle name="Normal 11 6 4 4 3 2" xfId="6241"/>
    <cellStyle name="Normal 11 6 4 4 4" xfId="6242"/>
    <cellStyle name="Normal 11 6 4 5" xfId="6243"/>
    <cellStyle name="Normal 11 6 4 5 2" xfId="6244"/>
    <cellStyle name="Normal 11 6 4 6" xfId="6245"/>
    <cellStyle name="Normal 11 6 4 6 2" xfId="6246"/>
    <cellStyle name="Normal 11 6 4 7" xfId="6247"/>
    <cellStyle name="Normal 11 6 5" xfId="6248"/>
    <cellStyle name="Normal 11 6 5 2" xfId="6249"/>
    <cellStyle name="Normal 11 6 5 2 2" xfId="6250"/>
    <cellStyle name="Normal 11 6 5 2 2 2" xfId="6251"/>
    <cellStyle name="Normal 11 6 5 2 3" xfId="6252"/>
    <cellStyle name="Normal 11 6 5 2 3 2" xfId="6253"/>
    <cellStyle name="Normal 11 6 5 2 4" xfId="6254"/>
    <cellStyle name="Normal 11 6 5 3" xfId="6255"/>
    <cellStyle name="Normal 11 6 5 3 2" xfId="6256"/>
    <cellStyle name="Normal 11 6 5 3 2 2" xfId="6257"/>
    <cellStyle name="Normal 11 6 5 3 3" xfId="6258"/>
    <cellStyle name="Normal 11 6 5 3 3 2" xfId="6259"/>
    <cellStyle name="Normal 11 6 5 3 4" xfId="6260"/>
    <cellStyle name="Normal 11 6 5 4" xfId="6261"/>
    <cellStyle name="Normal 11 6 5 4 2" xfId="6262"/>
    <cellStyle name="Normal 11 6 5 4 2 2" xfId="6263"/>
    <cellStyle name="Normal 11 6 5 4 3" xfId="6264"/>
    <cellStyle name="Normal 11 6 5 4 3 2" xfId="6265"/>
    <cellStyle name="Normal 11 6 5 4 4" xfId="6266"/>
    <cellStyle name="Normal 11 6 5 5" xfId="6267"/>
    <cellStyle name="Normal 11 6 5 5 2" xfId="6268"/>
    <cellStyle name="Normal 11 6 5 6" xfId="6269"/>
    <cellStyle name="Normal 11 6 5 6 2" xfId="6270"/>
    <cellStyle name="Normal 11 6 5 7" xfId="6271"/>
    <cellStyle name="Normal 11 6 6" xfId="6272"/>
    <cellStyle name="Normal 11 6 6 2" xfId="6273"/>
    <cellStyle name="Normal 11 6 6 2 2" xfId="6274"/>
    <cellStyle name="Normal 11 6 6 2 2 2" xfId="6275"/>
    <cellStyle name="Normal 11 6 6 2 3" xfId="6276"/>
    <cellStyle name="Normal 11 6 6 2 3 2" xfId="6277"/>
    <cellStyle name="Normal 11 6 6 2 4" xfId="6278"/>
    <cellStyle name="Normal 11 6 6 3" xfId="6279"/>
    <cellStyle name="Normal 11 6 6 3 2" xfId="6280"/>
    <cellStyle name="Normal 11 6 6 3 2 2" xfId="6281"/>
    <cellStyle name="Normal 11 6 6 3 3" xfId="6282"/>
    <cellStyle name="Normal 11 6 6 3 3 2" xfId="6283"/>
    <cellStyle name="Normal 11 6 6 3 4" xfId="6284"/>
    <cellStyle name="Normal 11 6 6 4" xfId="6285"/>
    <cellStyle name="Normal 11 6 6 4 2" xfId="6286"/>
    <cellStyle name="Normal 11 6 6 4 2 2" xfId="6287"/>
    <cellStyle name="Normal 11 6 6 4 3" xfId="6288"/>
    <cellStyle name="Normal 11 6 6 4 3 2" xfId="6289"/>
    <cellStyle name="Normal 11 6 6 4 4" xfId="6290"/>
    <cellStyle name="Normal 11 6 6 5" xfId="6291"/>
    <cellStyle name="Normal 11 6 6 5 2" xfId="6292"/>
    <cellStyle name="Normal 11 6 6 6" xfId="6293"/>
    <cellStyle name="Normal 11 6 6 6 2" xfId="6294"/>
    <cellStyle name="Normal 11 6 6 7" xfId="6295"/>
    <cellStyle name="Normal 11 6 7" xfId="6296"/>
    <cellStyle name="Normal 11 6 7 2" xfId="6297"/>
    <cellStyle name="Normal 11 6 7 2 2" xfId="6298"/>
    <cellStyle name="Normal 11 6 7 2 2 2" xfId="6299"/>
    <cellStyle name="Normal 11 6 7 2 3" xfId="6300"/>
    <cellStyle name="Normal 11 6 7 2 3 2" xfId="6301"/>
    <cellStyle name="Normal 11 6 7 2 4" xfId="6302"/>
    <cellStyle name="Normal 11 6 7 3" xfId="6303"/>
    <cellStyle name="Normal 11 6 7 3 2" xfId="6304"/>
    <cellStyle name="Normal 11 6 7 3 2 2" xfId="6305"/>
    <cellStyle name="Normal 11 6 7 3 3" xfId="6306"/>
    <cellStyle name="Normal 11 6 7 3 3 2" xfId="6307"/>
    <cellStyle name="Normal 11 6 7 3 4" xfId="6308"/>
    <cellStyle name="Normal 11 6 7 4" xfId="6309"/>
    <cellStyle name="Normal 11 6 7 4 2" xfId="6310"/>
    <cellStyle name="Normal 11 6 7 4 2 2" xfId="6311"/>
    <cellStyle name="Normal 11 6 7 4 3" xfId="6312"/>
    <cellStyle name="Normal 11 6 7 4 3 2" xfId="6313"/>
    <cellStyle name="Normal 11 6 7 4 4" xfId="6314"/>
    <cellStyle name="Normal 11 6 7 5" xfId="6315"/>
    <cellStyle name="Normal 11 6 7 5 2" xfId="6316"/>
    <cellStyle name="Normal 11 6 7 6" xfId="6317"/>
    <cellStyle name="Normal 11 6 7 6 2" xfId="6318"/>
    <cellStyle name="Normal 11 6 7 7" xfId="6319"/>
    <cellStyle name="Normal 11 6 8" xfId="6320"/>
    <cellStyle name="Normal 11 6 8 2" xfId="6321"/>
    <cellStyle name="Normal 11 6 8 2 2" xfId="6322"/>
    <cellStyle name="Normal 11 6 8 2 2 2" xfId="6323"/>
    <cellStyle name="Normal 11 6 8 2 3" xfId="6324"/>
    <cellStyle name="Normal 11 6 8 2 3 2" xfId="6325"/>
    <cellStyle name="Normal 11 6 8 2 4" xfId="6326"/>
    <cellStyle name="Normal 11 6 8 3" xfId="6327"/>
    <cellStyle name="Normal 11 6 8 3 2" xfId="6328"/>
    <cellStyle name="Normal 11 6 8 3 2 2" xfId="6329"/>
    <cellStyle name="Normal 11 6 8 3 3" xfId="6330"/>
    <cellStyle name="Normal 11 6 8 3 3 2" xfId="6331"/>
    <cellStyle name="Normal 11 6 8 3 4" xfId="6332"/>
    <cellStyle name="Normal 11 6 8 4" xfId="6333"/>
    <cellStyle name="Normal 11 6 8 4 2" xfId="6334"/>
    <cellStyle name="Normal 11 6 8 4 2 2" xfId="6335"/>
    <cellStyle name="Normal 11 6 8 4 3" xfId="6336"/>
    <cellStyle name="Normal 11 6 8 4 3 2" xfId="6337"/>
    <cellStyle name="Normal 11 6 8 4 4" xfId="6338"/>
    <cellStyle name="Normal 11 6 8 5" xfId="6339"/>
    <cellStyle name="Normal 11 6 8 5 2" xfId="6340"/>
    <cellStyle name="Normal 11 6 8 6" xfId="6341"/>
    <cellStyle name="Normal 11 6 8 6 2" xfId="6342"/>
    <cellStyle name="Normal 11 6 8 7" xfId="6343"/>
    <cellStyle name="Normal 11 6 9" xfId="6344"/>
    <cellStyle name="Normal 11 6 9 2" xfId="6345"/>
    <cellStyle name="Normal 11 6 9 2 2" xfId="6346"/>
    <cellStyle name="Normal 11 6 9 2 2 2" xfId="6347"/>
    <cellStyle name="Normal 11 6 9 2 3" xfId="6348"/>
    <cellStyle name="Normal 11 6 9 2 3 2" xfId="6349"/>
    <cellStyle name="Normal 11 6 9 2 4" xfId="6350"/>
    <cellStyle name="Normal 11 6 9 3" xfId="6351"/>
    <cellStyle name="Normal 11 6 9 3 2" xfId="6352"/>
    <cellStyle name="Normal 11 6 9 3 2 2" xfId="6353"/>
    <cellStyle name="Normal 11 6 9 3 3" xfId="6354"/>
    <cellStyle name="Normal 11 6 9 3 3 2" xfId="6355"/>
    <cellStyle name="Normal 11 6 9 3 4" xfId="6356"/>
    <cellStyle name="Normal 11 6 9 4" xfId="6357"/>
    <cellStyle name="Normal 11 6 9 4 2" xfId="6358"/>
    <cellStyle name="Normal 11 6 9 4 2 2" xfId="6359"/>
    <cellStyle name="Normal 11 6 9 4 3" xfId="6360"/>
    <cellStyle name="Normal 11 6 9 4 3 2" xfId="6361"/>
    <cellStyle name="Normal 11 6 9 4 4" xfId="6362"/>
    <cellStyle name="Normal 11 6 9 5" xfId="6363"/>
    <cellStyle name="Normal 11 6 9 5 2" xfId="6364"/>
    <cellStyle name="Normal 11 6 9 6" xfId="6365"/>
    <cellStyle name="Normal 11 6 9 6 2" xfId="6366"/>
    <cellStyle name="Normal 11 6 9 7" xfId="6367"/>
    <cellStyle name="Normal 11 7" xfId="6368"/>
    <cellStyle name="Normal 11 7 10" xfId="6369"/>
    <cellStyle name="Normal 11 7 10 2" xfId="6370"/>
    <cellStyle name="Normal 11 7 10 2 2" xfId="6371"/>
    <cellStyle name="Normal 11 7 10 3" xfId="6372"/>
    <cellStyle name="Normal 11 7 10 3 2" xfId="6373"/>
    <cellStyle name="Normal 11 7 10 4" xfId="6374"/>
    <cellStyle name="Normal 11 7 11" xfId="6375"/>
    <cellStyle name="Normal 11 7 11 2" xfId="6376"/>
    <cellStyle name="Normal 11 7 11 2 2" xfId="6377"/>
    <cellStyle name="Normal 11 7 11 3" xfId="6378"/>
    <cellStyle name="Normal 11 7 11 3 2" xfId="6379"/>
    <cellStyle name="Normal 11 7 11 4" xfId="6380"/>
    <cellStyle name="Normal 11 7 12" xfId="6381"/>
    <cellStyle name="Normal 11 7 12 2" xfId="6382"/>
    <cellStyle name="Normal 11 7 12 2 2" xfId="6383"/>
    <cellStyle name="Normal 11 7 12 3" xfId="6384"/>
    <cellStyle name="Normal 11 7 12 3 2" xfId="6385"/>
    <cellStyle name="Normal 11 7 12 4" xfId="6386"/>
    <cellStyle name="Normal 11 7 13" xfId="6387"/>
    <cellStyle name="Normal 11 7 13 2" xfId="6388"/>
    <cellStyle name="Normal 11 7 13 2 2" xfId="6389"/>
    <cellStyle name="Normal 11 7 13 3" xfId="6390"/>
    <cellStyle name="Normal 11 7 13 3 2" xfId="6391"/>
    <cellStyle name="Normal 11 7 13 4" xfId="6392"/>
    <cellStyle name="Normal 11 7 14" xfId="6393"/>
    <cellStyle name="Normal 11 7 14 2" xfId="6394"/>
    <cellStyle name="Normal 11 7 15" xfId="6395"/>
    <cellStyle name="Normal 11 7 15 2" xfId="6396"/>
    <cellStyle name="Normal 11 7 16" xfId="6397"/>
    <cellStyle name="Normal 11 7 2" xfId="6398"/>
    <cellStyle name="Normal 11 7 2 2" xfId="6399"/>
    <cellStyle name="Normal 11 7 2 2 2" xfId="6400"/>
    <cellStyle name="Normal 11 7 2 2 2 2" xfId="6401"/>
    <cellStyle name="Normal 11 7 2 2 2 2 2" xfId="6402"/>
    <cellStyle name="Normal 11 7 2 2 2 3" xfId="6403"/>
    <cellStyle name="Normal 11 7 2 2 2 3 2" xfId="6404"/>
    <cellStyle name="Normal 11 7 2 2 2 4" xfId="6405"/>
    <cellStyle name="Normal 11 7 2 2 3" xfId="6406"/>
    <cellStyle name="Normal 11 7 2 2 3 2" xfId="6407"/>
    <cellStyle name="Normal 11 7 2 2 3 2 2" xfId="6408"/>
    <cellStyle name="Normal 11 7 2 2 3 3" xfId="6409"/>
    <cellStyle name="Normal 11 7 2 2 3 3 2" xfId="6410"/>
    <cellStyle name="Normal 11 7 2 2 3 4" xfId="6411"/>
    <cellStyle name="Normal 11 7 2 2 4" xfId="6412"/>
    <cellStyle name="Normal 11 7 2 2 4 2" xfId="6413"/>
    <cellStyle name="Normal 11 7 2 2 4 2 2" xfId="6414"/>
    <cellStyle name="Normal 11 7 2 2 4 3" xfId="6415"/>
    <cellStyle name="Normal 11 7 2 2 4 3 2" xfId="6416"/>
    <cellStyle name="Normal 11 7 2 2 4 4" xfId="6417"/>
    <cellStyle name="Normal 11 7 2 2 5" xfId="6418"/>
    <cellStyle name="Normal 11 7 2 2 5 2" xfId="6419"/>
    <cellStyle name="Normal 11 7 2 2 6" xfId="6420"/>
    <cellStyle name="Normal 11 7 2 2 6 2" xfId="6421"/>
    <cellStyle name="Normal 11 7 2 2 7" xfId="6422"/>
    <cellStyle name="Normal 11 7 2 3" xfId="6423"/>
    <cellStyle name="Normal 11 7 2 3 2" xfId="6424"/>
    <cellStyle name="Normal 11 7 2 3 2 2" xfId="6425"/>
    <cellStyle name="Normal 11 7 2 3 3" xfId="6426"/>
    <cellStyle name="Normal 11 7 2 3 3 2" xfId="6427"/>
    <cellStyle name="Normal 11 7 2 3 4" xfId="6428"/>
    <cellStyle name="Normal 11 7 2 4" xfId="6429"/>
    <cellStyle name="Normal 11 7 2 4 2" xfId="6430"/>
    <cellStyle name="Normal 11 7 2 4 2 2" xfId="6431"/>
    <cellStyle name="Normal 11 7 2 4 3" xfId="6432"/>
    <cellStyle name="Normal 11 7 2 4 3 2" xfId="6433"/>
    <cellStyle name="Normal 11 7 2 4 4" xfId="6434"/>
    <cellStyle name="Normal 11 7 2 5" xfId="6435"/>
    <cellStyle name="Normal 11 7 2 5 2" xfId="6436"/>
    <cellStyle name="Normal 11 7 2 5 2 2" xfId="6437"/>
    <cellStyle name="Normal 11 7 2 5 3" xfId="6438"/>
    <cellStyle name="Normal 11 7 2 5 3 2" xfId="6439"/>
    <cellStyle name="Normal 11 7 2 5 4" xfId="6440"/>
    <cellStyle name="Normal 11 7 2 6" xfId="6441"/>
    <cellStyle name="Normal 11 7 2 6 2" xfId="6442"/>
    <cellStyle name="Normal 11 7 2 7" xfId="6443"/>
    <cellStyle name="Normal 11 7 2 7 2" xfId="6444"/>
    <cellStyle name="Normal 11 7 2 8" xfId="6445"/>
    <cellStyle name="Normal 11 7 3" xfId="6446"/>
    <cellStyle name="Normal 11 7 3 2" xfId="6447"/>
    <cellStyle name="Normal 11 7 3 2 2" xfId="6448"/>
    <cellStyle name="Normal 11 7 3 2 2 2" xfId="6449"/>
    <cellStyle name="Normal 11 7 3 2 3" xfId="6450"/>
    <cellStyle name="Normal 11 7 3 2 3 2" xfId="6451"/>
    <cellStyle name="Normal 11 7 3 2 4" xfId="6452"/>
    <cellStyle name="Normal 11 7 3 3" xfId="6453"/>
    <cellStyle name="Normal 11 7 3 3 2" xfId="6454"/>
    <cellStyle name="Normal 11 7 3 3 2 2" xfId="6455"/>
    <cellStyle name="Normal 11 7 3 3 3" xfId="6456"/>
    <cellStyle name="Normal 11 7 3 3 3 2" xfId="6457"/>
    <cellStyle name="Normal 11 7 3 3 4" xfId="6458"/>
    <cellStyle name="Normal 11 7 3 4" xfId="6459"/>
    <cellStyle name="Normal 11 7 3 4 2" xfId="6460"/>
    <cellStyle name="Normal 11 7 3 4 2 2" xfId="6461"/>
    <cellStyle name="Normal 11 7 3 4 3" xfId="6462"/>
    <cellStyle name="Normal 11 7 3 4 3 2" xfId="6463"/>
    <cellStyle name="Normal 11 7 3 4 4" xfId="6464"/>
    <cellStyle name="Normal 11 7 3 5" xfId="6465"/>
    <cellStyle name="Normal 11 7 3 5 2" xfId="6466"/>
    <cellStyle name="Normal 11 7 3 6" xfId="6467"/>
    <cellStyle name="Normal 11 7 3 6 2" xfId="6468"/>
    <cellStyle name="Normal 11 7 3 7" xfId="6469"/>
    <cellStyle name="Normal 11 7 4" xfId="6470"/>
    <cellStyle name="Normal 11 7 4 2" xfId="6471"/>
    <cellStyle name="Normal 11 7 4 2 2" xfId="6472"/>
    <cellStyle name="Normal 11 7 4 2 2 2" xfId="6473"/>
    <cellStyle name="Normal 11 7 4 2 3" xfId="6474"/>
    <cellStyle name="Normal 11 7 4 2 3 2" xfId="6475"/>
    <cellStyle name="Normal 11 7 4 2 4" xfId="6476"/>
    <cellStyle name="Normal 11 7 4 3" xfId="6477"/>
    <cellStyle name="Normal 11 7 4 3 2" xfId="6478"/>
    <cellStyle name="Normal 11 7 4 3 2 2" xfId="6479"/>
    <cellStyle name="Normal 11 7 4 3 3" xfId="6480"/>
    <cellStyle name="Normal 11 7 4 3 3 2" xfId="6481"/>
    <cellStyle name="Normal 11 7 4 3 4" xfId="6482"/>
    <cellStyle name="Normal 11 7 4 4" xfId="6483"/>
    <cellStyle name="Normal 11 7 4 4 2" xfId="6484"/>
    <cellStyle name="Normal 11 7 4 4 2 2" xfId="6485"/>
    <cellStyle name="Normal 11 7 4 4 3" xfId="6486"/>
    <cellStyle name="Normal 11 7 4 4 3 2" xfId="6487"/>
    <cellStyle name="Normal 11 7 4 4 4" xfId="6488"/>
    <cellStyle name="Normal 11 7 4 5" xfId="6489"/>
    <cellStyle name="Normal 11 7 4 5 2" xfId="6490"/>
    <cellStyle name="Normal 11 7 4 6" xfId="6491"/>
    <cellStyle name="Normal 11 7 4 6 2" xfId="6492"/>
    <cellStyle name="Normal 11 7 4 7" xfId="6493"/>
    <cellStyle name="Normal 11 7 5" xfId="6494"/>
    <cellStyle name="Normal 11 7 5 2" xfId="6495"/>
    <cellStyle name="Normal 11 7 5 2 2" xfId="6496"/>
    <cellStyle name="Normal 11 7 5 2 2 2" xfId="6497"/>
    <cellStyle name="Normal 11 7 5 2 3" xfId="6498"/>
    <cellStyle name="Normal 11 7 5 2 3 2" xfId="6499"/>
    <cellStyle name="Normal 11 7 5 2 4" xfId="6500"/>
    <cellStyle name="Normal 11 7 5 3" xfId="6501"/>
    <cellStyle name="Normal 11 7 5 3 2" xfId="6502"/>
    <cellStyle name="Normal 11 7 5 3 2 2" xfId="6503"/>
    <cellStyle name="Normal 11 7 5 3 3" xfId="6504"/>
    <cellStyle name="Normal 11 7 5 3 3 2" xfId="6505"/>
    <cellStyle name="Normal 11 7 5 3 4" xfId="6506"/>
    <cellStyle name="Normal 11 7 5 4" xfId="6507"/>
    <cellStyle name="Normal 11 7 5 4 2" xfId="6508"/>
    <cellStyle name="Normal 11 7 5 4 2 2" xfId="6509"/>
    <cellStyle name="Normal 11 7 5 4 3" xfId="6510"/>
    <cellStyle name="Normal 11 7 5 4 3 2" xfId="6511"/>
    <cellStyle name="Normal 11 7 5 4 4" xfId="6512"/>
    <cellStyle name="Normal 11 7 5 5" xfId="6513"/>
    <cellStyle name="Normal 11 7 5 5 2" xfId="6514"/>
    <cellStyle name="Normal 11 7 5 6" xfId="6515"/>
    <cellStyle name="Normal 11 7 5 6 2" xfId="6516"/>
    <cellStyle name="Normal 11 7 5 7" xfId="6517"/>
    <cellStyle name="Normal 11 7 6" xfId="6518"/>
    <cellStyle name="Normal 11 7 6 2" xfId="6519"/>
    <cellStyle name="Normal 11 7 6 2 2" xfId="6520"/>
    <cellStyle name="Normal 11 7 6 2 2 2" xfId="6521"/>
    <cellStyle name="Normal 11 7 6 2 3" xfId="6522"/>
    <cellStyle name="Normal 11 7 6 2 3 2" xfId="6523"/>
    <cellStyle name="Normal 11 7 6 2 4" xfId="6524"/>
    <cellStyle name="Normal 11 7 6 3" xfId="6525"/>
    <cellStyle name="Normal 11 7 6 3 2" xfId="6526"/>
    <cellStyle name="Normal 11 7 6 3 2 2" xfId="6527"/>
    <cellStyle name="Normal 11 7 6 3 3" xfId="6528"/>
    <cellStyle name="Normal 11 7 6 3 3 2" xfId="6529"/>
    <cellStyle name="Normal 11 7 6 3 4" xfId="6530"/>
    <cellStyle name="Normal 11 7 6 4" xfId="6531"/>
    <cellStyle name="Normal 11 7 6 4 2" xfId="6532"/>
    <cellStyle name="Normal 11 7 6 4 2 2" xfId="6533"/>
    <cellStyle name="Normal 11 7 6 4 3" xfId="6534"/>
    <cellStyle name="Normal 11 7 6 4 3 2" xfId="6535"/>
    <cellStyle name="Normal 11 7 6 4 4" xfId="6536"/>
    <cellStyle name="Normal 11 7 6 5" xfId="6537"/>
    <cellStyle name="Normal 11 7 6 5 2" xfId="6538"/>
    <cellStyle name="Normal 11 7 6 6" xfId="6539"/>
    <cellStyle name="Normal 11 7 6 6 2" xfId="6540"/>
    <cellStyle name="Normal 11 7 6 7" xfId="6541"/>
    <cellStyle name="Normal 11 7 7" xfId="6542"/>
    <cellStyle name="Normal 11 7 7 2" xfId="6543"/>
    <cellStyle name="Normal 11 7 7 2 2" xfId="6544"/>
    <cellStyle name="Normal 11 7 7 2 2 2" xfId="6545"/>
    <cellStyle name="Normal 11 7 7 2 3" xfId="6546"/>
    <cellStyle name="Normal 11 7 7 2 3 2" xfId="6547"/>
    <cellStyle name="Normal 11 7 7 2 4" xfId="6548"/>
    <cellStyle name="Normal 11 7 7 3" xfId="6549"/>
    <cellStyle name="Normal 11 7 7 3 2" xfId="6550"/>
    <cellStyle name="Normal 11 7 7 3 2 2" xfId="6551"/>
    <cellStyle name="Normal 11 7 7 3 3" xfId="6552"/>
    <cellStyle name="Normal 11 7 7 3 3 2" xfId="6553"/>
    <cellStyle name="Normal 11 7 7 3 4" xfId="6554"/>
    <cellStyle name="Normal 11 7 7 4" xfId="6555"/>
    <cellStyle name="Normal 11 7 7 4 2" xfId="6556"/>
    <cellStyle name="Normal 11 7 7 4 2 2" xfId="6557"/>
    <cellStyle name="Normal 11 7 7 4 3" xfId="6558"/>
    <cellStyle name="Normal 11 7 7 4 3 2" xfId="6559"/>
    <cellStyle name="Normal 11 7 7 4 4" xfId="6560"/>
    <cellStyle name="Normal 11 7 7 5" xfId="6561"/>
    <cellStyle name="Normal 11 7 7 5 2" xfId="6562"/>
    <cellStyle name="Normal 11 7 7 6" xfId="6563"/>
    <cellStyle name="Normal 11 7 7 6 2" xfId="6564"/>
    <cellStyle name="Normal 11 7 7 7" xfId="6565"/>
    <cellStyle name="Normal 11 7 8" xfId="6566"/>
    <cellStyle name="Normal 11 7 8 2" xfId="6567"/>
    <cellStyle name="Normal 11 7 8 2 2" xfId="6568"/>
    <cellStyle name="Normal 11 7 8 2 2 2" xfId="6569"/>
    <cellStyle name="Normal 11 7 8 2 3" xfId="6570"/>
    <cellStyle name="Normal 11 7 8 2 3 2" xfId="6571"/>
    <cellStyle name="Normal 11 7 8 2 4" xfId="6572"/>
    <cellStyle name="Normal 11 7 8 3" xfId="6573"/>
    <cellStyle name="Normal 11 7 8 3 2" xfId="6574"/>
    <cellStyle name="Normal 11 7 8 3 2 2" xfId="6575"/>
    <cellStyle name="Normal 11 7 8 3 3" xfId="6576"/>
    <cellStyle name="Normal 11 7 8 3 3 2" xfId="6577"/>
    <cellStyle name="Normal 11 7 8 3 4" xfId="6578"/>
    <cellStyle name="Normal 11 7 8 4" xfId="6579"/>
    <cellStyle name="Normal 11 7 8 4 2" xfId="6580"/>
    <cellStyle name="Normal 11 7 8 4 2 2" xfId="6581"/>
    <cellStyle name="Normal 11 7 8 4 3" xfId="6582"/>
    <cellStyle name="Normal 11 7 8 4 3 2" xfId="6583"/>
    <cellStyle name="Normal 11 7 8 4 4" xfId="6584"/>
    <cellStyle name="Normal 11 7 8 5" xfId="6585"/>
    <cellStyle name="Normal 11 7 8 5 2" xfId="6586"/>
    <cellStyle name="Normal 11 7 8 6" xfId="6587"/>
    <cellStyle name="Normal 11 7 8 6 2" xfId="6588"/>
    <cellStyle name="Normal 11 7 8 7" xfId="6589"/>
    <cellStyle name="Normal 11 7 9" xfId="6590"/>
    <cellStyle name="Normal 11 7 9 2" xfId="6591"/>
    <cellStyle name="Normal 11 7 9 2 2" xfId="6592"/>
    <cellStyle name="Normal 11 7 9 2 2 2" xfId="6593"/>
    <cellStyle name="Normal 11 7 9 2 3" xfId="6594"/>
    <cellStyle name="Normal 11 7 9 2 3 2" xfId="6595"/>
    <cellStyle name="Normal 11 7 9 2 4" xfId="6596"/>
    <cellStyle name="Normal 11 7 9 3" xfId="6597"/>
    <cellStyle name="Normal 11 7 9 3 2" xfId="6598"/>
    <cellStyle name="Normal 11 7 9 3 2 2" xfId="6599"/>
    <cellStyle name="Normal 11 7 9 3 3" xfId="6600"/>
    <cellStyle name="Normal 11 7 9 3 3 2" xfId="6601"/>
    <cellStyle name="Normal 11 7 9 3 4" xfId="6602"/>
    <cellStyle name="Normal 11 7 9 4" xfId="6603"/>
    <cellStyle name="Normal 11 7 9 4 2" xfId="6604"/>
    <cellStyle name="Normal 11 7 9 4 2 2" xfId="6605"/>
    <cellStyle name="Normal 11 7 9 4 3" xfId="6606"/>
    <cellStyle name="Normal 11 7 9 4 3 2" xfId="6607"/>
    <cellStyle name="Normal 11 7 9 4 4" xfId="6608"/>
    <cellStyle name="Normal 11 7 9 5" xfId="6609"/>
    <cellStyle name="Normal 11 7 9 5 2" xfId="6610"/>
    <cellStyle name="Normal 11 7 9 6" xfId="6611"/>
    <cellStyle name="Normal 11 7 9 6 2" xfId="6612"/>
    <cellStyle name="Normal 11 7 9 7" xfId="6613"/>
    <cellStyle name="Normal 11 8" xfId="6614"/>
    <cellStyle name="Normal 11 8 10" xfId="6615"/>
    <cellStyle name="Normal 11 8 10 2" xfId="6616"/>
    <cellStyle name="Normal 11 8 10 2 2" xfId="6617"/>
    <cellStyle name="Normal 11 8 10 3" xfId="6618"/>
    <cellStyle name="Normal 11 8 10 3 2" xfId="6619"/>
    <cellStyle name="Normal 11 8 10 4" xfId="6620"/>
    <cellStyle name="Normal 11 8 11" xfId="6621"/>
    <cellStyle name="Normal 11 8 11 2" xfId="6622"/>
    <cellStyle name="Normal 11 8 11 2 2" xfId="6623"/>
    <cellStyle name="Normal 11 8 11 3" xfId="6624"/>
    <cellStyle name="Normal 11 8 11 3 2" xfId="6625"/>
    <cellStyle name="Normal 11 8 11 4" xfId="6626"/>
    <cellStyle name="Normal 11 8 12" xfId="6627"/>
    <cellStyle name="Normal 11 8 12 2" xfId="6628"/>
    <cellStyle name="Normal 11 8 12 2 2" xfId="6629"/>
    <cellStyle name="Normal 11 8 12 3" xfId="6630"/>
    <cellStyle name="Normal 11 8 12 3 2" xfId="6631"/>
    <cellStyle name="Normal 11 8 12 4" xfId="6632"/>
    <cellStyle name="Normal 11 8 13" xfId="6633"/>
    <cellStyle name="Normal 11 8 13 2" xfId="6634"/>
    <cellStyle name="Normal 11 8 13 2 2" xfId="6635"/>
    <cellStyle name="Normal 11 8 13 3" xfId="6636"/>
    <cellStyle name="Normal 11 8 13 3 2" xfId="6637"/>
    <cellStyle name="Normal 11 8 13 4" xfId="6638"/>
    <cellStyle name="Normal 11 8 14" xfId="6639"/>
    <cellStyle name="Normal 11 8 14 2" xfId="6640"/>
    <cellStyle name="Normal 11 8 15" xfId="6641"/>
    <cellStyle name="Normal 11 8 15 2" xfId="6642"/>
    <cellStyle name="Normal 11 8 16" xfId="6643"/>
    <cellStyle name="Normal 11 8 2" xfId="6644"/>
    <cellStyle name="Normal 11 8 2 2" xfId="6645"/>
    <cellStyle name="Normal 11 8 2 2 2" xfId="6646"/>
    <cellStyle name="Normal 11 8 2 2 2 2" xfId="6647"/>
    <cellStyle name="Normal 11 8 2 2 2 2 2" xfId="6648"/>
    <cellStyle name="Normal 11 8 2 2 2 3" xfId="6649"/>
    <cellStyle name="Normal 11 8 2 2 2 3 2" xfId="6650"/>
    <cellStyle name="Normal 11 8 2 2 2 4" xfId="6651"/>
    <cellStyle name="Normal 11 8 2 2 3" xfId="6652"/>
    <cellStyle name="Normal 11 8 2 2 3 2" xfId="6653"/>
    <cellStyle name="Normal 11 8 2 2 3 2 2" xfId="6654"/>
    <cellStyle name="Normal 11 8 2 2 3 3" xfId="6655"/>
    <cellStyle name="Normal 11 8 2 2 3 3 2" xfId="6656"/>
    <cellStyle name="Normal 11 8 2 2 3 4" xfId="6657"/>
    <cellStyle name="Normal 11 8 2 2 4" xfId="6658"/>
    <cellStyle name="Normal 11 8 2 2 4 2" xfId="6659"/>
    <cellStyle name="Normal 11 8 2 2 4 2 2" xfId="6660"/>
    <cellStyle name="Normal 11 8 2 2 4 3" xfId="6661"/>
    <cellStyle name="Normal 11 8 2 2 4 3 2" xfId="6662"/>
    <cellStyle name="Normal 11 8 2 2 4 4" xfId="6663"/>
    <cellStyle name="Normal 11 8 2 2 5" xfId="6664"/>
    <cellStyle name="Normal 11 8 2 2 5 2" xfId="6665"/>
    <cellStyle name="Normal 11 8 2 2 6" xfId="6666"/>
    <cellStyle name="Normal 11 8 2 2 6 2" xfId="6667"/>
    <cellStyle name="Normal 11 8 2 2 7" xfId="6668"/>
    <cellStyle name="Normal 11 8 2 3" xfId="6669"/>
    <cellStyle name="Normal 11 8 2 3 2" xfId="6670"/>
    <cellStyle name="Normal 11 8 2 3 2 2" xfId="6671"/>
    <cellStyle name="Normal 11 8 2 3 3" xfId="6672"/>
    <cellStyle name="Normal 11 8 2 3 3 2" xfId="6673"/>
    <cellStyle name="Normal 11 8 2 3 4" xfId="6674"/>
    <cellStyle name="Normal 11 8 2 4" xfId="6675"/>
    <cellStyle name="Normal 11 8 2 4 2" xfId="6676"/>
    <cellStyle name="Normal 11 8 2 4 2 2" xfId="6677"/>
    <cellStyle name="Normal 11 8 2 4 3" xfId="6678"/>
    <cellStyle name="Normal 11 8 2 4 3 2" xfId="6679"/>
    <cellStyle name="Normal 11 8 2 4 4" xfId="6680"/>
    <cellStyle name="Normal 11 8 2 5" xfId="6681"/>
    <cellStyle name="Normal 11 8 2 5 2" xfId="6682"/>
    <cellStyle name="Normal 11 8 2 5 2 2" xfId="6683"/>
    <cellStyle name="Normal 11 8 2 5 3" xfId="6684"/>
    <cellStyle name="Normal 11 8 2 5 3 2" xfId="6685"/>
    <cellStyle name="Normal 11 8 2 5 4" xfId="6686"/>
    <cellStyle name="Normal 11 8 2 6" xfId="6687"/>
    <cellStyle name="Normal 11 8 2 6 2" xfId="6688"/>
    <cellStyle name="Normal 11 8 2 7" xfId="6689"/>
    <cellStyle name="Normal 11 8 2 7 2" xfId="6690"/>
    <cellStyle name="Normal 11 8 2 8" xfId="6691"/>
    <cellStyle name="Normal 11 8 3" xfId="6692"/>
    <cellStyle name="Normal 11 8 3 2" xfId="6693"/>
    <cellStyle name="Normal 11 8 3 2 2" xfId="6694"/>
    <cellStyle name="Normal 11 8 3 2 2 2" xfId="6695"/>
    <cellStyle name="Normal 11 8 3 2 3" xfId="6696"/>
    <cellStyle name="Normal 11 8 3 2 3 2" xfId="6697"/>
    <cellStyle name="Normal 11 8 3 2 4" xfId="6698"/>
    <cellStyle name="Normal 11 8 3 3" xfId="6699"/>
    <cellStyle name="Normal 11 8 3 3 2" xfId="6700"/>
    <cellStyle name="Normal 11 8 3 3 2 2" xfId="6701"/>
    <cellStyle name="Normal 11 8 3 3 3" xfId="6702"/>
    <cellStyle name="Normal 11 8 3 3 3 2" xfId="6703"/>
    <cellStyle name="Normal 11 8 3 3 4" xfId="6704"/>
    <cellStyle name="Normal 11 8 3 4" xfId="6705"/>
    <cellStyle name="Normal 11 8 3 4 2" xfId="6706"/>
    <cellStyle name="Normal 11 8 3 4 2 2" xfId="6707"/>
    <cellStyle name="Normal 11 8 3 4 3" xfId="6708"/>
    <cellStyle name="Normal 11 8 3 4 3 2" xfId="6709"/>
    <cellStyle name="Normal 11 8 3 4 4" xfId="6710"/>
    <cellStyle name="Normal 11 8 3 5" xfId="6711"/>
    <cellStyle name="Normal 11 8 3 5 2" xfId="6712"/>
    <cellStyle name="Normal 11 8 3 6" xfId="6713"/>
    <cellStyle name="Normal 11 8 3 6 2" xfId="6714"/>
    <cellStyle name="Normal 11 8 3 7" xfId="6715"/>
    <cellStyle name="Normal 11 8 4" xfId="6716"/>
    <cellStyle name="Normal 11 8 4 2" xfId="6717"/>
    <cellStyle name="Normal 11 8 4 2 2" xfId="6718"/>
    <cellStyle name="Normal 11 8 4 2 2 2" xfId="6719"/>
    <cellStyle name="Normal 11 8 4 2 3" xfId="6720"/>
    <cellStyle name="Normal 11 8 4 2 3 2" xfId="6721"/>
    <cellStyle name="Normal 11 8 4 2 4" xfId="6722"/>
    <cellStyle name="Normal 11 8 4 3" xfId="6723"/>
    <cellStyle name="Normal 11 8 4 3 2" xfId="6724"/>
    <cellStyle name="Normal 11 8 4 3 2 2" xfId="6725"/>
    <cellStyle name="Normal 11 8 4 3 3" xfId="6726"/>
    <cellStyle name="Normal 11 8 4 3 3 2" xfId="6727"/>
    <cellStyle name="Normal 11 8 4 3 4" xfId="6728"/>
    <cellStyle name="Normal 11 8 4 4" xfId="6729"/>
    <cellStyle name="Normal 11 8 4 4 2" xfId="6730"/>
    <cellStyle name="Normal 11 8 4 4 2 2" xfId="6731"/>
    <cellStyle name="Normal 11 8 4 4 3" xfId="6732"/>
    <cellStyle name="Normal 11 8 4 4 3 2" xfId="6733"/>
    <cellStyle name="Normal 11 8 4 4 4" xfId="6734"/>
    <cellStyle name="Normal 11 8 4 5" xfId="6735"/>
    <cellStyle name="Normal 11 8 4 5 2" xfId="6736"/>
    <cellStyle name="Normal 11 8 4 6" xfId="6737"/>
    <cellStyle name="Normal 11 8 4 6 2" xfId="6738"/>
    <cellStyle name="Normal 11 8 4 7" xfId="6739"/>
    <cellStyle name="Normal 11 8 5" xfId="6740"/>
    <cellStyle name="Normal 11 8 5 2" xfId="6741"/>
    <cellStyle name="Normal 11 8 5 2 2" xfId="6742"/>
    <cellStyle name="Normal 11 8 5 2 2 2" xfId="6743"/>
    <cellStyle name="Normal 11 8 5 2 3" xfId="6744"/>
    <cellStyle name="Normal 11 8 5 2 3 2" xfId="6745"/>
    <cellStyle name="Normal 11 8 5 2 4" xfId="6746"/>
    <cellStyle name="Normal 11 8 5 3" xfId="6747"/>
    <cellStyle name="Normal 11 8 5 3 2" xfId="6748"/>
    <cellStyle name="Normal 11 8 5 3 2 2" xfId="6749"/>
    <cellStyle name="Normal 11 8 5 3 3" xfId="6750"/>
    <cellStyle name="Normal 11 8 5 3 3 2" xfId="6751"/>
    <cellStyle name="Normal 11 8 5 3 4" xfId="6752"/>
    <cellStyle name="Normal 11 8 5 4" xfId="6753"/>
    <cellStyle name="Normal 11 8 5 4 2" xfId="6754"/>
    <cellStyle name="Normal 11 8 5 4 2 2" xfId="6755"/>
    <cellStyle name="Normal 11 8 5 4 3" xfId="6756"/>
    <cellStyle name="Normal 11 8 5 4 3 2" xfId="6757"/>
    <cellStyle name="Normal 11 8 5 4 4" xfId="6758"/>
    <cellStyle name="Normal 11 8 5 5" xfId="6759"/>
    <cellStyle name="Normal 11 8 5 5 2" xfId="6760"/>
    <cellStyle name="Normal 11 8 5 6" xfId="6761"/>
    <cellStyle name="Normal 11 8 5 6 2" xfId="6762"/>
    <cellStyle name="Normal 11 8 5 7" xfId="6763"/>
    <cellStyle name="Normal 11 8 6" xfId="6764"/>
    <cellStyle name="Normal 11 8 6 2" xfId="6765"/>
    <cellStyle name="Normal 11 8 6 2 2" xfId="6766"/>
    <cellStyle name="Normal 11 8 6 2 2 2" xfId="6767"/>
    <cellStyle name="Normal 11 8 6 2 3" xfId="6768"/>
    <cellStyle name="Normal 11 8 6 2 3 2" xfId="6769"/>
    <cellStyle name="Normal 11 8 6 2 4" xfId="6770"/>
    <cellStyle name="Normal 11 8 6 3" xfId="6771"/>
    <cellStyle name="Normal 11 8 6 3 2" xfId="6772"/>
    <cellStyle name="Normal 11 8 6 3 2 2" xfId="6773"/>
    <cellStyle name="Normal 11 8 6 3 3" xfId="6774"/>
    <cellStyle name="Normal 11 8 6 3 3 2" xfId="6775"/>
    <cellStyle name="Normal 11 8 6 3 4" xfId="6776"/>
    <cellStyle name="Normal 11 8 6 4" xfId="6777"/>
    <cellStyle name="Normal 11 8 6 4 2" xfId="6778"/>
    <cellStyle name="Normal 11 8 6 4 2 2" xfId="6779"/>
    <cellStyle name="Normal 11 8 6 4 3" xfId="6780"/>
    <cellStyle name="Normal 11 8 6 4 3 2" xfId="6781"/>
    <cellStyle name="Normal 11 8 6 4 4" xfId="6782"/>
    <cellStyle name="Normal 11 8 6 5" xfId="6783"/>
    <cellStyle name="Normal 11 8 6 5 2" xfId="6784"/>
    <cellStyle name="Normal 11 8 6 6" xfId="6785"/>
    <cellStyle name="Normal 11 8 6 6 2" xfId="6786"/>
    <cellStyle name="Normal 11 8 6 7" xfId="6787"/>
    <cellStyle name="Normal 11 8 7" xfId="6788"/>
    <cellStyle name="Normal 11 8 7 2" xfId="6789"/>
    <cellStyle name="Normal 11 8 7 2 2" xfId="6790"/>
    <cellStyle name="Normal 11 8 7 2 2 2" xfId="6791"/>
    <cellStyle name="Normal 11 8 7 2 3" xfId="6792"/>
    <cellStyle name="Normal 11 8 7 2 3 2" xfId="6793"/>
    <cellStyle name="Normal 11 8 7 2 4" xfId="6794"/>
    <cellStyle name="Normal 11 8 7 3" xfId="6795"/>
    <cellStyle name="Normal 11 8 7 3 2" xfId="6796"/>
    <cellStyle name="Normal 11 8 7 3 2 2" xfId="6797"/>
    <cellStyle name="Normal 11 8 7 3 3" xfId="6798"/>
    <cellStyle name="Normal 11 8 7 3 3 2" xfId="6799"/>
    <cellStyle name="Normal 11 8 7 3 4" xfId="6800"/>
    <cellStyle name="Normal 11 8 7 4" xfId="6801"/>
    <cellStyle name="Normal 11 8 7 4 2" xfId="6802"/>
    <cellStyle name="Normal 11 8 7 4 2 2" xfId="6803"/>
    <cellStyle name="Normal 11 8 7 4 3" xfId="6804"/>
    <cellStyle name="Normal 11 8 7 4 3 2" xfId="6805"/>
    <cellStyle name="Normal 11 8 7 4 4" xfId="6806"/>
    <cellStyle name="Normal 11 8 7 5" xfId="6807"/>
    <cellStyle name="Normal 11 8 7 5 2" xfId="6808"/>
    <cellStyle name="Normal 11 8 7 6" xfId="6809"/>
    <cellStyle name="Normal 11 8 7 6 2" xfId="6810"/>
    <cellStyle name="Normal 11 8 7 7" xfId="6811"/>
    <cellStyle name="Normal 11 8 8" xfId="6812"/>
    <cellStyle name="Normal 11 8 8 2" xfId="6813"/>
    <cellStyle name="Normal 11 8 8 2 2" xfId="6814"/>
    <cellStyle name="Normal 11 8 8 2 2 2" xfId="6815"/>
    <cellStyle name="Normal 11 8 8 2 3" xfId="6816"/>
    <cellStyle name="Normal 11 8 8 2 3 2" xfId="6817"/>
    <cellStyle name="Normal 11 8 8 2 4" xfId="6818"/>
    <cellStyle name="Normal 11 8 8 3" xfId="6819"/>
    <cellStyle name="Normal 11 8 8 3 2" xfId="6820"/>
    <cellStyle name="Normal 11 8 8 3 2 2" xfId="6821"/>
    <cellStyle name="Normal 11 8 8 3 3" xfId="6822"/>
    <cellStyle name="Normal 11 8 8 3 3 2" xfId="6823"/>
    <cellStyle name="Normal 11 8 8 3 4" xfId="6824"/>
    <cellStyle name="Normal 11 8 8 4" xfId="6825"/>
    <cellStyle name="Normal 11 8 8 4 2" xfId="6826"/>
    <cellStyle name="Normal 11 8 8 4 2 2" xfId="6827"/>
    <cellStyle name="Normal 11 8 8 4 3" xfId="6828"/>
    <cellStyle name="Normal 11 8 8 4 3 2" xfId="6829"/>
    <cellStyle name="Normal 11 8 8 4 4" xfId="6830"/>
    <cellStyle name="Normal 11 8 8 5" xfId="6831"/>
    <cellStyle name="Normal 11 8 8 5 2" xfId="6832"/>
    <cellStyle name="Normal 11 8 8 6" xfId="6833"/>
    <cellStyle name="Normal 11 8 8 6 2" xfId="6834"/>
    <cellStyle name="Normal 11 8 8 7" xfId="6835"/>
    <cellStyle name="Normal 11 8 9" xfId="6836"/>
    <cellStyle name="Normal 11 8 9 2" xfId="6837"/>
    <cellStyle name="Normal 11 8 9 2 2" xfId="6838"/>
    <cellStyle name="Normal 11 8 9 2 2 2" xfId="6839"/>
    <cellStyle name="Normal 11 8 9 2 3" xfId="6840"/>
    <cellStyle name="Normal 11 8 9 2 3 2" xfId="6841"/>
    <cellStyle name="Normal 11 8 9 2 4" xfId="6842"/>
    <cellStyle name="Normal 11 8 9 3" xfId="6843"/>
    <cellStyle name="Normal 11 8 9 3 2" xfId="6844"/>
    <cellStyle name="Normal 11 8 9 3 2 2" xfId="6845"/>
    <cellStyle name="Normal 11 8 9 3 3" xfId="6846"/>
    <cellStyle name="Normal 11 8 9 3 3 2" xfId="6847"/>
    <cellStyle name="Normal 11 8 9 3 4" xfId="6848"/>
    <cellStyle name="Normal 11 8 9 4" xfId="6849"/>
    <cellStyle name="Normal 11 8 9 4 2" xfId="6850"/>
    <cellStyle name="Normal 11 8 9 4 2 2" xfId="6851"/>
    <cellStyle name="Normal 11 8 9 4 3" xfId="6852"/>
    <cellStyle name="Normal 11 8 9 4 3 2" xfId="6853"/>
    <cellStyle name="Normal 11 8 9 4 4" xfId="6854"/>
    <cellStyle name="Normal 11 8 9 5" xfId="6855"/>
    <cellStyle name="Normal 11 8 9 5 2" xfId="6856"/>
    <cellStyle name="Normal 11 8 9 6" xfId="6857"/>
    <cellStyle name="Normal 11 8 9 6 2" xfId="6858"/>
    <cellStyle name="Normal 11 8 9 7" xfId="6859"/>
    <cellStyle name="Normal 12" xfId="6860"/>
    <cellStyle name="Normal 12 2" xfId="6861"/>
    <cellStyle name="Normal 12 2 2" xfId="6862"/>
    <cellStyle name="Normal 12 2 3" xfId="6863"/>
    <cellStyle name="Normal 12 2 4" xfId="6864"/>
    <cellStyle name="Normal 12 2 5" xfId="6865"/>
    <cellStyle name="Normal 12 3" xfId="6866"/>
    <cellStyle name="Normal 12 4" xfId="6867"/>
    <cellStyle name="Normal 12 5" xfId="6868"/>
    <cellStyle name="Normal 12 5 2" xfId="6869"/>
    <cellStyle name="Normal 12 5 2 2" xfId="6870"/>
    <cellStyle name="Normal 12 5 2 2 2" xfId="6871"/>
    <cellStyle name="Normal 12 5 2 2 2 2" xfId="6872"/>
    <cellStyle name="Normal 12 5 2 2 3" xfId="6873"/>
    <cellStyle name="Normal 12 5 2 2 3 2" xfId="6874"/>
    <cellStyle name="Normal 12 5 2 2 4" xfId="6875"/>
    <cellStyle name="Normal 12 5 2 3" xfId="6876"/>
    <cellStyle name="Normal 12 5 2 3 2" xfId="6877"/>
    <cellStyle name="Normal 12 5 2 4" xfId="6878"/>
    <cellStyle name="Normal 12 5 2 4 2" xfId="6879"/>
    <cellStyle name="Normal 12 5 2 5" xfId="6880"/>
    <cellStyle name="Normal 12 5 3" xfId="6881"/>
    <cellStyle name="Normal 12 5 3 2" xfId="6882"/>
    <cellStyle name="Normal 12 5 3 2 2" xfId="6883"/>
    <cellStyle name="Normal 12 5 3 2 2 2" xfId="6884"/>
    <cellStyle name="Normal 12 5 3 2 3" xfId="6885"/>
    <cellStyle name="Normal 12 5 3 2 3 2" xfId="6886"/>
    <cellStyle name="Normal 12 5 3 2 4" xfId="6887"/>
    <cellStyle name="Normal 12 5 3 3" xfId="6888"/>
    <cellStyle name="Normal 12 5 3 3 2" xfId="6889"/>
    <cellStyle name="Normal 12 5 3 3 2 2" xfId="6890"/>
    <cellStyle name="Normal 12 5 3 3 3" xfId="6891"/>
    <cellStyle name="Normal 12 5 3 3 3 2" xfId="6892"/>
    <cellStyle name="Normal 12 5 3 3 4" xfId="6893"/>
    <cellStyle name="Normal 12 5 3 4" xfId="6894"/>
    <cellStyle name="Normal 12 5 3 4 2" xfId="6895"/>
    <cellStyle name="Normal 12 5 3 5" xfId="6896"/>
    <cellStyle name="Normal 12 5 3 5 2" xfId="6897"/>
    <cellStyle name="Normal 12 5 3 6" xfId="6898"/>
    <cellStyle name="Normal 12 5 4" xfId="6899"/>
    <cellStyle name="Normal 12 5 4 2" xfId="6900"/>
    <cellStyle name="Normal 12 5 4 2 2" xfId="6901"/>
    <cellStyle name="Normal 12 5 4 3" xfId="6902"/>
    <cellStyle name="Normal 12 5 4 3 2" xfId="6903"/>
    <cellStyle name="Normal 12 5 4 4" xfId="6904"/>
    <cellStyle name="Normal 12 5 5" xfId="6905"/>
    <cellStyle name="Normal 12 5 5 2" xfId="6906"/>
    <cellStyle name="Normal 12 5 6" xfId="6907"/>
    <cellStyle name="Normal 12 5 6 2" xfId="6908"/>
    <cellStyle name="Normal 12 5 7" xfId="6909"/>
    <cellStyle name="Normal 12 6" xfId="6910"/>
    <cellStyle name="Normal 12 6 2" xfId="6911"/>
    <cellStyle name="Normal 12 6 2 2" xfId="6912"/>
    <cellStyle name="Normal 12 6 2 2 2" xfId="6913"/>
    <cellStyle name="Normal 12 6 2 3" xfId="6914"/>
    <cellStyle name="Normal 12 6 2 3 2" xfId="6915"/>
    <cellStyle name="Normal 12 6 2 4" xfId="6916"/>
    <cellStyle name="Normal 12 6 3" xfId="6917"/>
    <cellStyle name="Normal 12 6 3 2" xfId="6918"/>
    <cellStyle name="Normal 12 6 4" xfId="6919"/>
    <cellStyle name="Normal 12 6 4 2" xfId="6920"/>
    <cellStyle name="Normal 12 6 5" xfId="6921"/>
    <cellStyle name="Normal 13" xfId="6922"/>
    <cellStyle name="Normal 13 2" xfId="6923"/>
    <cellStyle name="Normal 13 3" xfId="6924"/>
    <cellStyle name="Normal 13 4" xfId="6925"/>
    <cellStyle name="Normal 13 4 2" xfId="6926"/>
    <cellStyle name="Normal 13 4 2 2" xfId="6927"/>
    <cellStyle name="Normal 13 4 2 2 2" xfId="6928"/>
    <cellStyle name="Normal 13 4 2 2 2 2" xfId="6929"/>
    <cellStyle name="Normal 13 4 2 2 3" xfId="6930"/>
    <cellStyle name="Normal 13 4 2 2 3 2" xfId="6931"/>
    <cellStyle name="Normal 13 4 2 2 4" xfId="6932"/>
    <cellStyle name="Normal 13 4 2 3" xfId="6933"/>
    <cellStyle name="Normal 13 4 2 3 2" xfId="6934"/>
    <cellStyle name="Normal 13 4 2 4" xfId="6935"/>
    <cellStyle name="Normal 13 4 2 4 2" xfId="6936"/>
    <cellStyle name="Normal 13 4 2 5" xfId="6937"/>
    <cellStyle name="Normal 13 4 3" xfId="6938"/>
    <cellStyle name="Normal 13 4 3 2" xfId="6939"/>
    <cellStyle name="Normal 13 4 3 2 2" xfId="6940"/>
    <cellStyle name="Normal 13 4 3 2 2 2" xfId="6941"/>
    <cellStyle name="Normal 13 4 3 2 3" xfId="6942"/>
    <cellStyle name="Normal 13 4 3 2 3 2" xfId="6943"/>
    <cellStyle name="Normal 13 4 3 2 4" xfId="6944"/>
    <cellStyle name="Normal 13 4 3 3" xfId="6945"/>
    <cellStyle name="Normal 13 4 3 3 2" xfId="6946"/>
    <cellStyle name="Normal 13 4 3 3 2 2" xfId="6947"/>
    <cellStyle name="Normal 13 4 3 3 3" xfId="6948"/>
    <cellStyle name="Normal 13 4 3 3 3 2" xfId="6949"/>
    <cellStyle name="Normal 13 4 3 3 4" xfId="6950"/>
    <cellStyle name="Normal 13 4 3 4" xfId="6951"/>
    <cellStyle name="Normal 13 4 3 4 2" xfId="6952"/>
    <cellStyle name="Normal 13 4 3 5" xfId="6953"/>
    <cellStyle name="Normal 13 4 3 5 2" xfId="6954"/>
    <cellStyle name="Normal 13 4 3 6" xfId="6955"/>
    <cellStyle name="Normal 13 4 4" xfId="6956"/>
    <cellStyle name="Normal 13 4 4 2" xfId="6957"/>
    <cellStyle name="Normal 13 4 4 2 2" xfId="6958"/>
    <cellStyle name="Normal 13 4 4 3" xfId="6959"/>
    <cellStyle name="Normal 13 4 4 3 2" xfId="6960"/>
    <cellStyle name="Normal 13 4 4 4" xfId="6961"/>
    <cellStyle name="Normal 13 4 5" xfId="6962"/>
    <cellStyle name="Normal 13 4 5 2" xfId="6963"/>
    <cellStyle name="Normal 13 4 6" xfId="6964"/>
    <cellStyle name="Normal 13 4 6 2" xfId="6965"/>
    <cellStyle name="Normal 13 4 7" xfId="6966"/>
    <cellStyle name="Normal 13 5" xfId="6967"/>
    <cellStyle name="Normal 13 5 2" xfId="6968"/>
    <cellStyle name="Normal 13 5 2 2" xfId="6969"/>
    <cellStyle name="Normal 13 5 2 2 2" xfId="6970"/>
    <cellStyle name="Normal 13 5 2 3" xfId="6971"/>
    <cellStyle name="Normal 13 5 2 3 2" xfId="6972"/>
    <cellStyle name="Normal 13 5 2 4" xfId="6973"/>
    <cellStyle name="Normal 13 5 3" xfId="6974"/>
    <cellStyle name="Normal 13 5 3 2" xfId="6975"/>
    <cellStyle name="Normal 13 5 4" xfId="6976"/>
    <cellStyle name="Normal 13 5 4 2" xfId="6977"/>
    <cellStyle name="Normal 13 5 5" xfId="6978"/>
    <cellStyle name="Normal 14" xfId="6979"/>
    <cellStyle name="Normal 14 2" xfId="6980"/>
    <cellStyle name="Normal 14 3" xfId="6981"/>
    <cellStyle name="Normal 15" xfId="6982"/>
    <cellStyle name="Normal 15 2" xfId="6983"/>
    <cellStyle name="Normal 15 3" xfId="6984"/>
    <cellStyle name="Normal 16" xfId="6985"/>
    <cellStyle name="Normal 16 2" xfId="6986"/>
    <cellStyle name="Normal 16 3" xfId="6987"/>
    <cellStyle name="Normal 17" xfId="6988"/>
    <cellStyle name="Normal 17 2" xfId="6989"/>
    <cellStyle name="Normal 17 3" xfId="6990"/>
    <cellStyle name="Normal 18" xfId="6991"/>
    <cellStyle name="Normal 18 2" xfId="6992"/>
    <cellStyle name="Normal 18 3" xfId="6993"/>
    <cellStyle name="Normal 19" xfId="6994"/>
    <cellStyle name="Normal 19 2" xfId="6995"/>
    <cellStyle name="Normal 19 3" xfId="6996"/>
    <cellStyle name="Normal 2" xfId="6997"/>
    <cellStyle name="Normal 2 10" xfId="6998"/>
    <cellStyle name="Normal 2 10 2" xfId="6999"/>
    <cellStyle name="Normal 2 10 3" xfId="7000"/>
    <cellStyle name="Normal 2 10 4" xfId="7001"/>
    <cellStyle name="Normal 2 11" xfId="7002"/>
    <cellStyle name="Normal 2 11 2" xfId="7003"/>
    <cellStyle name="Normal 2 11 3" xfId="7004"/>
    <cellStyle name="Normal 2 11 4" xfId="7005"/>
    <cellStyle name="Normal 2 11 5" xfId="7006"/>
    <cellStyle name="Normal 2 12" xfId="7007"/>
    <cellStyle name="Normal 2 13" xfId="7008"/>
    <cellStyle name="Normal 2 14" xfId="7009"/>
    <cellStyle name="Normal 2 15" xfId="7010"/>
    <cellStyle name="Normal 2 16" xfId="7011"/>
    <cellStyle name="Normal 2 2" xfId="7012"/>
    <cellStyle name="Normal 2 2 10" xfId="7013"/>
    <cellStyle name="Normal 2 2 11" xfId="7014"/>
    <cellStyle name="Normal 2 2 2" xfId="7015"/>
    <cellStyle name="Normal 2 2 2 2" xfId="7016"/>
    <cellStyle name="Normal 2 2 2 2 2" xfId="7017"/>
    <cellStyle name="Normal 2 2 2 2 2 2" xfId="7018"/>
    <cellStyle name="Normal 2 2 2 2 2 3" xfId="7019"/>
    <cellStyle name="Normal 2 2 2 2 3" xfId="7020"/>
    <cellStyle name="Normal 2 2 2 2 3 2" xfId="7021"/>
    <cellStyle name="Normal 2 2 2 2 4" xfId="7022"/>
    <cellStyle name="Normal 2 2 2 2 5" xfId="7023"/>
    <cellStyle name="Normal 2 2 2 3" xfId="7024"/>
    <cellStyle name="Normal 2 2 2 3 2" xfId="7025"/>
    <cellStyle name="Normal 2 2 2 3 2 2" xfId="7026"/>
    <cellStyle name="Normal 2 2 2 3 2 3" xfId="7027"/>
    <cellStyle name="Normal 2 2 2 3 2 4" xfId="7028"/>
    <cellStyle name="Normal 2 2 2 3 3" xfId="7029"/>
    <cellStyle name="Normal 2 2 2 3 3 2" xfId="7030"/>
    <cellStyle name="Normal 2 2 2 3 3 3" xfId="7031"/>
    <cellStyle name="Normal 2 2 2 3 4" xfId="7032"/>
    <cellStyle name="Normal 2 2 2 3 5" xfId="7033"/>
    <cellStyle name="Normal 2 2 2 3 6" xfId="7034"/>
    <cellStyle name="Normal 2 2 2 4" xfId="7035"/>
    <cellStyle name="Normal 2 2 2 4 2" xfId="7036"/>
    <cellStyle name="Normal 2 2 2 4 3" xfId="7037"/>
    <cellStyle name="Normal 2 2 2 4 4" xfId="7038"/>
    <cellStyle name="Normal 2 2 2 5" xfId="7039"/>
    <cellStyle name="Normal 2 2 2 5 2" xfId="7040"/>
    <cellStyle name="Normal 2 2 2 5 3" xfId="7041"/>
    <cellStyle name="Normal 2 2 2 5 4" xfId="7042"/>
    <cellStyle name="Normal 2 2 2 5 5" xfId="7043"/>
    <cellStyle name="Normal 2 2 2 6" xfId="7044"/>
    <cellStyle name="Normal 2 2 2 7" xfId="7045"/>
    <cellStyle name="Normal 2 2 2 8" xfId="7046"/>
    <cellStyle name="Normal 2 2 3" xfId="7047"/>
    <cellStyle name="Normal 2 2 3 2" xfId="7048"/>
    <cellStyle name="Normal 2 2 3 2 2" xfId="7049"/>
    <cellStyle name="Normal 2 2 3 2 3" xfId="7050"/>
    <cellStyle name="Normal 2 2 3 2 4" xfId="7051"/>
    <cellStyle name="Normal 2 2 3 3" xfId="7052"/>
    <cellStyle name="Normal 2 2 3 3 2" xfId="7053"/>
    <cellStyle name="Normal 2 2 3 3 3" xfId="7054"/>
    <cellStyle name="Normal 2 2 3 4" xfId="7055"/>
    <cellStyle name="Normal 2 2 3 5" xfId="7056"/>
    <cellStyle name="Normal 2 2 3 6" xfId="7057"/>
    <cellStyle name="Normal 2 2 4" xfId="7058"/>
    <cellStyle name="Normal 2 2 4 2" xfId="7059"/>
    <cellStyle name="Normal 2 2 4 2 2" xfId="7060"/>
    <cellStyle name="Normal 2 2 4 2 2 2" xfId="7061"/>
    <cellStyle name="Normal 2 2 4 2 2 3" xfId="7062"/>
    <cellStyle name="Normal 2 2 4 2 3" xfId="7063"/>
    <cellStyle name="Normal 2 2 4 2 4" xfId="7064"/>
    <cellStyle name="Normal 2 2 4 2 5" xfId="7065"/>
    <cellStyle name="Normal 2 2 4 3" xfId="7066"/>
    <cellStyle name="Normal 2 2 4 3 2" xfId="7067"/>
    <cellStyle name="Normal 2 2 4 3 3" xfId="7068"/>
    <cellStyle name="Normal 2 2 4 4" xfId="7069"/>
    <cellStyle name="Normal 2 2 4 5" xfId="7070"/>
    <cellStyle name="Normal 2 2 4 6" xfId="7071"/>
    <cellStyle name="Normal 2 2 5" xfId="7072"/>
    <cellStyle name="Normal 2 2 5 2" xfId="7073"/>
    <cellStyle name="Normal 2 2 5 3" xfId="7074"/>
    <cellStyle name="Normal 2 2 5 4" xfId="7075"/>
    <cellStyle name="Normal 2 2 6" xfId="7076"/>
    <cellStyle name="Normal 2 2 6 2" xfId="7077"/>
    <cellStyle name="Normal 2 2 6 3" xfId="7078"/>
    <cellStyle name="Normal 2 2 6 4" xfId="7079"/>
    <cellStyle name="Normal 2 2 6 5" xfId="7080"/>
    <cellStyle name="Normal 2 2 7" xfId="7081"/>
    <cellStyle name="Normal 2 2 8" xfId="7082"/>
    <cellStyle name="Normal 2 2 9" xfId="7083"/>
    <cellStyle name="Normal 2 3" xfId="7084"/>
    <cellStyle name="Normal 2 3 10" xfId="7085"/>
    <cellStyle name="Normal 2 3 2" xfId="7086"/>
    <cellStyle name="Normal 2 3 2 2" xfId="7087"/>
    <cellStyle name="Normal 2 3 2 2 2" xfId="7088"/>
    <cellStyle name="Normal 2 3 2 2 2 2" xfId="7089"/>
    <cellStyle name="Normal 2 3 2 2 2 2 2" xfId="7090"/>
    <cellStyle name="Normal 2 3 2 2 2 3" xfId="7091"/>
    <cellStyle name="Normal 2 3 2 2 2 4" xfId="7092"/>
    <cellStyle name="Normal 2 3 2 2 2 5" xfId="7093"/>
    <cellStyle name="Normal 2 3 2 2 3" xfId="7094"/>
    <cellStyle name="Normal 2 3 2 2 3 2" xfId="7095"/>
    <cellStyle name="Normal 2 3 2 2 3 2 2" xfId="7096"/>
    <cellStyle name="Normal 2 3 2 2 3 2 3" xfId="7097"/>
    <cellStyle name="Normal 2 3 2 2 3 2 4" xfId="7098"/>
    <cellStyle name="Normal 2 3 2 2 3 3" xfId="7099"/>
    <cellStyle name="Normal 2 3 2 2 3 3 2" xfId="7100"/>
    <cellStyle name="Normal 2 3 2 2 3 3 3" xfId="7101"/>
    <cellStyle name="Normal 2 3 2 2 3 4" xfId="7102"/>
    <cellStyle name="Normal 2 3 2 2 3 5" xfId="7103"/>
    <cellStyle name="Normal 2 3 2 2 3 6" xfId="7104"/>
    <cellStyle name="Normal 2 3 2 2 4" xfId="7105"/>
    <cellStyle name="Normal 2 3 2 2 4 2" xfId="7106"/>
    <cellStyle name="Normal 2 3 2 2 4 3" xfId="7107"/>
    <cellStyle name="Normal 2 3 2 2 4 4" xfId="7108"/>
    <cellStyle name="Normal 2 3 2 2 5" xfId="7109"/>
    <cellStyle name="Normal 2 3 2 2 5 2" xfId="7110"/>
    <cellStyle name="Normal 2 3 2 2 5 3" xfId="7111"/>
    <cellStyle name="Normal 2 3 2 2 6" xfId="7112"/>
    <cellStyle name="Normal 2 3 2 2 7" xfId="7113"/>
    <cellStyle name="Normal 2 3 2 2 8" xfId="7114"/>
    <cellStyle name="Normal 2 3 2 3" xfId="7115"/>
    <cellStyle name="Normal 2 3 2 3 2" xfId="7116"/>
    <cellStyle name="Normal 2 3 2 3 2 2" xfId="7117"/>
    <cellStyle name="Normal 2 3 2 3 2 3" xfId="7118"/>
    <cellStyle name="Normal 2 3 2 3 2 4" xfId="7119"/>
    <cellStyle name="Normal 2 3 2 3 3" xfId="7120"/>
    <cellStyle name="Normal 2 3 2 3 3 2" xfId="7121"/>
    <cellStyle name="Normal 2 3 2 3 3 3" xfId="7122"/>
    <cellStyle name="Normal 2 3 2 3 4" xfId="7123"/>
    <cellStyle name="Normal 2 3 2 3 5" xfId="7124"/>
    <cellStyle name="Normal 2 3 2 3 6" xfId="7125"/>
    <cellStyle name="Normal 2 3 2 4" xfId="7126"/>
    <cellStyle name="Normal 2 3 2 4 2" xfId="7127"/>
    <cellStyle name="Normal 2 3 2 4 2 2" xfId="7128"/>
    <cellStyle name="Normal 2 3 2 4 2 2 2" xfId="7129"/>
    <cellStyle name="Normal 2 3 2 4 2 2 3" xfId="7130"/>
    <cellStyle name="Normal 2 3 2 4 2 3" xfId="7131"/>
    <cellStyle name="Normal 2 3 2 4 2 4" xfId="7132"/>
    <cellStyle name="Normal 2 3 2 4 2 5" xfId="7133"/>
    <cellStyle name="Normal 2 3 2 4 3" xfId="7134"/>
    <cellStyle name="Normal 2 3 2 4 3 2" xfId="7135"/>
    <cellStyle name="Normal 2 3 2 4 3 3" xfId="7136"/>
    <cellStyle name="Normal 2 3 2 4 4" xfId="7137"/>
    <cellStyle name="Normal 2 3 2 4 5" xfId="7138"/>
    <cellStyle name="Normal 2 3 2 4 6" xfId="7139"/>
    <cellStyle name="Normal 2 3 2 5" xfId="7140"/>
    <cellStyle name="Normal 2 3 2 5 2" xfId="7141"/>
    <cellStyle name="Normal 2 3 2 5 3" xfId="7142"/>
    <cellStyle name="Normal 2 3 2 5 4" xfId="7143"/>
    <cellStyle name="Normal 2 3 2 6" xfId="7144"/>
    <cellStyle name="Normal 2 3 2 6 2" xfId="7145"/>
    <cellStyle name="Normal 2 3 2 6 3" xfId="7146"/>
    <cellStyle name="Normal 2 3 2 6 4" xfId="7147"/>
    <cellStyle name="Normal 2 3 2 6 5" xfId="7148"/>
    <cellStyle name="Normal 2 3 2 7" xfId="7149"/>
    <cellStyle name="Normal 2 3 2 8" xfId="7150"/>
    <cellStyle name="Normal 2 3 2 9" xfId="7151"/>
    <cellStyle name="Normal 2 3 3" xfId="7152"/>
    <cellStyle name="Normal 2 3 3 2" xfId="7153"/>
    <cellStyle name="Normal 2 3 3 2 2" xfId="7154"/>
    <cellStyle name="Normal 2 3 3 2 2 2" xfId="7155"/>
    <cellStyle name="Normal 2 3 3 2 3" xfId="7156"/>
    <cellStyle name="Normal 2 3 3 2 4" xfId="7157"/>
    <cellStyle name="Normal 2 3 3 2 5" xfId="7158"/>
    <cellStyle name="Normal 2 3 3 3" xfId="7159"/>
    <cellStyle name="Normal 2 3 3 3 2" xfId="7160"/>
    <cellStyle name="Normal 2 3 3 3 2 2" xfId="7161"/>
    <cellStyle name="Normal 2 3 3 3 2 3" xfId="7162"/>
    <cellStyle name="Normal 2 3 3 3 2 4" xfId="7163"/>
    <cellStyle name="Normal 2 3 3 3 3" xfId="7164"/>
    <cellStyle name="Normal 2 3 3 3 3 2" xfId="7165"/>
    <cellStyle name="Normal 2 3 3 3 3 3" xfId="7166"/>
    <cellStyle name="Normal 2 3 3 3 4" xfId="7167"/>
    <cellStyle name="Normal 2 3 3 3 5" xfId="7168"/>
    <cellStyle name="Normal 2 3 3 3 6" xfId="7169"/>
    <cellStyle name="Normal 2 3 3 4" xfId="7170"/>
    <cellStyle name="Normal 2 3 3 4 2" xfId="7171"/>
    <cellStyle name="Normal 2 3 3 4 3" xfId="7172"/>
    <cellStyle name="Normal 2 3 3 4 4" xfId="7173"/>
    <cellStyle name="Normal 2 3 3 5" xfId="7174"/>
    <cellStyle name="Normal 2 3 3 5 2" xfId="7175"/>
    <cellStyle name="Normal 2 3 3 5 3" xfId="7176"/>
    <cellStyle name="Normal 2 3 3 6" xfId="7177"/>
    <cellStyle name="Normal 2 3 3 7" xfId="7178"/>
    <cellStyle name="Normal 2 3 3 8" xfId="7179"/>
    <cellStyle name="Normal 2 3 4" xfId="7180"/>
    <cellStyle name="Normal 2 3 4 2" xfId="7181"/>
    <cellStyle name="Normal 2 3 4 2 2" xfId="7182"/>
    <cellStyle name="Normal 2 3 4 2 3" xfId="7183"/>
    <cellStyle name="Normal 2 3 4 2 4" xfId="7184"/>
    <cellStyle name="Normal 2 3 4 3" xfId="7185"/>
    <cellStyle name="Normal 2 3 4 3 2" xfId="7186"/>
    <cellStyle name="Normal 2 3 4 3 3" xfId="7187"/>
    <cellStyle name="Normal 2 3 4 4" xfId="7188"/>
    <cellStyle name="Normal 2 3 4 5" xfId="7189"/>
    <cellStyle name="Normal 2 3 4 6" xfId="7190"/>
    <cellStyle name="Normal 2 3 5" xfId="7191"/>
    <cellStyle name="Normal 2 3 5 2" xfId="7192"/>
    <cellStyle name="Normal 2 3 5 2 2" xfId="7193"/>
    <cellStyle name="Normal 2 3 5 2 2 2" xfId="7194"/>
    <cellStyle name="Normal 2 3 5 2 2 3" xfId="7195"/>
    <cellStyle name="Normal 2 3 5 2 3" xfId="7196"/>
    <cellStyle name="Normal 2 3 5 2 4" xfId="7197"/>
    <cellStyle name="Normal 2 3 5 2 5" xfId="7198"/>
    <cellStyle name="Normal 2 3 5 3" xfId="7199"/>
    <cellStyle name="Normal 2 3 5 3 2" xfId="7200"/>
    <cellStyle name="Normal 2 3 5 3 3" xfId="7201"/>
    <cellStyle name="Normal 2 3 5 4" xfId="7202"/>
    <cellStyle name="Normal 2 3 5 5" xfId="7203"/>
    <cellStyle name="Normal 2 3 5 6" xfId="7204"/>
    <cellStyle name="Normal 2 3 6" xfId="7205"/>
    <cellStyle name="Normal 2 3 6 2" xfId="7206"/>
    <cellStyle name="Normal 2 3 6 3" xfId="7207"/>
    <cellStyle name="Normal 2 3 6 4" xfId="7208"/>
    <cellStyle name="Normal 2 3 7" xfId="7209"/>
    <cellStyle name="Normal 2 3 7 2" xfId="7210"/>
    <cellStyle name="Normal 2 3 7 3" xfId="7211"/>
    <cellStyle name="Normal 2 3 7 4" xfId="7212"/>
    <cellStyle name="Normal 2 3 7 5" xfId="7213"/>
    <cellStyle name="Normal 2 3 8" xfId="7214"/>
    <cellStyle name="Normal 2 3 9" xfId="7215"/>
    <cellStyle name="Normal 2 3_(01-03) C-SCADA_UserManagement_ST_Testcase" xfId="7216"/>
    <cellStyle name="Normal 2 4" xfId="7217"/>
    <cellStyle name="Normal 2 4 2" xfId="7218"/>
    <cellStyle name="Normal 2 4 2 2" xfId="7219"/>
    <cellStyle name="Normal 2 4 2 2 2" xfId="7220"/>
    <cellStyle name="Normal 2 4 2 2 2 2" xfId="7221"/>
    <cellStyle name="Normal 2 4 2 2 3" xfId="7222"/>
    <cellStyle name="Normal 2 4 2 2 4" xfId="7223"/>
    <cellStyle name="Normal 2 4 2 2 5" xfId="7224"/>
    <cellStyle name="Normal 2 4 2 3" xfId="7225"/>
    <cellStyle name="Normal 2 4 2 3 2" xfId="7226"/>
    <cellStyle name="Normal 2 4 2 3 2 2" xfId="7227"/>
    <cellStyle name="Normal 2 4 2 3 2 3" xfId="7228"/>
    <cellStyle name="Normal 2 4 2 3 2 4" xfId="7229"/>
    <cellStyle name="Normal 2 4 2 3 3" xfId="7230"/>
    <cellStyle name="Normal 2 4 2 3 3 2" xfId="7231"/>
    <cellStyle name="Normal 2 4 2 3 3 3" xfId="7232"/>
    <cellStyle name="Normal 2 4 2 3 4" xfId="7233"/>
    <cellStyle name="Normal 2 4 2 3 5" xfId="7234"/>
    <cellStyle name="Normal 2 4 2 3 6" xfId="7235"/>
    <cellStyle name="Normal 2 4 2 4" xfId="7236"/>
    <cellStyle name="Normal 2 4 2 4 2" xfId="7237"/>
    <cellStyle name="Normal 2 4 2 4 3" xfId="7238"/>
    <cellStyle name="Normal 2 4 2 4 4" xfId="7239"/>
    <cellStyle name="Normal 2 4 2 5" xfId="7240"/>
    <cellStyle name="Normal 2 4 2 5 2" xfId="7241"/>
    <cellStyle name="Normal 2 4 2 5 3" xfId="7242"/>
    <cellStyle name="Normal 2 4 2 6" xfId="7243"/>
    <cellStyle name="Normal 2 4 2 7" xfId="7244"/>
    <cellStyle name="Normal 2 4 2 8" xfId="7245"/>
    <cellStyle name="Normal 2 4 3" xfId="7246"/>
    <cellStyle name="Normal 2 4 3 2" xfId="7247"/>
    <cellStyle name="Normal 2 4 3 2 2" xfId="7248"/>
    <cellStyle name="Normal 2 4 3 2 3" xfId="7249"/>
    <cellStyle name="Normal 2 4 3 2 4" xfId="7250"/>
    <cellStyle name="Normal 2 4 3 3" xfId="7251"/>
    <cellStyle name="Normal 2 4 3 3 2" xfId="7252"/>
    <cellStyle name="Normal 2 4 3 3 3" xfId="7253"/>
    <cellStyle name="Normal 2 4 3 4" xfId="7254"/>
    <cellStyle name="Normal 2 4 3 5" xfId="7255"/>
    <cellStyle name="Normal 2 4 3 6" xfId="7256"/>
    <cellStyle name="Normal 2 4 4" xfId="7257"/>
    <cellStyle name="Normal 2 4 4 2" xfId="7258"/>
    <cellStyle name="Normal 2 4 4 2 2" xfId="7259"/>
    <cellStyle name="Normal 2 4 4 2 2 2" xfId="7260"/>
    <cellStyle name="Normal 2 4 4 2 2 3" xfId="7261"/>
    <cellStyle name="Normal 2 4 4 2 3" xfId="7262"/>
    <cellStyle name="Normal 2 4 4 2 4" xfId="7263"/>
    <cellStyle name="Normal 2 4 4 2 5" xfId="7264"/>
    <cellStyle name="Normal 2 4 4 3" xfId="7265"/>
    <cellStyle name="Normal 2 4 4 3 2" xfId="7266"/>
    <cellStyle name="Normal 2 4 4 3 3" xfId="7267"/>
    <cellStyle name="Normal 2 4 4 4" xfId="7268"/>
    <cellStyle name="Normal 2 4 4 5" xfId="7269"/>
    <cellStyle name="Normal 2 4 4 6" xfId="7270"/>
    <cellStyle name="Normal 2 4 5" xfId="7271"/>
    <cellStyle name="Normal 2 4 5 2" xfId="7272"/>
    <cellStyle name="Normal 2 4 5 3" xfId="7273"/>
    <cellStyle name="Normal 2 4 5 4" xfId="7274"/>
    <cellStyle name="Normal 2 4 6" xfId="7275"/>
    <cellStyle name="Normal 2 4 6 2" xfId="7276"/>
    <cellStyle name="Normal 2 4 6 3" xfId="7277"/>
    <cellStyle name="Normal 2 4 6 4" xfId="7278"/>
    <cellStyle name="Normal 2 4 6 5" xfId="7279"/>
    <cellStyle name="Normal 2 4 7" xfId="7280"/>
    <cellStyle name="Normal 2 4 8" xfId="7281"/>
    <cellStyle name="Normal 2 4 9" xfId="7282"/>
    <cellStyle name="Normal 2 5" xfId="7283"/>
    <cellStyle name="Normal 2 5 2" xfId="7284"/>
    <cellStyle name="Normal 2 5 2 2" xfId="7285"/>
    <cellStyle name="Normal 2 5 2 2 2" xfId="7286"/>
    <cellStyle name="Normal 2 5 2 2 3" xfId="7287"/>
    <cellStyle name="Normal 2 5 2 2 4" xfId="7288"/>
    <cellStyle name="Normal 2 5 2 3" xfId="7289"/>
    <cellStyle name="Normal 2 5 2 4" xfId="7290"/>
    <cellStyle name="Normal 2 5 2 5" xfId="7291"/>
    <cellStyle name="Normal 2 5 3" xfId="7292"/>
    <cellStyle name="Normal 2 5 3 2" xfId="7293"/>
    <cellStyle name="Normal 2 5 3 2 2" xfId="7294"/>
    <cellStyle name="Normal 2 5 3 2 3" xfId="7295"/>
    <cellStyle name="Normal 2 5 3 2 4" xfId="7296"/>
    <cellStyle name="Normal 2 5 3 3" xfId="7297"/>
    <cellStyle name="Normal 2 5 3 3 2" xfId="7298"/>
    <cellStyle name="Normal 2 5 3 3 3" xfId="7299"/>
    <cellStyle name="Normal 2 5 3 4" xfId="7300"/>
    <cellStyle name="Normal 2 5 3 5" xfId="7301"/>
    <cellStyle name="Normal 2 5 3 6" xfId="7302"/>
    <cellStyle name="Normal 2 5 4" xfId="7303"/>
    <cellStyle name="Normal 2 5 4 2" xfId="7304"/>
    <cellStyle name="Normal 2 5 4 3" xfId="7305"/>
    <cellStyle name="Normal 2 5 4 4" xfId="7306"/>
    <cellStyle name="Normal 2 5 4 4 2" xfId="7307"/>
    <cellStyle name="Normal 2 5 4 4 2 2" xfId="7308"/>
    <cellStyle name="Normal 2 5 4 4 2 2 2" xfId="7309"/>
    <cellStyle name="Normal 2 5 4 4 2 2 2 2" xfId="7310"/>
    <cellStyle name="Normal 2 5 4 4 2 2 3" xfId="7311"/>
    <cellStyle name="Normal 2 5 4 4 2 2 3 2" xfId="7312"/>
    <cellStyle name="Normal 2 5 4 4 2 2 4" xfId="7313"/>
    <cellStyle name="Normal 2 5 4 4 2 3" xfId="7314"/>
    <cellStyle name="Normal 2 5 4 4 2 3 2" xfId="7315"/>
    <cellStyle name="Normal 2 5 4 4 2 4" xfId="7316"/>
    <cellStyle name="Normal 2 5 4 4 2 4 2" xfId="7317"/>
    <cellStyle name="Normal 2 5 4 4 2 5" xfId="7318"/>
    <cellStyle name="Normal 2 5 4 4 3" xfId="7319"/>
    <cellStyle name="Normal 2 5 4 4 3 2" xfId="7320"/>
    <cellStyle name="Normal 2 5 4 4 3 2 2" xfId="7321"/>
    <cellStyle name="Normal 2 5 4 4 3 2 2 2" xfId="7322"/>
    <cellStyle name="Normal 2 5 4 4 3 2 3" xfId="7323"/>
    <cellStyle name="Normal 2 5 4 4 3 2 3 2" xfId="7324"/>
    <cellStyle name="Normal 2 5 4 4 3 2 4" xfId="7325"/>
    <cellStyle name="Normal 2 5 4 4 3 3" xfId="7326"/>
    <cellStyle name="Normal 2 5 4 4 3 3 2" xfId="7327"/>
    <cellStyle name="Normal 2 5 4 4 3 3 2 2" xfId="7328"/>
    <cellStyle name="Normal 2 5 4 4 3 3 3" xfId="7329"/>
    <cellStyle name="Normal 2 5 4 4 3 3 3 2" xfId="7330"/>
    <cellStyle name="Normal 2 5 4 4 3 3 4" xfId="7331"/>
    <cellStyle name="Normal 2 5 4 4 3 4" xfId="7332"/>
    <cellStyle name="Normal 2 5 4 4 3 4 2" xfId="7333"/>
    <cellStyle name="Normal 2 5 4 4 3 5" xfId="7334"/>
    <cellStyle name="Normal 2 5 4 4 3 5 2" xfId="7335"/>
    <cellStyle name="Normal 2 5 4 4 3 6" xfId="7336"/>
    <cellStyle name="Normal 2 5 4 4 4" xfId="7337"/>
    <cellStyle name="Normal 2 5 4 4 4 2" xfId="7338"/>
    <cellStyle name="Normal 2 5 4 4 4 2 2" xfId="7339"/>
    <cellStyle name="Normal 2 5 4 4 4 3" xfId="7340"/>
    <cellStyle name="Normal 2 5 4 4 4 3 2" xfId="7341"/>
    <cellStyle name="Normal 2 5 4 4 4 4" xfId="7342"/>
    <cellStyle name="Normal 2 5 4 4 5" xfId="7343"/>
    <cellStyle name="Normal 2 5 4 4 5 2" xfId="7344"/>
    <cellStyle name="Normal 2 5 4 4 6" xfId="7345"/>
    <cellStyle name="Normal 2 5 4 4 6 2" xfId="7346"/>
    <cellStyle name="Normal 2 5 4 4 7" xfId="7347"/>
    <cellStyle name="Normal 2 5 4 5" xfId="7348"/>
    <cellStyle name="Normal 2 5 4 5 2" xfId="7349"/>
    <cellStyle name="Normal 2 5 4 5 2 2" xfId="7350"/>
    <cellStyle name="Normal 2 5 4 5 2 2 2" xfId="7351"/>
    <cellStyle name="Normal 2 5 4 5 2 3" xfId="7352"/>
    <cellStyle name="Normal 2 5 4 5 2 3 2" xfId="7353"/>
    <cellStyle name="Normal 2 5 4 5 2 4" xfId="7354"/>
    <cellStyle name="Normal 2 5 4 5 3" xfId="7355"/>
    <cellStyle name="Normal 2 5 4 5 3 2" xfId="7356"/>
    <cellStyle name="Normal 2 5 4 5 4" xfId="7357"/>
    <cellStyle name="Normal 2 5 4 5 4 2" xfId="7358"/>
    <cellStyle name="Normal 2 5 4 5 5" xfId="7359"/>
    <cellStyle name="Normal 2 5 5" xfId="7360"/>
    <cellStyle name="Normal 2 5 5 2" xfId="7361"/>
    <cellStyle name="Normal 2 5 5 3" xfId="7362"/>
    <cellStyle name="Normal 2 5 6" xfId="7363"/>
    <cellStyle name="Normal 2 5 7" xfId="7364"/>
    <cellStyle name="Normal 2 5 8" xfId="7365"/>
    <cellStyle name="Normal 2 5 9" xfId="7366"/>
    <cellStyle name="Normal 2 6" xfId="7367"/>
    <cellStyle name="Normal 2 6 10" xfId="7368"/>
    <cellStyle name="Normal 2 6 2" xfId="7369"/>
    <cellStyle name="Normal 2 6 2 2" xfId="7370"/>
    <cellStyle name="Normal 2 6 2 2 2" xfId="7371"/>
    <cellStyle name="Normal 2 6 2 2 2 2" xfId="7372"/>
    <cellStyle name="Normal 2 6 2 2 2 3" xfId="7373"/>
    <cellStyle name="Normal 2 6 2 2 2 4" xfId="7374"/>
    <cellStyle name="Normal 2 6 2 2 3" xfId="7375"/>
    <cellStyle name="Normal 2 6 2 2 3 2" xfId="7376"/>
    <cellStyle name="Normal 2 6 2 2 3 3" xfId="7377"/>
    <cellStyle name="Normal 2 6 2 2 4" xfId="7378"/>
    <cellStyle name="Normal 2 6 2 2 5" xfId="7379"/>
    <cellStyle name="Normal 2 6 2 2 6" xfId="7380"/>
    <cellStyle name="Normal 2 6 2 3" xfId="7381"/>
    <cellStyle name="Normal 2 6 2 3 2" xfId="7382"/>
    <cellStyle name="Normal 2 6 2 3 2 2" xfId="7383"/>
    <cellStyle name="Normal 2 6 2 3 2 3" xfId="7384"/>
    <cellStyle name="Normal 2 6 2 3 2 4" xfId="7385"/>
    <cellStyle name="Normal 2 6 2 3 3" xfId="7386"/>
    <cellStyle name="Normal 2 6 2 3 3 2" xfId="7387"/>
    <cellStyle name="Normal 2 6 2 3 3 3" xfId="7388"/>
    <cellStyle name="Normal 2 6 2 3 4" xfId="7389"/>
    <cellStyle name="Normal 2 6 2 3 5" xfId="7390"/>
    <cellStyle name="Normal 2 6 2 3 6" xfId="7391"/>
    <cellStyle name="Normal 2 6 2 4" xfId="7392"/>
    <cellStyle name="Normal 2 6 2 4 2" xfId="7393"/>
    <cellStyle name="Normal 2 6 2 4 3" xfId="7394"/>
    <cellStyle name="Normal 2 6 2 4 4" xfId="7395"/>
    <cellStyle name="Normal 2 6 2 5" xfId="7396"/>
    <cellStyle name="Normal 2 6 2 5 2" xfId="7397"/>
    <cellStyle name="Normal 2 6 2 5 3" xfId="7398"/>
    <cellStyle name="Normal 2 6 2 6" xfId="7399"/>
    <cellStyle name="Normal 2 6 2 7" xfId="7400"/>
    <cellStyle name="Normal 2 6 2 8" xfId="7401"/>
    <cellStyle name="Normal 2 6 3" xfId="7402"/>
    <cellStyle name="Normal 2 6 3 2" xfId="7403"/>
    <cellStyle name="Normal 2 6 3 2 2" xfId="7404"/>
    <cellStyle name="Normal 2 6 3 2 3" xfId="7405"/>
    <cellStyle name="Normal 2 6 3 2 4" xfId="7406"/>
    <cellStyle name="Normal 2 6 3 3" xfId="7407"/>
    <cellStyle name="Normal 2 6 3 3 2" xfId="7408"/>
    <cellStyle name="Normal 2 6 3 3 3" xfId="7409"/>
    <cellStyle name="Normal 2 6 3 4" xfId="7410"/>
    <cellStyle name="Normal 2 6 3 5" xfId="7411"/>
    <cellStyle name="Normal 2 6 3 6" xfId="7412"/>
    <cellStyle name="Normal 2 6 4" xfId="7413"/>
    <cellStyle name="Normal 2 6 4 2" xfId="7414"/>
    <cellStyle name="Normal 2 6 4 2 2" xfId="7415"/>
    <cellStyle name="Normal 2 6 4 2 3" xfId="7416"/>
    <cellStyle name="Normal 2 6 4 2 4" xfId="7417"/>
    <cellStyle name="Normal 2 6 4 3" xfId="7418"/>
    <cellStyle name="Normal 2 6 4 3 2" xfId="7419"/>
    <cellStyle name="Normal 2 6 4 3 3" xfId="7420"/>
    <cellStyle name="Normal 2 6 4 4" xfId="7421"/>
    <cellStyle name="Normal 2 6 4 5" xfId="7422"/>
    <cellStyle name="Normal 2 6 4 6" xfId="7423"/>
    <cellStyle name="Normal 2 6 5" xfId="7424"/>
    <cellStyle name="Normal 2 6 5 2" xfId="7425"/>
    <cellStyle name="Normal 2 6 5 3" xfId="7426"/>
    <cellStyle name="Normal 2 6 5 4" xfId="7427"/>
    <cellStyle name="Normal 2 6 6" xfId="7428"/>
    <cellStyle name="Normal 2 6 6 2" xfId="7429"/>
    <cellStyle name="Normal 2 6 6 3" xfId="7430"/>
    <cellStyle name="Normal 2 6 7" xfId="7431"/>
    <cellStyle name="Normal 2 6 8" xfId="7432"/>
    <cellStyle name="Normal 2 6 9" xfId="7433"/>
    <cellStyle name="Normal 2 7" xfId="7434"/>
    <cellStyle name="Normal 2 7 2" xfId="7435"/>
    <cellStyle name="Normal 2 7 2 2" xfId="7436"/>
    <cellStyle name="Normal 2 7 2 2 2" xfId="7437"/>
    <cellStyle name="Normal 2 7 2 2 3" xfId="7438"/>
    <cellStyle name="Normal 2 7 2 3" xfId="7439"/>
    <cellStyle name="Normal 2 7 2 4" xfId="7440"/>
    <cellStyle name="Normal 2 7 2 5" xfId="7441"/>
    <cellStyle name="Normal 2 7 3" xfId="7442"/>
    <cellStyle name="Normal 2 7 3 2" xfId="7443"/>
    <cellStyle name="Normal 2 7 3 3" xfId="7444"/>
    <cellStyle name="Normal 2 7 4" xfId="7445"/>
    <cellStyle name="Normal 2 7 5" xfId="7446"/>
    <cellStyle name="Normal 2 7 6" xfId="7447"/>
    <cellStyle name="Normal 2 7 7" xfId="12411"/>
    <cellStyle name="Normal 2 8" xfId="7448"/>
    <cellStyle name="Normal 2 8 2" xfId="7449"/>
    <cellStyle name="Normal 2 8 2 2" xfId="7450"/>
    <cellStyle name="Normal 2 8 2 3" xfId="7451"/>
    <cellStyle name="Normal 2 8 2 4" xfId="7452"/>
    <cellStyle name="Normal 2 8 3" xfId="7453"/>
    <cellStyle name="Normal 2 8 3 2" xfId="7454"/>
    <cellStyle name="Normal 2 8 3 3" xfId="7455"/>
    <cellStyle name="Normal 2 8 4" xfId="7456"/>
    <cellStyle name="Normal 2 8 5" xfId="7457"/>
    <cellStyle name="Normal 2 8 6" xfId="7458"/>
    <cellStyle name="Normal 2 8 7" xfId="12413"/>
    <cellStyle name="Normal 2 9" xfId="7459"/>
    <cellStyle name="Normal 2 9 2" xfId="7460"/>
    <cellStyle name="Normal 2 9 2 2" xfId="7461"/>
    <cellStyle name="Normal 2 9 2 3" xfId="7462"/>
    <cellStyle name="Normal 2 9 2 4" xfId="7463"/>
    <cellStyle name="Normal 2 9 3" xfId="7464"/>
    <cellStyle name="Normal 2 9 3 2" xfId="7465"/>
    <cellStyle name="Normal 2 9 3 3" xfId="7466"/>
    <cellStyle name="Normal 2 9 4" xfId="7467"/>
    <cellStyle name="Normal 2 9 5" xfId="7468"/>
    <cellStyle name="Normal 2 9 6" xfId="7469"/>
    <cellStyle name="Normal 2_(01-03) C-SCADA_UserManagement_ST_Testcase" xfId="7470"/>
    <cellStyle name="Normal 20" xfId="7471"/>
    <cellStyle name="Normal 20 2" xfId="7472"/>
    <cellStyle name="Normal 20 3" xfId="7473"/>
    <cellStyle name="Normal 21" xfId="7474"/>
    <cellStyle name="Normal 21 2" xfId="7475"/>
    <cellStyle name="Normal 21 3" xfId="7476"/>
    <cellStyle name="Normal 22" xfId="7477"/>
    <cellStyle name="Normal 22 2" xfId="7478"/>
    <cellStyle name="Normal 22 3" xfId="7479"/>
    <cellStyle name="Normal 23" xfId="7480"/>
    <cellStyle name="Normal 23 2" xfId="7481"/>
    <cellStyle name="Normal 23 3" xfId="7482"/>
    <cellStyle name="Normal 24" xfId="7483"/>
    <cellStyle name="Normal 24 2" xfId="7484"/>
    <cellStyle name="Normal 24 3" xfId="7485"/>
    <cellStyle name="Normal 25" xfId="7486"/>
    <cellStyle name="Normal 25 2" xfId="7487"/>
    <cellStyle name="Normal 25 3" xfId="7488"/>
    <cellStyle name="Normal 26" xfId="4"/>
    <cellStyle name="Normal 26 2" xfId="7489"/>
    <cellStyle name="Normal 26 3" xfId="7490"/>
    <cellStyle name="Normal 26 4" xfId="7491"/>
    <cellStyle name="Normal 27" xfId="7492"/>
    <cellStyle name="Normal 27 10" xfId="7493"/>
    <cellStyle name="Normal 27 10 2" xfId="7494"/>
    <cellStyle name="Normal 27 11" xfId="7495"/>
    <cellStyle name="Normal 27 2" xfId="7496"/>
    <cellStyle name="Normal 27 2 2" xfId="7497"/>
    <cellStyle name="Normal 27 2 2 2" xfId="7498"/>
    <cellStyle name="Normal 27 2 2 2 2" xfId="7499"/>
    <cellStyle name="Normal 27 2 2 2 2 2" xfId="7500"/>
    <cellStyle name="Normal 27 2 2 2 3" xfId="7501"/>
    <cellStyle name="Normal 27 2 2 2 3 2" xfId="7502"/>
    <cellStyle name="Normal 27 2 2 2 4" xfId="7503"/>
    <cellStyle name="Normal 27 2 2 3" xfId="7504"/>
    <cellStyle name="Normal 27 2 2 3 2" xfId="7505"/>
    <cellStyle name="Normal 27 2 2 4" xfId="7506"/>
    <cellStyle name="Normal 27 2 2 4 2" xfId="7507"/>
    <cellStyle name="Normal 27 2 2 5" xfId="7508"/>
    <cellStyle name="Normal 27 2 3" xfId="7509"/>
    <cellStyle name="Normal 27 2 3 2" xfId="7510"/>
    <cellStyle name="Normal 27 2 3 2 2" xfId="7511"/>
    <cellStyle name="Normal 27 2 3 2 2 2" xfId="7512"/>
    <cellStyle name="Normal 27 2 3 2 3" xfId="7513"/>
    <cellStyle name="Normal 27 2 3 2 3 2" xfId="7514"/>
    <cellStyle name="Normal 27 2 3 2 4" xfId="7515"/>
    <cellStyle name="Normal 27 2 3 3" xfId="7516"/>
    <cellStyle name="Normal 27 2 3 3 2" xfId="7517"/>
    <cellStyle name="Normal 27 2 3 3 2 2" xfId="7518"/>
    <cellStyle name="Normal 27 2 3 3 3" xfId="7519"/>
    <cellStyle name="Normal 27 2 3 3 3 2" xfId="7520"/>
    <cellStyle name="Normal 27 2 3 3 4" xfId="7521"/>
    <cellStyle name="Normal 27 2 3 4" xfId="7522"/>
    <cellStyle name="Normal 27 2 3 4 2" xfId="7523"/>
    <cellStyle name="Normal 27 2 3 5" xfId="7524"/>
    <cellStyle name="Normal 27 2 3 5 2" xfId="7525"/>
    <cellStyle name="Normal 27 2 3 6" xfId="7526"/>
    <cellStyle name="Normal 27 2 4" xfId="7527"/>
    <cellStyle name="Normal 27 2 4 2" xfId="7528"/>
    <cellStyle name="Normal 27 2 4 2 2" xfId="7529"/>
    <cellStyle name="Normal 27 2 4 3" xfId="7530"/>
    <cellStyle name="Normal 27 2 4 3 2" xfId="7531"/>
    <cellStyle name="Normal 27 2 4 4" xfId="7532"/>
    <cellStyle name="Normal 27 2 5" xfId="7533"/>
    <cellStyle name="Normal 27 2 5 2" xfId="7534"/>
    <cellStyle name="Normal 27 2 6" xfId="7535"/>
    <cellStyle name="Normal 27 2 6 2" xfId="7536"/>
    <cellStyle name="Normal 27 2 7" xfId="7537"/>
    <cellStyle name="Normal 27 3" xfId="7538"/>
    <cellStyle name="Normal 27 3 2" xfId="7539"/>
    <cellStyle name="Normal 27 3 2 2" xfId="7540"/>
    <cellStyle name="Normal 27 3 2 2 2" xfId="7541"/>
    <cellStyle name="Normal 27 3 2 2 2 2" xfId="7542"/>
    <cellStyle name="Normal 27 3 2 2 3" xfId="7543"/>
    <cellStyle name="Normal 27 3 2 2 3 2" xfId="7544"/>
    <cellStyle name="Normal 27 3 2 2 4" xfId="7545"/>
    <cellStyle name="Normal 27 3 2 3" xfId="7546"/>
    <cellStyle name="Normal 27 3 2 3 2" xfId="7547"/>
    <cellStyle name="Normal 27 3 2 4" xfId="7548"/>
    <cellStyle name="Normal 27 3 2 4 2" xfId="7549"/>
    <cellStyle name="Normal 27 3 2 5" xfId="7550"/>
    <cellStyle name="Normal 27 3 3" xfId="7551"/>
    <cellStyle name="Normal 27 3 3 2" xfId="7552"/>
    <cellStyle name="Normal 27 3 3 2 2" xfId="7553"/>
    <cellStyle name="Normal 27 3 3 2 2 2" xfId="7554"/>
    <cellStyle name="Normal 27 3 3 2 3" xfId="7555"/>
    <cellStyle name="Normal 27 3 3 2 3 2" xfId="7556"/>
    <cellStyle name="Normal 27 3 3 2 4" xfId="7557"/>
    <cellStyle name="Normal 27 3 3 3" xfId="7558"/>
    <cellStyle name="Normal 27 3 3 3 2" xfId="7559"/>
    <cellStyle name="Normal 27 3 3 3 2 2" xfId="7560"/>
    <cellStyle name="Normal 27 3 3 3 3" xfId="7561"/>
    <cellStyle name="Normal 27 3 3 3 3 2" xfId="7562"/>
    <cellStyle name="Normal 27 3 3 3 4" xfId="7563"/>
    <cellStyle name="Normal 27 3 3 4" xfId="7564"/>
    <cellStyle name="Normal 27 3 3 4 2" xfId="7565"/>
    <cellStyle name="Normal 27 3 3 5" xfId="7566"/>
    <cellStyle name="Normal 27 3 3 5 2" xfId="7567"/>
    <cellStyle name="Normal 27 3 3 6" xfId="7568"/>
    <cellStyle name="Normal 27 3 4" xfId="7569"/>
    <cellStyle name="Normal 27 3 4 2" xfId="7570"/>
    <cellStyle name="Normal 27 3 4 2 2" xfId="7571"/>
    <cellStyle name="Normal 27 3 4 3" xfId="7572"/>
    <cellStyle name="Normal 27 3 4 3 2" xfId="7573"/>
    <cellStyle name="Normal 27 3 4 4" xfId="7574"/>
    <cellStyle name="Normal 27 3 5" xfId="7575"/>
    <cellStyle name="Normal 27 3 5 2" xfId="7576"/>
    <cellStyle name="Normal 27 3 6" xfId="7577"/>
    <cellStyle name="Normal 27 3 6 2" xfId="7578"/>
    <cellStyle name="Normal 27 3 7" xfId="7579"/>
    <cellStyle name="Normal 27 4" xfId="7580"/>
    <cellStyle name="Normal 27 4 2" xfId="7581"/>
    <cellStyle name="Normal 27 4 2 2" xfId="7582"/>
    <cellStyle name="Normal 27 4 2 2 2" xfId="7583"/>
    <cellStyle name="Normal 27 4 2 2 2 2" xfId="7584"/>
    <cellStyle name="Normal 27 4 2 2 3" xfId="7585"/>
    <cellStyle name="Normal 27 4 2 2 3 2" xfId="7586"/>
    <cellStyle name="Normal 27 4 2 2 4" xfId="7587"/>
    <cellStyle name="Normal 27 4 2 3" xfId="7588"/>
    <cellStyle name="Normal 27 4 2 3 2" xfId="7589"/>
    <cellStyle name="Normal 27 4 2 4" xfId="7590"/>
    <cellStyle name="Normal 27 4 2 4 2" xfId="7591"/>
    <cellStyle name="Normal 27 4 2 5" xfId="7592"/>
    <cellStyle name="Normal 27 4 3" xfId="7593"/>
    <cellStyle name="Normal 27 4 3 2" xfId="7594"/>
    <cellStyle name="Normal 27 4 3 2 2" xfId="7595"/>
    <cellStyle name="Normal 27 4 3 2 2 2" xfId="7596"/>
    <cellStyle name="Normal 27 4 3 2 3" xfId="7597"/>
    <cellStyle name="Normal 27 4 3 2 3 2" xfId="7598"/>
    <cellStyle name="Normal 27 4 3 2 4" xfId="7599"/>
    <cellStyle name="Normal 27 4 3 3" xfId="7600"/>
    <cellStyle name="Normal 27 4 3 3 2" xfId="7601"/>
    <cellStyle name="Normal 27 4 3 3 2 2" xfId="7602"/>
    <cellStyle name="Normal 27 4 3 3 3" xfId="7603"/>
    <cellStyle name="Normal 27 4 3 3 3 2" xfId="7604"/>
    <cellStyle name="Normal 27 4 3 3 4" xfId="7605"/>
    <cellStyle name="Normal 27 4 3 4" xfId="7606"/>
    <cellStyle name="Normal 27 4 3 4 2" xfId="7607"/>
    <cellStyle name="Normal 27 4 3 5" xfId="7608"/>
    <cellStyle name="Normal 27 4 3 5 2" xfId="7609"/>
    <cellStyle name="Normal 27 4 3 6" xfId="7610"/>
    <cellStyle name="Normal 27 4 4" xfId="7611"/>
    <cellStyle name="Normal 27 4 4 2" xfId="7612"/>
    <cellStyle name="Normal 27 4 4 2 2" xfId="7613"/>
    <cellStyle name="Normal 27 4 4 3" xfId="7614"/>
    <cellStyle name="Normal 27 4 4 3 2" xfId="7615"/>
    <cellStyle name="Normal 27 4 4 4" xfId="7616"/>
    <cellStyle name="Normal 27 4 5" xfId="7617"/>
    <cellStyle name="Normal 27 4 5 2" xfId="7618"/>
    <cellStyle name="Normal 27 4 6" xfId="7619"/>
    <cellStyle name="Normal 27 4 6 2" xfId="7620"/>
    <cellStyle name="Normal 27 4 7" xfId="7621"/>
    <cellStyle name="Normal 27 5" xfId="7622"/>
    <cellStyle name="Normal 27 5 2" xfId="7623"/>
    <cellStyle name="Normal 27 5 2 2" xfId="7624"/>
    <cellStyle name="Normal 27 5 2 2 2" xfId="7625"/>
    <cellStyle name="Normal 27 5 2 2 2 2" xfId="7626"/>
    <cellStyle name="Normal 27 5 2 2 3" xfId="7627"/>
    <cellStyle name="Normal 27 5 2 2 3 2" xfId="7628"/>
    <cellStyle name="Normal 27 5 2 2 4" xfId="7629"/>
    <cellStyle name="Normal 27 5 2 3" xfId="7630"/>
    <cellStyle name="Normal 27 5 2 3 2" xfId="7631"/>
    <cellStyle name="Normal 27 5 2 4" xfId="7632"/>
    <cellStyle name="Normal 27 5 2 4 2" xfId="7633"/>
    <cellStyle name="Normal 27 5 2 5" xfId="7634"/>
    <cellStyle name="Normal 27 5 3" xfId="7635"/>
    <cellStyle name="Normal 27 5 3 2" xfId="7636"/>
    <cellStyle name="Normal 27 5 3 2 2" xfId="7637"/>
    <cellStyle name="Normal 27 5 3 2 2 2" xfId="7638"/>
    <cellStyle name="Normal 27 5 3 2 3" xfId="7639"/>
    <cellStyle name="Normal 27 5 3 2 3 2" xfId="7640"/>
    <cellStyle name="Normal 27 5 3 2 4" xfId="7641"/>
    <cellStyle name="Normal 27 5 3 3" xfId="7642"/>
    <cellStyle name="Normal 27 5 3 3 2" xfId="7643"/>
    <cellStyle name="Normal 27 5 3 3 2 2" xfId="7644"/>
    <cellStyle name="Normal 27 5 3 3 3" xfId="7645"/>
    <cellStyle name="Normal 27 5 3 3 3 2" xfId="7646"/>
    <cellStyle name="Normal 27 5 3 3 4" xfId="7647"/>
    <cellStyle name="Normal 27 5 3 4" xfId="7648"/>
    <cellStyle name="Normal 27 5 3 4 2" xfId="7649"/>
    <cellStyle name="Normal 27 5 3 5" xfId="7650"/>
    <cellStyle name="Normal 27 5 3 5 2" xfId="7651"/>
    <cellStyle name="Normal 27 5 3 6" xfId="7652"/>
    <cellStyle name="Normal 27 5 4" xfId="7653"/>
    <cellStyle name="Normal 27 5 4 2" xfId="7654"/>
    <cellStyle name="Normal 27 5 4 2 2" xfId="7655"/>
    <cellStyle name="Normal 27 5 4 3" xfId="7656"/>
    <cellStyle name="Normal 27 5 4 3 2" xfId="7657"/>
    <cellStyle name="Normal 27 5 4 4" xfId="7658"/>
    <cellStyle name="Normal 27 5 5" xfId="7659"/>
    <cellStyle name="Normal 27 5 5 2" xfId="7660"/>
    <cellStyle name="Normal 27 5 6" xfId="7661"/>
    <cellStyle name="Normal 27 5 6 2" xfId="7662"/>
    <cellStyle name="Normal 27 5 7" xfId="7663"/>
    <cellStyle name="Normal 27 6" xfId="7664"/>
    <cellStyle name="Normal 27 6 2" xfId="7665"/>
    <cellStyle name="Normal 27 6 2 2" xfId="7666"/>
    <cellStyle name="Normal 27 6 2 2 2" xfId="7667"/>
    <cellStyle name="Normal 27 6 2 3" xfId="7668"/>
    <cellStyle name="Normal 27 6 2 3 2" xfId="7669"/>
    <cellStyle name="Normal 27 6 2 4" xfId="7670"/>
    <cellStyle name="Normal 27 6 3" xfId="7671"/>
    <cellStyle name="Normal 27 6 3 2" xfId="7672"/>
    <cellStyle name="Normal 27 6 4" xfId="7673"/>
    <cellStyle name="Normal 27 6 4 2" xfId="7674"/>
    <cellStyle name="Normal 27 6 5" xfId="7675"/>
    <cellStyle name="Normal 27 7" xfId="7676"/>
    <cellStyle name="Normal 27 7 2" xfId="7677"/>
    <cellStyle name="Normal 27 7 2 2" xfId="7678"/>
    <cellStyle name="Normal 27 7 2 2 2" xfId="7679"/>
    <cellStyle name="Normal 27 7 2 3" xfId="7680"/>
    <cellStyle name="Normal 27 7 2 3 2" xfId="7681"/>
    <cellStyle name="Normal 27 7 2 4" xfId="7682"/>
    <cellStyle name="Normal 27 7 3" xfId="7683"/>
    <cellStyle name="Normal 27 7 3 2" xfId="7684"/>
    <cellStyle name="Normal 27 7 3 2 2" xfId="7685"/>
    <cellStyle name="Normal 27 7 3 3" xfId="7686"/>
    <cellStyle name="Normal 27 7 3 3 2" xfId="7687"/>
    <cellStyle name="Normal 27 7 3 4" xfId="7688"/>
    <cellStyle name="Normal 27 7 4" xfId="7689"/>
    <cellStyle name="Normal 27 7 4 2" xfId="7690"/>
    <cellStyle name="Normal 27 7 5" xfId="7691"/>
    <cellStyle name="Normal 27 7 5 2" xfId="7692"/>
    <cellStyle name="Normal 27 7 6" xfId="7693"/>
    <cellStyle name="Normal 27 8" xfId="7694"/>
    <cellStyle name="Normal 27 8 2" xfId="7695"/>
    <cellStyle name="Normal 27 8 2 2" xfId="7696"/>
    <cellStyle name="Normal 27 8 3" xfId="7697"/>
    <cellStyle name="Normal 27 8 3 2" xfId="7698"/>
    <cellStyle name="Normal 27 8 4" xfId="7699"/>
    <cellStyle name="Normal 27 9" xfId="7700"/>
    <cellStyle name="Normal 27 9 2" xfId="7701"/>
    <cellStyle name="Normal 28" xfId="7702"/>
    <cellStyle name="Normal 29" xfId="7703"/>
    <cellStyle name="Normal 3" xfId="7704"/>
    <cellStyle name="Normal 3 10" xfId="7705"/>
    <cellStyle name="Normal 3 11" xfId="7706"/>
    <cellStyle name="Normal 3 12" xfId="7707"/>
    <cellStyle name="Normal 3 13" xfId="7708"/>
    <cellStyle name="Normal 3 14" xfId="7709"/>
    <cellStyle name="Normal 3 2" xfId="7710"/>
    <cellStyle name="Normal 3 2 10" xfId="7711"/>
    <cellStyle name="Normal 3 2 11" xfId="7712"/>
    <cellStyle name="Normal 3 2 2" xfId="7713"/>
    <cellStyle name="Normal 3 2 2 10" xfId="7714"/>
    <cellStyle name="Normal 3 2 2 2" xfId="7715"/>
    <cellStyle name="Normal 3 2 2 2 10" xfId="7716"/>
    <cellStyle name="Normal 3 2 2 2 2" xfId="7717"/>
    <cellStyle name="Normal 3 2 2 2 2 2" xfId="7718"/>
    <cellStyle name="Normal 3 2 2 2 2 2 2" xfId="7719"/>
    <cellStyle name="Normal 3 2 2 2 2 2 2 2" xfId="7720"/>
    <cellStyle name="Normal 3 2 2 2 2 2 2 2 2" xfId="7721"/>
    <cellStyle name="Normal 3 2 2 2 2 2 2 3" xfId="7722"/>
    <cellStyle name="Normal 3 2 2 2 2 2 2 4" xfId="7723"/>
    <cellStyle name="Normal 3 2 2 2 2 2 2 5" xfId="7724"/>
    <cellStyle name="Normal 3 2 2 2 2 2 3" xfId="7725"/>
    <cellStyle name="Normal 3 2 2 2 2 2 3 2" xfId="7726"/>
    <cellStyle name="Normal 3 2 2 2 2 2 3 2 2" xfId="7727"/>
    <cellStyle name="Normal 3 2 2 2 2 2 3 2 3" xfId="7728"/>
    <cellStyle name="Normal 3 2 2 2 2 2 3 2 4" xfId="7729"/>
    <cellStyle name="Normal 3 2 2 2 2 2 3 3" xfId="7730"/>
    <cellStyle name="Normal 3 2 2 2 2 2 3 3 2" xfId="7731"/>
    <cellStyle name="Normal 3 2 2 2 2 2 3 3 3" xfId="7732"/>
    <cellStyle name="Normal 3 2 2 2 2 2 3 4" xfId="7733"/>
    <cellStyle name="Normal 3 2 2 2 2 2 3 5" xfId="7734"/>
    <cellStyle name="Normal 3 2 2 2 2 2 3 6" xfId="7735"/>
    <cellStyle name="Normal 3 2 2 2 2 2 4" xfId="7736"/>
    <cellStyle name="Normal 3 2 2 2 2 2 4 2" xfId="7737"/>
    <cellStyle name="Normal 3 2 2 2 2 2 4 3" xfId="7738"/>
    <cellStyle name="Normal 3 2 2 2 2 2 4 4" xfId="7739"/>
    <cellStyle name="Normal 3 2 2 2 2 2 5" xfId="7740"/>
    <cellStyle name="Normal 3 2 2 2 2 2 5 2" xfId="7741"/>
    <cellStyle name="Normal 3 2 2 2 2 2 5 3" xfId="7742"/>
    <cellStyle name="Normal 3 2 2 2 2 2 6" xfId="7743"/>
    <cellStyle name="Normal 3 2 2 2 2 2 7" xfId="7744"/>
    <cellStyle name="Normal 3 2 2 2 2 2 8" xfId="7745"/>
    <cellStyle name="Normal 3 2 2 2 2 3" xfId="7746"/>
    <cellStyle name="Normal 3 2 2 2 2 3 2" xfId="7747"/>
    <cellStyle name="Normal 3 2 2 2 2 3 2 2" xfId="7748"/>
    <cellStyle name="Normal 3 2 2 2 2 3 2 3" xfId="7749"/>
    <cellStyle name="Normal 3 2 2 2 2 3 2 4" xfId="7750"/>
    <cellStyle name="Normal 3 2 2 2 2 3 3" xfId="7751"/>
    <cellStyle name="Normal 3 2 2 2 2 3 3 2" xfId="7752"/>
    <cellStyle name="Normal 3 2 2 2 2 3 3 3" xfId="7753"/>
    <cellStyle name="Normal 3 2 2 2 2 3 4" xfId="7754"/>
    <cellStyle name="Normal 3 2 2 2 2 3 5" xfId="7755"/>
    <cellStyle name="Normal 3 2 2 2 2 3 6" xfId="7756"/>
    <cellStyle name="Normal 3 2 2 2 2 4" xfId="7757"/>
    <cellStyle name="Normal 3 2 2 2 2 4 2" xfId="7758"/>
    <cellStyle name="Normal 3 2 2 2 2 4 2 2" xfId="7759"/>
    <cellStyle name="Normal 3 2 2 2 2 4 2 2 2" xfId="7760"/>
    <cellStyle name="Normal 3 2 2 2 2 4 2 2 3" xfId="7761"/>
    <cellStyle name="Normal 3 2 2 2 2 4 2 3" xfId="7762"/>
    <cellStyle name="Normal 3 2 2 2 2 4 2 4" xfId="7763"/>
    <cellStyle name="Normal 3 2 2 2 2 4 2 5" xfId="7764"/>
    <cellStyle name="Normal 3 2 2 2 2 4 3" xfId="7765"/>
    <cellStyle name="Normal 3 2 2 2 2 4 3 2" xfId="7766"/>
    <cellStyle name="Normal 3 2 2 2 2 4 3 3" xfId="7767"/>
    <cellStyle name="Normal 3 2 2 2 2 4 4" xfId="7768"/>
    <cellStyle name="Normal 3 2 2 2 2 4 5" xfId="7769"/>
    <cellStyle name="Normal 3 2 2 2 2 4 6" xfId="7770"/>
    <cellStyle name="Normal 3 2 2 2 2 5" xfId="7771"/>
    <cellStyle name="Normal 3 2 2 2 2 5 2" xfId="7772"/>
    <cellStyle name="Normal 3 2 2 2 2 5 3" xfId="7773"/>
    <cellStyle name="Normal 3 2 2 2 2 5 4" xfId="7774"/>
    <cellStyle name="Normal 3 2 2 2 2 6" xfId="7775"/>
    <cellStyle name="Normal 3 2 2 2 2 6 2" xfId="7776"/>
    <cellStyle name="Normal 3 2 2 2 2 6 3" xfId="7777"/>
    <cellStyle name="Normal 3 2 2 2 2 7" xfId="7778"/>
    <cellStyle name="Normal 3 2 2 2 2 8" xfId="7779"/>
    <cellStyle name="Normal 3 2 2 2 2 9" xfId="7780"/>
    <cellStyle name="Normal 3 2 2 2 3" xfId="7781"/>
    <cellStyle name="Normal 3 2 2 2 3 2" xfId="7782"/>
    <cellStyle name="Normal 3 2 2 2 3 2 2" xfId="7783"/>
    <cellStyle name="Normal 3 2 2 2 3 2 2 2" xfId="7784"/>
    <cellStyle name="Normal 3 2 2 2 3 2 3" xfId="7785"/>
    <cellStyle name="Normal 3 2 2 2 3 2 4" xfId="7786"/>
    <cellStyle name="Normal 3 2 2 2 3 2 5" xfId="7787"/>
    <cellStyle name="Normal 3 2 2 2 3 3" xfId="7788"/>
    <cellStyle name="Normal 3 2 2 2 3 3 2" xfId="7789"/>
    <cellStyle name="Normal 3 2 2 2 3 3 2 2" xfId="7790"/>
    <cellStyle name="Normal 3 2 2 2 3 3 2 3" xfId="7791"/>
    <cellStyle name="Normal 3 2 2 2 3 3 2 4" xfId="7792"/>
    <cellStyle name="Normal 3 2 2 2 3 3 3" xfId="7793"/>
    <cellStyle name="Normal 3 2 2 2 3 3 3 2" xfId="7794"/>
    <cellStyle name="Normal 3 2 2 2 3 3 3 3" xfId="7795"/>
    <cellStyle name="Normal 3 2 2 2 3 3 4" xfId="7796"/>
    <cellStyle name="Normal 3 2 2 2 3 3 5" xfId="7797"/>
    <cellStyle name="Normal 3 2 2 2 3 3 6" xfId="7798"/>
    <cellStyle name="Normal 3 2 2 2 3 4" xfId="7799"/>
    <cellStyle name="Normal 3 2 2 2 3 4 2" xfId="7800"/>
    <cellStyle name="Normal 3 2 2 2 3 4 3" xfId="7801"/>
    <cellStyle name="Normal 3 2 2 2 3 4 4" xfId="7802"/>
    <cellStyle name="Normal 3 2 2 2 3 5" xfId="7803"/>
    <cellStyle name="Normal 3 2 2 2 3 5 2" xfId="7804"/>
    <cellStyle name="Normal 3 2 2 2 3 5 3" xfId="7805"/>
    <cellStyle name="Normal 3 2 2 2 3 6" xfId="7806"/>
    <cellStyle name="Normal 3 2 2 2 3 7" xfId="7807"/>
    <cellStyle name="Normal 3 2 2 2 3 8" xfId="7808"/>
    <cellStyle name="Normal 3 2 2 2 4" xfId="7809"/>
    <cellStyle name="Normal 3 2 2 2 4 2" xfId="7810"/>
    <cellStyle name="Normal 3 2 2 2 4 2 2" xfId="7811"/>
    <cellStyle name="Normal 3 2 2 2 4 2 3" xfId="7812"/>
    <cellStyle name="Normal 3 2 2 2 4 2 4" xfId="7813"/>
    <cellStyle name="Normal 3 2 2 2 4 3" xfId="7814"/>
    <cellStyle name="Normal 3 2 2 2 4 3 2" xfId="7815"/>
    <cellStyle name="Normal 3 2 2 2 4 3 3" xfId="7816"/>
    <cellStyle name="Normal 3 2 2 2 4 4" xfId="7817"/>
    <cellStyle name="Normal 3 2 2 2 4 5" xfId="7818"/>
    <cellStyle name="Normal 3 2 2 2 4 6" xfId="7819"/>
    <cellStyle name="Normal 3 2 2 2 5" xfId="7820"/>
    <cellStyle name="Normal 3 2 2 2 5 2" xfId="7821"/>
    <cellStyle name="Normal 3 2 2 2 5 2 2" xfId="7822"/>
    <cellStyle name="Normal 3 2 2 2 5 2 2 2" xfId="7823"/>
    <cellStyle name="Normal 3 2 2 2 5 2 2 3" xfId="7824"/>
    <cellStyle name="Normal 3 2 2 2 5 2 3" xfId="7825"/>
    <cellStyle name="Normal 3 2 2 2 5 2 4" xfId="7826"/>
    <cellStyle name="Normal 3 2 2 2 5 2 5" xfId="7827"/>
    <cellStyle name="Normal 3 2 2 2 5 3" xfId="7828"/>
    <cellStyle name="Normal 3 2 2 2 5 3 2" xfId="7829"/>
    <cellStyle name="Normal 3 2 2 2 5 3 3" xfId="7830"/>
    <cellStyle name="Normal 3 2 2 2 5 4" xfId="7831"/>
    <cellStyle name="Normal 3 2 2 2 5 5" xfId="7832"/>
    <cellStyle name="Normal 3 2 2 2 5 6" xfId="7833"/>
    <cellStyle name="Normal 3 2 2 2 6" xfId="7834"/>
    <cellStyle name="Normal 3 2 2 2 6 2" xfId="7835"/>
    <cellStyle name="Normal 3 2 2 2 6 3" xfId="7836"/>
    <cellStyle name="Normal 3 2 2 2 6 4" xfId="7837"/>
    <cellStyle name="Normal 3 2 2 2 7" xfId="7838"/>
    <cellStyle name="Normal 3 2 2 2 7 2" xfId="7839"/>
    <cellStyle name="Normal 3 2 2 2 7 3" xfId="7840"/>
    <cellStyle name="Normal 3 2 2 2 8" xfId="7841"/>
    <cellStyle name="Normal 3 2 2 2 9" xfId="7842"/>
    <cellStyle name="Normal 3 2 2 3" xfId="7843"/>
    <cellStyle name="Normal 3 2 2 3 2" xfId="7844"/>
    <cellStyle name="Normal 3 2 2 3 2 2" xfId="7845"/>
    <cellStyle name="Normal 3 2 2 3 2 2 2" xfId="7846"/>
    <cellStyle name="Normal 3 2 2 3 2 3" xfId="7847"/>
    <cellStyle name="Normal 3 2 2 3 2 4" xfId="7848"/>
    <cellStyle name="Normal 3 2 2 3 2 5" xfId="7849"/>
    <cellStyle name="Normal 3 2 2 3 3" xfId="7850"/>
    <cellStyle name="Normal 3 2 2 3 3 2" xfId="7851"/>
    <cellStyle name="Normal 3 2 2 3 3 2 2" xfId="7852"/>
    <cellStyle name="Normal 3 2 2 3 3 2 3" xfId="7853"/>
    <cellStyle name="Normal 3 2 2 3 3 2 4" xfId="7854"/>
    <cellStyle name="Normal 3 2 2 3 3 3" xfId="7855"/>
    <cellStyle name="Normal 3 2 2 3 3 3 2" xfId="7856"/>
    <cellStyle name="Normal 3 2 2 3 3 3 3" xfId="7857"/>
    <cellStyle name="Normal 3 2 2 3 3 4" xfId="7858"/>
    <cellStyle name="Normal 3 2 2 3 3 5" xfId="7859"/>
    <cellStyle name="Normal 3 2 2 3 3 6" xfId="7860"/>
    <cellStyle name="Normal 3 2 2 3 4" xfId="7861"/>
    <cellStyle name="Normal 3 2 2 3 4 2" xfId="7862"/>
    <cellStyle name="Normal 3 2 2 3 4 3" xfId="7863"/>
    <cellStyle name="Normal 3 2 2 3 4 4" xfId="7864"/>
    <cellStyle name="Normal 3 2 2 3 5" xfId="7865"/>
    <cellStyle name="Normal 3 2 2 3 5 2" xfId="7866"/>
    <cellStyle name="Normal 3 2 2 3 5 3" xfId="7867"/>
    <cellStyle name="Normal 3 2 2 3 6" xfId="7868"/>
    <cellStyle name="Normal 3 2 2 3 7" xfId="7869"/>
    <cellStyle name="Normal 3 2 2 3 8" xfId="7870"/>
    <cellStyle name="Normal 3 2 2 4" xfId="7871"/>
    <cellStyle name="Normal 3 2 2 4 2" xfId="7872"/>
    <cellStyle name="Normal 3 2 2 4 2 2" xfId="7873"/>
    <cellStyle name="Normal 3 2 2 4 2 3" xfId="7874"/>
    <cellStyle name="Normal 3 2 2 4 2 4" xfId="7875"/>
    <cellStyle name="Normal 3 2 2 4 3" xfId="7876"/>
    <cellStyle name="Normal 3 2 2 4 3 2" xfId="7877"/>
    <cellStyle name="Normal 3 2 2 4 3 3" xfId="7878"/>
    <cellStyle name="Normal 3 2 2 4 4" xfId="7879"/>
    <cellStyle name="Normal 3 2 2 4 5" xfId="7880"/>
    <cellStyle name="Normal 3 2 2 4 6" xfId="7881"/>
    <cellStyle name="Normal 3 2 2 5" xfId="7882"/>
    <cellStyle name="Normal 3 2 2 5 2" xfId="7883"/>
    <cellStyle name="Normal 3 2 2 5 2 2" xfId="7884"/>
    <cellStyle name="Normal 3 2 2 5 2 2 2" xfId="7885"/>
    <cellStyle name="Normal 3 2 2 5 2 2 3" xfId="7886"/>
    <cellStyle name="Normal 3 2 2 5 2 3" xfId="7887"/>
    <cellStyle name="Normal 3 2 2 5 2 4" xfId="7888"/>
    <cellStyle name="Normal 3 2 2 5 2 5" xfId="7889"/>
    <cellStyle name="Normal 3 2 2 5 3" xfId="7890"/>
    <cellStyle name="Normal 3 2 2 5 3 2" xfId="7891"/>
    <cellStyle name="Normal 3 2 2 5 3 3" xfId="7892"/>
    <cellStyle name="Normal 3 2 2 5 4" xfId="7893"/>
    <cellStyle name="Normal 3 2 2 5 5" xfId="7894"/>
    <cellStyle name="Normal 3 2 2 5 6" xfId="7895"/>
    <cellStyle name="Normal 3 2 2 6" xfId="7896"/>
    <cellStyle name="Normal 3 2 2 6 2" xfId="7897"/>
    <cellStyle name="Normal 3 2 2 6 3" xfId="7898"/>
    <cellStyle name="Normal 3 2 2 6 4" xfId="7899"/>
    <cellStyle name="Normal 3 2 2 7" xfId="7900"/>
    <cellStyle name="Normal 3 2 2 7 2" xfId="7901"/>
    <cellStyle name="Normal 3 2 2 7 3" xfId="7902"/>
    <cellStyle name="Normal 3 2 2 8" xfId="7903"/>
    <cellStyle name="Normal 3 2 2 9" xfId="7904"/>
    <cellStyle name="Normal 3 2 3" xfId="7905"/>
    <cellStyle name="Normal 3 2 3 10" xfId="7906"/>
    <cellStyle name="Normal 3 2 3 2" xfId="7907"/>
    <cellStyle name="Normal 3 2 3 2 2" xfId="7908"/>
    <cellStyle name="Normal 3 2 3 2 2 2" xfId="7909"/>
    <cellStyle name="Normal 3 2 3 2 2 2 2" xfId="7910"/>
    <cellStyle name="Normal 3 2 3 2 2 2 2 2" xfId="7911"/>
    <cellStyle name="Normal 3 2 3 2 2 2 3" xfId="7912"/>
    <cellStyle name="Normal 3 2 3 2 2 2 4" xfId="7913"/>
    <cellStyle name="Normal 3 2 3 2 2 2 5" xfId="7914"/>
    <cellStyle name="Normal 3 2 3 2 2 3" xfId="7915"/>
    <cellStyle name="Normal 3 2 3 2 2 3 2" xfId="7916"/>
    <cellStyle name="Normal 3 2 3 2 2 3 2 2" xfId="7917"/>
    <cellStyle name="Normal 3 2 3 2 2 3 2 3" xfId="7918"/>
    <cellStyle name="Normal 3 2 3 2 2 3 2 4" xfId="7919"/>
    <cellStyle name="Normal 3 2 3 2 2 3 3" xfId="7920"/>
    <cellStyle name="Normal 3 2 3 2 2 3 3 2" xfId="7921"/>
    <cellStyle name="Normal 3 2 3 2 2 3 3 3" xfId="7922"/>
    <cellStyle name="Normal 3 2 3 2 2 3 4" xfId="7923"/>
    <cellStyle name="Normal 3 2 3 2 2 3 5" xfId="7924"/>
    <cellStyle name="Normal 3 2 3 2 2 3 6" xfId="7925"/>
    <cellStyle name="Normal 3 2 3 2 2 4" xfId="7926"/>
    <cellStyle name="Normal 3 2 3 2 2 4 2" xfId="7927"/>
    <cellStyle name="Normal 3 2 3 2 2 4 3" xfId="7928"/>
    <cellStyle name="Normal 3 2 3 2 2 4 4" xfId="7929"/>
    <cellStyle name="Normal 3 2 3 2 2 5" xfId="7930"/>
    <cellStyle name="Normal 3 2 3 2 2 5 2" xfId="7931"/>
    <cellStyle name="Normal 3 2 3 2 2 5 3" xfId="7932"/>
    <cellStyle name="Normal 3 2 3 2 2 6" xfId="7933"/>
    <cellStyle name="Normal 3 2 3 2 2 7" xfId="7934"/>
    <cellStyle name="Normal 3 2 3 2 2 8" xfId="7935"/>
    <cellStyle name="Normal 3 2 3 2 3" xfId="7936"/>
    <cellStyle name="Normal 3 2 3 2 3 2" xfId="7937"/>
    <cellStyle name="Normal 3 2 3 2 3 2 2" xfId="7938"/>
    <cellStyle name="Normal 3 2 3 2 3 2 3" xfId="7939"/>
    <cellStyle name="Normal 3 2 3 2 3 2 4" xfId="7940"/>
    <cellStyle name="Normal 3 2 3 2 3 3" xfId="7941"/>
    <cellStyle name="Normal 3 2 3 2 3 3 2" xfId="7942"/>
    <cellStyle name="Normal 3 2 3 2 3 3 3" xfId="7943"/>
    <cellStyle name="Normal 3 2 3 2 3 4" xfId="7944"/>
    <cellStyle name="Normal 3 2 3 2 3 5" xfId="7945"/>
    <cellStyle name="Normal 3 2 3 2 3 6" xfId="7946"/>
    <cellStyle name="Normal 3 2 3 2 4" xfId="7947"/>
    <cellStyle name="Normal 3 2 3 2 4 2" xfId="7948"/>
    <cellStyle name="Normal 3 2 3 2 4 2 2" xfId="7949"/>
    <cellStyle name="Normal 3 2 3 2 4 2 2 2" xfId="7950"/>
    <cellStyle name="Normal 3 2 3 2 4 2 2 3" xfId="7951"/>
    <cellStyle name="Normal 3 2 3 2 4 2 3" xfId="7952"/>
    <cellStyle name="Normal 3 2 3 2 4 2 4" xfId="7953"/>
    <cellStyle name="Normal 3 2 3 2 4 2 5" xfId="7954"/>
    <cellStyle name="Normal 3 2 3 2 4 3" xfId="7955"/>
    <cellStyle name="Normal 3 2 3 2 4 3 2" xfId="7956"/>
    <cellStyle name="Normal 3 2 3 2 4 3 3" xfId="7957"/>
    <cellStyle name="Normal 3 2 3 2 4 4" xfId="7958"/>
    <cellStyle name="Normal 3 2 3 2 4 5" xfId="7959"/>
    <cellStyle name="Normal 3 2 3 2 4 6" xfId="7960"/>
    <cellStyle name="Normal 3 2 3 2 5" xfId="7961"/>
    <cellStyle name="Normal 3 2 3 2 5 2" xfId="7962"/>
    <cellStyle name="Normal 3 2 3 2 5 3" xfId="7963"/>
    <cellStyle name="Normal 3 2 3 2 5 4" xfId="7964"/>
    <cellStyle name="Normal 3 2 3 2 6" xfId="7965"/>
    <cellStyle name="Normal 3 2 3 2 6 2" xfId="7966"/>
    <cellStyle name="Normal 3 2 3 2 6 3" xfId="7967"/>
    <cellStyle name="Normal 3 2 3 2 7" xfId="7968"/>
    <cellStyle name="Normal 3 2 3 2 8" xfId="7969"/>
    <cellStyle name="Normal 3 2 3 2 9" xfId="7970"/>
    <cellStyle name="Normal 3 2 3 3" xfId="7971"/>
    <cellStyle name="Normal 3 2 3 3 2" xfId="7972"/>
    <cellStyle name="Normal 3 2 3 3 2 2" xfId="7973"/>
    <cellStyle name="Normal 3 2 3 3 2 2 2" xfId="7974"/>
    <cellStyle name="Normal 3 2 3 3 2 3" xfId="7975"/>
    <cellStyle name="Normal 3 2 3 3 2 4" xfId="7976"/>
    <cellStyle name="Normal 3 2 3 3 2 5" xfId="7977"/>
    <cellStyle name="Normal 3 2 3 3 3" xfId="7978"/>
    <cellStyle name="Normal 3 2 3 3 3 2" xfId="7979"/>
    <cellStyle name="Normal 3 2 3 3 3 2 2" xfId="7980"/>
    <cellStyle name="Normal 3 2 3 3 3 2 3" xfId="7981"/>
    <cellStyle name="Normal 3 2 3 3 3 2 4" xfId="7982"/>
    <cellStyle name="Normal 3 2 3 3 3 3" xfId="7983"/>
    <cellStyle name="Normal 3 2 3 3 3 3 2" xfId="7984"/>
    <cellStyle name="Normal 3 2 3 3 3 3 3" xfId="7985"/>
    <cellStyle name="Normal 3 2 3 3 3 4" xfId="7986"/>
    <cellStyle name="Normal 3 2 3 3 3 5" xfId="7987"/>
    <cellStyle name="Normal 3 2 3 3 3 6" xfId="7988"/>
    <cellStyle name="Normal 3 2 3 3 4" xfId="7989"/>
    <cellStyle name="Normal 3 2 3 3 4 2" xfId="7990"/>
    <cellStyle name="Normal 3 2 3 3 4 3" xfId="7991"/>
    <cellStyle name="Normal 3 2 3 3 4 4" xfId="7992"/>
    <cellStyle name="Normal 3 2 3 3 5" xfId="7993"/>
    <cellStyle name="Normal 3 2 3 3 5 2" xfId="7994"/>
    <cellStyle name="Normal 3 2 3 3 5 3" xfId="7995"/>
    <cellStyle name="Normal 3 2 3 3 6" xfId="7996"/>
    <cellStyle name="Normal 3 2 3 3 7" xfId="7997"/>
    <cellStyle name="Normal 3 2 3 3 8" xfId="7998"/>
    <cellStyle name="Normal 3 2 3 4" xfId="7999"/>
    <cellStyle name="Normal 3 2 3 4 2" xfId="8000"/>
    <cellStyle name="Normal 3 2 3 4 2 2" xfId="8001"/>
    <cellStyle name="Normal 3 2 3 4 2 3" xfId="8002"/>
    <cellStyle name="Normal 3 2 3 4 2 4" xfId="8003"/>
    <cellStyle name="Normal 3 2 3 4 3" xfId="8004"/>
    <cellStyle name="Normal 3 2 3 4 3 2" xfId="8005"/>
    <cellStyle name="Normal 3 2 3 4 3 3" xfId="8006"/>
    <cellStyle name="Normal 3 2 3 4 4" xfId="8007"/>
    <cellStyle name="Normal 3 2 3 4 5" xfId="8008"/>
    <cellStyle name="Normal 3 2 3 4 6" xfId="8009"/>
    <cellStyle name="Normal 3 2 3 5" xfId="8010"/>
    <cellStyle name="Normal 3 2 3 5 2" xfId="8011"/>
    <cellStyle name="Normal 3 2 3 5 2 2" xfId="8012"/>
    <cellStyle name="Normal 3 2 3 5 2 2 2" xfId="8013"/>
    <cellStyle name="Normal 3 2 3 5 2 2 3" xfId="8014"/>
    <cellStyle name="Normal 3 2 3 5 2 3" xfId="8015"/>
    <cellStyle name="Normal 3 2 3 5 2 4" xfId="8016"/>
    <cellStyle name="Normal 3 2 3 5 2 5" xfId="8017"/>
    <cellStyle name="Normal 3 2 3 5 3" xfId="8018"/>
    <cellStyle name="Normal 3 2 3 5 3 2" xfId="8019"/>
    <cellStyle name="Normal 3 2 3 5 3 3" xfId="8020"/>
    <cellStyle name="Normal 3 2 3 5 4" xfId="8021"/>
    <cellStyle name="Normal 3 2 3 5 5" xfId="8022"/>
    <cellStyle name="Normal 3 2 3 5 6" xfId="8023"/>
    <cellStyle name="Normal 3 2 3 6" xfId="8024"/>
    <cellStyle name="Normal 3 2 3 6 2" xfId="8025"/>
    <cellStyle name="Normal 3 2 3 6 3" xfId="8026"/>
    <cellStyle name="Normal 3 2 3 6 4" xfId="8027"/>
    <cellStyle name="Normal 3 2 3 7" xfId="8028"/>
    <cellStyle name="Normal 3 2 3 7 2" xfId="8029"/>
    <cellStyle name="Normal 3 2 3 7 3" xfId="8030"/>
    <cellStyle name="Normal 3 2 3 8" xfId="8031"/>
    <cellStyle name="Normal 3 2 3 9" xfId="8032"/>
    <cellStyle name="Normal 3 2 4" xfId="8033"/>
    <cellStyle name="Normal 3 2 4 2" xfId="8034"/>
    <cellStyle name="Normal 3 2 4 2 2" xfId="8035"/>
    <cellStyle name="Normal 3 2 4 2 2 2" xfId="8036"/>
    <cellStyle name="Normal 3 2 4 2 3" xfId="8037"/>
    <cellStyle name="Normal 3 2 4 2 4" xfId="8038"/>
    <cellStyle name="Normal 3 2 4 2 5" xfId="8039"/>
    <cellStyle name="Normal 3 2 4 3" xfId="8040"/>
    <cellStyle name="Normal 3 2 4 3 2" xfId="8041"/>
    <cellStyle name="Normal 3 2 4 3 2 2" xfId="8042"/>
    <cellStyle name="Normal 3 2 4 3 2 3" xfId="8043"/>
    <cellStyle name="Normal 3 2 4 3 2 4" xfId="8044"/>
    <cellStyle name="Normal 3 2 4 3 3" xfId="8045"/>
    <cellStyle name="Normal 3 2 4 3 3 2" xfId="8046"/>
    <cellStyle name="Normal 3 2 4 3 3 3" xfId="8047"/>
    <cellStyle name="Normal 3 2 4 3 4" xfId="8048"/>
    <cellStyle name="Normal 3 2 4 3 5" xfId="8049"/>
    <cellStyle name="Normal 3 2 4 3 6" xfId="8050"/>
    <cellStyle name="Normal 3 2 4 4" xfId="8051"/>
    <cellStyle name="Normal 3 2 4 4 2" xfId="8052"/>
    <cellStyle name="Normal 3 2 4 4 3" xfId="8053"/>
    <cellStyle name="Normal 3 2 4 4 4" xfId="8054"/>
    <cellStyle name="Normal 3 2 4 5" xfId="8055"/>
    <cellStyle name="Normal 3 2 4 5 2" xfId="8056"/>
    <cellStyle name="Normal 3 2 4 5 3" xfId="8057"/>
    <cellStyle name="Normal 3 2 4 6" xfId="8058"/>
    <cellStyle name="Normal 3 2 4 7" xfId="8059"/>
    <cellStyle name="Normal 3 2 4 8" xfId="8060"/>
    <cellStyle name="Normal 3 2 5" xfId="8061"/>
    <cellStyle name="Normal 3 2 5 10" xfId="8062"/>
    <cellStyle name="Normal 3 2 5 2" xfId="8063"/>
    <cellStyle name="Normal 3 2 5 2 2" xfId="8064"/>
    <cellStyle name="Normal 3 2 5 2 2 2" xfId="8065"/>
    <cellStyle name="Normal 3 2 5 2 2 3" xfId="8066"/>
    <cellStyle name="Normal 3 2 5 2 2 4" xfId="8067"/>
    <cellStyle name="Normal 3 2 5 2 3" xfId="8068"/>
    <cellStyle name="Normal 3 2 5 2 3 2" xfId="8069"/>
    <cellStyle name="Normal 3 2 5 2 3 3" xfId="8070"/>
    <cellStyle name="Normal 3 2 5 2 4" xfId="8071"/>
    <cellStyle name="Normal 3 2 5 2 5" xfId="8072"/>
    <cellStyle name="Normal 3 2 5 2 6" xfId="8073"/>
    <cellStyle name="Normal 3 2 5 2 7" xfId="8074"/>
    <cellStyle name="Normal 3 2 5 3" xfId="8075"/>
    <cellStyle name="Normal 3 2 5 3 2" xfId="8076"/>
    <cellStyle name="Normal 3 2 5 3 2 2" xfId="8077"/>
    <cellStyle name="Normal 3 2 5 3 2 3" xfId="8078"/>
    <cellStyle name="Normal 3 2 5 3 2 4" xfId="8079"/>
    <cellStyle name="Normal 3 2 5 3 3" xfId="8080"/>
    <cellStyle name="Normal 3 2 5 3 3 2" xfId="8081"/>
    <cellStyle name="Normal 3 2 5 3 3 3" xfId="8082"/>
    <cellStyle name="Normal 3 2 5 3 3 4" xfId="8083"/>
    <cellStyle name="Normal 3 2 5 3 4" xfId="8084"/>
    <cellStyle name="Normal 3 2 5 3 5" xfId="8085"/>
    <cellStyle name="Normal 3 2 5 3 6" xfId="8086"/>
    <cellStyle name="Normal 3 2 5 3 7" xfId="8087"/>
    <cellStyle name="Normal 3 2 5 4" xfId="8088"/>
    <cellStyle name="Normal 3 2 5 4 2" xfId="8089"/>
    <cellStyle name="Normal 3 2 5 4 2 2" xfId="8090"/>
    <cellStyle name="Normal 3 2 5 4 2 3" xfId="8091"/>
    <cellStyle name="Normal 3 2 5 4 2 4" xfId="8092"/>
    <cellStyle name="Normal 3 2 5 4 3" xfId="8093"/>
    <cellStyle name="Normal 3 2 5 4 3 2" xfId="8094"/>
    <cellStyle name="Normal 3 2 5 4 3 3" xfId="8095"/>
    <cellStyle name="Normal 3 2 5 4 4" xfId="8096"/>
    <cellStyle name="Normal 3 2 5 4 5" xfId="8097"/>
    <cellStyle name="Normal 3 2 5 4 6" xfId="8098"/>
    <cellStyle name="Normal 3 2 5 5" xfId="8099"/>
    <cellStyle name="Normal 3 2 5 5 2" xfId="8100"/>
    <cellStyle name="Normal 3 2 5 5 3" xfId="8101"/>
    <cellStyle name="Normal 3 2 5 5 4" xfId="8102"/>
    <cellStyle name="Normal 3 2 5 6" xfId="8103"/>
    <cellStyle name="Normal 3 2 5 6 2" xfId="8104"/>
    <cellStyle name="Normal 3 2 5 6 3" xfId="8105"/>
    <cellStyle name="Normal 3 2 5 6 4" xfId="8106"/>
    <cellStyle name="Normal 3 2 5 7" xfId="8107"/>
    <cellStyle name="Normal 3 2 5 8" xfId="8108"/>
    <cellStyle name="Normal 3 2 5 9" xfId="8109"/>
    <cellStyle name="Normal 3 2 6" xfId="8110"/>
    <cellStyle name="Normal 3 2 6 2" xfId="8111"/>
    <cellStyle name="Normal 3 2 6 2 2" xfId="8112"/>
    <cellStyle name="Normal 3 2 6 2 2 2" xfId="8113"/>
    <cellStyle name="Normal 3 2 6 2 2 3" xfId="8114"/>
    <cellStyle name="Normal 3 2 6 2 3" xfId="8115"/>
    <cellStyle name="Normal 3 2 6 2 4" xfId="8116"/>
    <cellStyle name="Normal 3 2 6 2 5" xfId="8117"/>
    <cellStyle name="Normal 3 2 6 3" xfId="8118"/>
    <cellStyle name="Normal 3 2 6 3 2" xfId="8119"/>
    <cellStyle name="Normal 3 2 6 3 3" xfId="8120"/>
    <cellStyle name="Normal 3 2 6 4" xfId="8121"/>
    <cellStyle name="Normal 3 2 6 5" xfId="8122"/>
    <cellStyle name="Normal 3 2 6 6" xfId="8123"/>
    <cellStyle name="Normal 3 2 7" xfId="8124"/>
    <cellStyle name="Normal 3 2 7 2" xfId="8125"/>
    <cellStyle name="Normal 3 2 7 3" xfId="8126"/>
    <cellStyle name="Normal 3 2 7 4" xfId="8127"/>
    <cellStyle name="Normal 3 2 8" xfId="8128"/>
    <cellStyle name="Normal 3 2 8 2" xfId="8129"/>
    <cellStyle name="Normal 3 2 8 3" xfId="8130"/>
    <cellStyle name="Normal 3 2 9" xfId="8131"/>
    <cellStyle name="Normal 3 3" xfId="8132"/>
    <cellStyle name="Normal 3 3 10" xfId="8133"/>
    <cellStyle name="Normal 3 3 2" xfId="8134"/>
    <cellStyle name="Normal 3 3 2 10" xfId="8135"/>
    <cellStyle name="Normal 3 3 2 2" xfId="8136"/>
    <cellStyle name="Normal 3 3 2 2 2" xfId="8137"/>
    <cellStyle name="Normal 3 3 2 2 2 2" xfId="8138"/>
    <cellStyle name="Normal 3 3 2 2 2 2 2" xfId="8139"/>
    <cellStyle name="Normal 3 3 2 2 2 2 2 2" xfId="8140"/>
    <cellStyle name="Normal 3 3 2 2 2 2 3" xfId="8141"/>
    <cellStyle name="Normal 3 3 2 2 2 2 4" xfId="8142"/>
    <cellStyle name="Normal 3 3 2 2 2 2 5" xfId="8143"/>
    <cellStyle name="Normal 3 3 2 2 2 3" xfId="8144"/>
    <cellStyle name="Normal 3 3 2 2 2 3 2" xfId="8145"/>
    <cellStyle name="Normal 3 3 2 2 2 3 2 2" xfId="8146"/>
    <cellStyle name="Normal 3 3 2 2 2 3 2 3" xfId="8147"/>
    <cellStyle name="Normal 3 3 2 2 2 3 2 4" xfId="8148"/>
    <cellStyle name="Normal 3 3 2 2 2 3 3" xfId="8149"/>
    <cellStyle name="Normal 3 3 2 2 2 3 3 2" xfId="8150"/>
    <cellStyle name="Normal 3 3 2 2 2 3 3 3" xfId="8151"/>
    <cellStyle name="Normal 3 3 2 2 2 3 4" xfId="8152"/>
    <cellStyle name="Normal 3 3 2 2 2 3 5" xfId="8153"/>
    <cellStyle name="Normal 3 3 2 2 2 3 6" xfId="8154"/>
    <cellStyle name="Normal 3 3 2 2 2 4" xfId="8155"/>
    <cellStyle name="Normal 3 3 2 2 2 4 2" xfId="8156"/>
    <cellStyle name="Normal 3 3 2 2 2 4 3" xfId="8157"/>
    <cellStyle name="Normal 3 3 2 2 2 4 4" xfId="8158"/>
    <cellStyle name="Normal 3 3 2 2 2 5" xfId="8159"/>
    <cellStyle name="Normal 3 3 2 2 2 5 2" xfId="8160"/>
    <cellStyle name="Normal 3 3 2 2 2 5 3" xfId="8161"/>
    <cellStyle name="Normal 3 3 2 2 2 6" xfId="8162"/>
    <cellStyle name="Normal 3 3 2 2 2 7" xfId="8163"/>
    <cellStyle name="Normal 3 3 2 2 2 8" xfId="8164"/>
    <cellStyle name="Normal 3 3 2 2 3" xfId="8165"/>
    <cellStyle name="Normal 3 3 2 2 3 2" xfId="8166"/>
    <cellStyle name="Normal 3 3 2 2 3 2 2" xfId="8167"/>
    <cellStyle name="Normal 3 3 2 2 3 2 3" xfId="8168"/>
    <cellStyle name="Normal 3 3 2 2 3 2 4" xfId="8169"/>
    <cellStyle name="Normal 3 3 2 2 3 3" xfId="8170"/>
    <cellStyle name="Normal 3 3 2 2 3 3 2" xfId="8171"/>
    <cellStyle name="Normal 3 3 2 2 3 3 3" xfId="8172"/>
    <cellStyle name="Normal 3 3 2 2 3 4" xfId="8173"/>
    <cellStyle name="Normal 3 3 2 2 3 5" xfId="8174"/>
    <cellStyle name="Normal 3 3 2 2 3 6" xfId="8175"/>
    <cellStyle name="Normal 3 3 2 2 4" xfId="8176"/>
    <cellStyle name="Normal 3 3 2 2 4 2" xfId="8177"/>
    <cellStyle name="Normal 3 3 2 2 4 2 2" xfId="8178"/>
    <cellStyle name="Normal 3 3 2 2 4 2 2 2" xfId="8179"/>
    <cellStyle name="Normal 3 3 2 2 4 2 2 3" xfId="8180"/>
    <cellStyle name="Normal 3 3 2 2 4 2 3" xfId="8181"/>
    <cellStyle name="Normal 3 3 2 2 4 2 4" xfId="8182"/>
    <cellStyle name="Normal 3 3 2 2 4 2 5" xfId="8183"/>
    <cellStyle name="Normal 3 3 2 2 4 3" xfId="8184"/>
    <cellStyle name="Normal 3 3 2 2 4 3 2" xfId="8185"/>
    <cellStyle name="Normal 3 3 2 2 4 3 3" xfId="8186"/>
    <cellStyle name="Normal 3 3 2 2 4 4" xfId="8187"/>
    <cellStyle name="Normal 3 3 2 2 4 5" xfId="8188"/>
    <cellStyle name="Normal 3 3 2 2 4 6" xfId="8189"/>
    <cellStyle name="Normal 3 3 2 2 5" xfId="8190"/>
    <cellStyle name="Normal 3 3 2 2 5 2" xfId="8191"/>
    <cellStyle name="Normal 3 3 2 2 5 3" xfId="8192"/>
    <cellStyle name="Normal 3 3 2 2 5 4" xfId="8193"/>
    <cellStyle name="Normal 3 3 2 2 6" xfId="8194"/>
    <cellStyle name="Normal 3 3 2 2 6 2" xfId="8195"/>
    <cellStyle name="Normal 3 3 2 2 6 3" xfId="8196"/>
    <cellStyle name="Normal 3 3 2 2 7" xfId="8197"/>
    <cellStyle name="Normal 3 3 2 2 8" xfId="8198"/>
    <cellStyle name="Normal 3 3 2 2 9" xfId="8199"/>
    <cellStyle name="Normal 3 3 2 3" xfId="8200"/>
    <cellStyle name="Normal 3 3 2 3 2" xfId="8201"/>
    <cellStyle name="Normal 3 3 2 3 2 2" xfId="8202"/>
    <cellStyle name="Normal 3 3 2 3 2 2 2" xfId="8203"/>
    <cellStyle name="Normal 3 3 2 3 2 3" xfId="8204"/>
    <cellStyle name="Normal 3 3 2 3 2 4" xfId="8205"/>
    <cellStyle name="Normal 3 3 2 3 2 5" xfId="8206"/>
    <cellStyle name="Normal 3 3 2 3 3" xfId="8207"/>
    <cellStyle name="Normal 3 3 2 3 3 2" xfId="8208"/>
    <cellStyle name="Normal 3 3 2 3 3 2 2" xfId="8209"/>
    <cellStyle name="Normal 3 3 2 3 3 2 3" xfId="8210"/>
    <cellStyle name="Normal 3 3 2 3 3 2 4" xfId="8211"/>
    <cellStyle name="Normal 3 3 2 3 3 3" xfId="8212"/>
    <cellStyle name="Normal 3 3 2 3 3 3 2" xfId="8213"/>
    <cellStyle name="Normal 3 3 2 3 3 3 3" xfId="8214"/>
    <cellStyle name="Normal 3 3 2 3 3 4" xfId="8215"/>
    <cellStyle name="Normal 3 3 2 3 3 5" xfId="8216"/>
    <cellStyle name="Normal 3 3 2 3 3 6" xfId="8217"/>
    <cellStyle name="Normal 3 3 2 3 4" xfId="8218"/>
    <cellStyle name="Normal 3 3 2 3 4 2" xfId="8219"/>
    <cellStyle name="Normal 3 3 2 3 4 3" xfId="8220"/>
    <cellStyle name="Normal 3 3 2 3 4 4" xfId="8221"/>
    <cellStyle name="Normal 3 3 2 3 5" xfId="8222"/>
    <cellStyle name="Normal 3 3 2 3 5 2" xfId="8223"/>
    <cellStyle name="Normal 3 3 2 3 5 3" xfId="8224"/>
    <cellStyle name="Normal 3 3 2 3 6" xfId="8225"/>
    <cellStyle name="Normal 3 3 2 3 7" xfId="8226"/>
    <cellStyle name="Normal 3 3 2 3 8" xfId="8227"/>
    <cellStyle name="Normal 3 3 2 4" xfId="8228"/>
    <cellStyle name="Normal 3 3 2 4 2" xfId="8229"/>
    <cellStyle name="Normal 3 3 2 4 2 2" xfId="8230"/>
    <cellStyle name="Normal 3 3 2 4 2 3" xfId="8231"/>
    <cellStyle name="Normal 3 3 2 4 2 4" xfId="8232"/>
    <cellStyle name="Normal 3 3 2 4 3" xfId="8233"/>
    <cellStyle name="Normal 3 3 2 4 3 2" xfId="8234"/>
    <cellStyle name="Normal 3 3 2 4 3 3" xfId="8235"/>
    <cellStyle name="Normal 3 3 2 4 4" xfId="8236"/>
    <cellStyle name="Normal 3 3 2 4 5" xfId="8237"/>
    <cellStyle name="Normal 3 3 2 4 6" xfId="8238"/>
    <cellStyle name="Normal 3 3 2 5" xfId="8239"/>
    <cellStyle name="Normal 3 3 2 5 2" xfId="8240"/>
    <cellStyle name="Normal 3 3 2 5 2 2" xfId="8241"/>
    <cellStyle name="Normal 3 3 2 5 2 2 2" xfId="8242"/>
    <cellStyle name="Normal 3 3 2 5 2 2 3" xfId="8243"/>
    <cellStyle name="Normal 3 3 2 5 2 3" xfId="8244"/>
    <cellStyle name="Normal 3 3 2 5 2 4" xfId="8245"/>
    <cellStyle name="Normal 3 3 2 5 2 5" xfId="8246"/>
    <cellStyle name="Normal 3 3 2 5 3" xfId="8247"/>
    <cellStyle name="Normal 3 3 2 5 3 2" xfId="8248"/>
    <cellStyle name="Normal 3 3 2 5 3 3" xfId="8249"/>
    <cellStyle name="Normal 3 3 2 5 4" xfId="8250"/>
    <cellStyle name="Normal 3 3 2 5 5" xfId="8251"/>
    <cellStyle name="Normal 3 3 2 5 6" xfId="8252"/>
    <cellStyle name="Normal 3 3 2 6" xfId="8253"/>
    <cellStyle name="Normal 3 3 2 6 2" xfId="8254"/>
    <cellStyle name="Normal 3 3 2 6 3" xfId="8255"/>
    <cellStyle name="Normal 3 3 2 6 4" xfId="8256"/>
    <cellStyle name="Normal 3 3 2 7" xfId="8257"/>
    <cellStyle name="Normal 3 3 2 7 2" xfId="8258"/>
    <cellStyle name="Normal 3 3 2 7 3" xfId="8259"/>
    <cellStyle name="Normal 3 3 2 8" xfId="8260"/>
    <cellStyle name="Normal 3 3 2 9" xfId="8261"/>
    <cellStyle name="Normal 3 3 3" xfId="8262"/>
    <cellStyle name="Normal 3 3 3 2" xfId="8263"/>
    <cellStyle name="Normal 3 3 3 2 2" xfId="8264"/>
    <cellStyle name="Normal 3 3 3 2 2 2" xfId="8265"/>
    <cellStyle name="Normal 3 3 3 2 3" xfId="8266"/>
    <cellStyle name="Normal 3 3 3 2 4" xfId="8267"/>
    <cellStyle name="Normal 3 3 3 2 5" xfId="8268"/>
    <cellStyle name="Normal 3 3 3 3" xfId="8269"/>
    <cellStyle name="Normal 3 3 3 3 2" xfId="8270"/>
    <cellStyle name="Normal 3 3 3 3 2 2" xfId="8271"/>
    <cellStyle name="Normal 3 3 3 3 2 3" xfId="8272"/>
    <cellStyle name="Normal 3 3 3 3 2 4" xfId="8273"/>
    <cellStyle name="Normal 3 3 3 3 3" xfId="8274"/>
    <cellStyle name="Normal 3 3 3 3 3 2" xfId="8275"/>
    <cellStyle name="Normal 3 3 3 3 3 3" xfId="8276"/>
    <cellStyle name="Normal 3 3 3 3 4" xfId="8277"/>
    <cellStyle name="Normal 3 3 3 3 5" xfId="8278"/>
    <cellStyle name="Normal 3 3 3 3 6" xfId="8279"/>
    <cellStyle name="Normal 3 3 3 4" xfId="8280"/>
    <cellStyle name="Normal 3 3 3 4 2" xfId="8281"/>
    <cellStyle name="Normal 3 3 3 4 3" xfId="8282"/>
    <cellStyle name="Normal 3 3 3 4 4" xfId="8283"/>
    <cellStyle name="Normal 3 3 3 5" xfId="8284"/>
    <cellStyle name="Normal 3 3 3 5 2" xfId="8285"/>
    <cellStyle name="Normal 3 3 3 5 3" xfId="8286"/>
    <cellStyle name="Normal 3 3 3 6" xfId="8287"/>
    <cellStyle name="Normal 3 3 3 7" xfId="8288"/>
    <cellStyle name="Normal 3 3 3 8" xfId="8289"/>
    <cellStyle name="Normal 3 3 4" xfId="8290"/>
    <cellStyle name="Normal 3 3 4 2" xfId="8291"/>
    <cellStyle name="Normal 3 3 4 2 2" xfId="8292"/>
    <cellStyle name="Normal 3 3 4 2 3" xfId="8293"/>
    <cellStyle name="Normal 3 3 4 2 4" xfId="8294"/>
    <cellStyle name="Normal 3 3 4 3" xfId="8295"/>
    <cellStyle name="Normal 3 3 4 3 2" xfId="8296"/>
    <cellStyle name="Normal 3 3 4 3 3" xfId="8297"/>
    <cellStyle name="Normal 3 3 4 4" xfId="8298"/>
    <cellStyle name="Normal 3 3 4 5" xfId="8299"/>
    <cellStyle name="Normal 3 3 4 6" xfId="8300"/>
    <cellStyle name="Normal 3 3 5" xfId="8301"/>
    <cellStyle name="Normal 3 3 5 2" xfId="8302"/>
    <cellStyle name="Normal 3 3 5 2 2" xfId="8303"/>
    <cellStyle name="Normal 3 3 5 2 2 2" xfId="8304"/>
    <cellStyle name="Normal 3 3 5 2 2 3" xfId="8305"/>
    <cellStyle name="Normal 3 3 5 2 3" xfId="8306"/>
    <cellStyle name="Normal 3 3 5 2 4" xfId="8307"/>
    <cellStyle name="Normal 3 3 5 2 5" xfId="8308"/>
    <cellStyle name="Normal 3 3 5 3" xfId="8309"/>
    <cellStyle name="Normal 3 3 5 3 2" xfId="8310"/>
    <cellStyle name="Normal 3 3 5 3 3" xfId="8311"/>
    <cellStyle name="Normal 3 3 5 4" xfId="8312"/>
    <cellStyle name="Normal 3 3 5 5" xfId="8313"/>
    <cellStyle name="Normal 3 3 5 6" xfId="8314"/>
    <cellStyle name="Normal 3 3 6" xfId="8315"/>
    <cellStyle name="Normal 3 3 6 2" xfId="8316"/>
    <cellStyle name="Normal 3 3 6 3" xfId="8317"/>
    <cellStyle name="Normal 3 3 6 4" xfId="8318"/>
    <cellStyle name="Normal 3 3 7" xfId="8319"/>
    <cellStyle name="Normal 3 3 7 2" xfId="8320"/>
    <cellStyle name="Normal 3 3 7 3" xfId="8321"/>
    <cellStyle name="Normal 3 3 8" xfId="8322"/>
    <cellStyle name="Normal 3 3 9" xfId="8323"/>
    <cellStyle name="Normal 3 4" xfId="8324"/>
    <cellStyle name="Normal 3 4 2" xfId="8325"/>
    <cellStyle name="Normal 3 4 2 2" xfId="8326"/>
    <cellStyle name="Normal 3 4 2 2 2" xfId="8327"/>
    <cellStyle name="Normal 3 4 2 2 3" xfId="8328"/>
    <cellStyle name="Normal 3 4 2 2 4" xfId="8329"/>
    <cellStyle name="Normal 3 4 2 3" xfId="8330"/>
    <cellStyle name="Normal 3 4 2 4" xfId="8331"/>
    <cellStyle name="Normal 3 4 2 5" xfId="8332"/>
    <cellStyle name="Normal 3 4 3" xfId="8333"/>
    <cellStyle name="Normal 3 4 3 2" xfId="8334"/>
    <cellStyle name="Normal 3 4 3 2 2" xfId="8335"/>
    <cellStyle name="Normal 3 4 3 2 3" xfId="8336"/>
    <cellStyle name="Normal 3 4 3 2 4" xfId="8337"/>
    <cellStyle name="Normal 3 4 3 3" xfId="8338"/>
    <cellStyle name="Normal 3 4 3 3 2" xfId="8339"/>
    <cellStyle name="Normal 3 4 3 3 3" xfId="8340"/>
    <cellStyle name="Normal 3 4 3 4" xfId="8341"/>
    <cellStyle name="Normal 3 4 3 5" xfId="8342"/>
    <cellStyle name="Normal 3 4 3 6" xfId="8343"/>
    <cellStyle name="Normal 3 4 4" xfId="8344"/>
    <cellStyle name="Normal 3 4 4 2" xfId="8345"/>
    <cellStyle name="Normal 3 4 4 3" xfId="8346"/>
    <cellStyle name="Normal 3 4 5" xfId="8347"/>
    <cellStyle name="Normal 3 4 5 2" xfId="8348"/>
    <cellStyle name="Normal 3 4 5 3" xfId="8349"/>
    <cellStyle name="Normal 3 4 6" xfId="8350"/>
    <cellStyle name="Normal 3 4 7" xfId="8351"/>
    <cellStyle name="Normal 3 4 8" xfId="8352"/>
    <cellStyle name="Normal 3 5" xfId="8353"/>
    <cellStyle name="Normal 3 5 10" xfId="8354"/>
    <cellStyle name="Normal 3 5 2" xfId="8355"/>
    <cellStyle name="Normal 3 5 2 2" xfId="8356"/>
    <cellStyle name="Normal 3 5 2 2 2" xfId="8357"/>
    <cellStyle name="Normal 3 5 2 2 3" xfId="8358"/>
    <cellStyle name="Normal 3 5 2 2 4" xfId="8359"/>
    <cellStyle name="Normal 3 5 2 3" xfId="8360"/>
    <cellStyle name="Normal 3 5 2 3 2" xfId="8361"/>
    <cellStyle name="Normal 3 5 2 3 3" xfId="8362"/>
    <cellStyle name="Normal 3 5 2 4" xfId="8363"/>
    <cellStyle name="Normal 3 5 2 5" xfId="8364"/>
    <cellStyle name="Normal 3 5 2 6" xfId="8365"/>
    <cellStyle name="Normal 3 5 3" xfId="8366"/>
    <cellStyle name="Normal 3 5 3 2" xfId="8367"/>
    <cellStyle name="Normal 3 5 3 2 2" xfId="8368"/>
    <cellStyle name="Normal 3 5 3 2 3" xfId="8369"/>
    <cellStyle name="Normal 3 5 3 2 4" xfId="8370"/>
    <cellStyle name="Normal 3 5 3 3" xfId="8371"/>
    <cellStyle name="Normal 3 5 3 3 2" xfId="8372"/>
    <cellStyle name="Normal 3 5 3 3 3" xfId="8373"/>
    <cellStyle name="Normal 3 5 3 4" xfId="8374"/>
    <cellStyle name="Normal 3 5 3 5" xfId="8375"/>
    <cellStyle name="Normal 3 5 3 6" xfId="8376"/>
    <cellStyle name="Normal 3 5 4" xfId="8377"/>
    <cellStyle name="Normal 3 5 4 2" xfId="8378"/>
    <cellStyle name="Normal 3 5 4 2 2" xfId="8379"/>
    <cellStyle name="Normal 3 5 4 2 3" xfId="8380"/>
    <cellStyle name="Normal 3 5 4 2 4" xfId="8381"/>
    <cellStyle name="Normal 3 5 4 3" xfId="8382"/>
    <cellStyle name="Normal 3 5 4 3 2" xfId="8383"/>
    <cellStyle name="Normal 3 5 4 3 3" xfId="8384"/>
    <cellStyle name="Normal 3 5 4 4" xfId="8385"/>
    <cellStyle name="Normal 3 5 4 5" xfId="8386"/>
    <cellStyle name="Normal 3 5 4 6" xfId="8387"/>
    <cellStyle name="Normal 3 5 5" xfId="8388"/>
    <cellStyle name="Normal 3 5 5 2" xfId="8389"/>
    <cellStyle name="Normal 3 5 5 3" xfId="8390"/>
    <cellStyle name="Normal 3 5 5 4" xfId="8391"/>
    <cellStyle name="Normal 3 5 6" xfId="8392"/>
    <cellStyle name="Normal 3 5 6 2" xfId="8393"/>
    <cellStyle name="Normal 3 5 6 3" xfId="8394"/>
    <cellStyle name="Normal 3 5 7" xfId="8395"/>
    <cellStyle name="Normal 3 5 8" xfId="8396"/>
    <cellStyle name="Normal 3 5 9" xfId="8397"/>
    <cellStyle name="Normal 3 6" xfId="8398"/>
    <cellStyle name="Normal 3 6 2" xfId="8399"/>
    <cellStyle name="Normal 3 6 2 2" xfId="8400"/>
    <cellStyle name="Normal 3 6 2 2 2" xfId="8401"/>
    <cellStyle name="Normal 3 6 2 2 3" xfId="8402"/>
    <cellStyle name="Normal 3 6 2 3" xfId="8403"/>
    <cellStyle name="Normal 3 6 2 4" xfId="8404"/>
    <cellStyle name="Normal 3 6 2 5" xfId="8405"/>
    <cellStyle name="Normal 3 6 3" xfId="8406"/>
    <cellStyle name="Normal 3 6 3 2" xfId="8407"/>
    <cellStyle name="Normal 3 6 3 3" xfId="8408"/>
    <cellStyle name="Normal 3 6 4" xfId="8409"/>
    <cellStyle name="Normal 3 6 5" xfId="8410"/>
    <cellStyle name="Normal 3 6 6" xfId="8411"/>
    <cellStyle name="Normal 3 7" xfId="8412"/>
    <cellStyle name="Normal 3 7 2" xfId="8413"/>
    <cellStyle name="Normal 3 7 2 2" xfId="8414"/>
    <cellStyle name="Normal 3 7 2 3" xfId="8415"/>
    <cellStyle name="Normal 3 7 2 4" xfId="8416"/>
    <cellStyle name="Normal 3 7 3" xfId="8417"/>
    <cellStyle name="Normal 3 7 3 2" xfId="8418"/>
    <cellStyle name="Normal 3 7 3 3" xfId="8419"/>
    <cellStyle name="Normal 3 7 4" xfId="8420"/>
    <cellStyle name="Normal 3 7 5" xfId="8421"/>
    <cellStyle name="Normal 3 7 6" xfId="8422"/>
    <cellStyle name="Normal 3 8" xfId="8423"/>
    <cellStyle name="Normal 3 8 2" xfId="8424"/>
    <cellStyle name="Normal 3 8 3" xfId="8425"/>
    <cellStyle name="Normal 3 8 4" xfId="8426"/>
    <cellStyle name="Normal 3 9" xfId="8427"/>
    <cellStyle name="Normal 3 9 2" xfId="8428"/>
    <cellStyle name="Normal 3 9 3" xfId="8429"/>
    <cellStyle name="Normal 3 9 4" xfId="8430"/>
    <cellStyle name="Normal 3 9 4 2" xfId="8431"/>
    <cellStyle name="Normal 3 9 4 2 2" xfId="8432"/>
    <cellStyle name="Normal 3 9 4 2 2 2" xfId="8433"/>
    <cellStyle name="Normal 3 9 4 2 2 2 2" xfId="8434"/>
    <cellStyle name="Normal 3 9 4 2 2 3" xfId="8435"/>
    <cellStyle name="Normal 3 9 4 2 2 3 2" xfId="8436"/>
    <cellStyle name="Normal 3 9 4 2 2 4" xfId="8437"/>
    <cellStyle name="Normal 3 9 4 2 3" xfId="8438"/>
    <cellStyle name="Normal 3 9 4 2 3 2" xfId="8439"/>
    <cellStyle name="Normal 3 9 4 2 4" xfId="8440"/>
    <cellStyle name="Normal 3 9 4 2 4 2" xfId="8441"/>
    <cellStyle name="Normal 3 9 4 2 5" xfId="8442"/>
    <cellStyle name="Normal 3 9 4 3" xfId="8443"/>
    <cellStyle name="Normal 3 9 4 3 2" xfId="8444"/>
    <cellStyle name="Normal 3 9 4 3 2 2" xfId="8445"/>
    <cellStyle name="Normal 3 9 4 3 2 2 2" xfId="8446"/>
    <cellStyle name="Normal 3 9 4 3 2 3" xfId="8447"/>
    <cellStyle name="Normal 3 9 4 3 2 3 2" xfId="8448"/>
    <cellStyle name="Normal 3 9 4 3 2 4" xfId="8449"/>
    <cellStyle name="Normal 3 9 4 3 3" xfId="8450"/>
    <cellStyle name="Normal 3 9 4 3 3 2" xfId="8451"/>
    <cellStyle name="Normal 3 9 4 3 3 2 2" xfId="8452"/>
    <cellStyle name="Normal 3 9 4 3 3 3" xfId="8453"/>
    <cellStyle name="Normal 3 9 4 3 3 3 2" xfId="8454"/>
    <cellStyle name="Normal 3 9 4 3 3 4" xfId="8455"/>
    <cellStyle name="Normal 3 9 4 3 4" xfId="8456"/>
    <cellStyle name="Normal 3 9 4 3 4 2" xfId="8457"/>
    <cellStyle name="Normal 3 9 4 3 5" xfId="8458"/>
    <cellStyle name="Normal 3 9 4 3 5 2" xfId="8459"/>
    <cellStyle name="Normal 3 9 4 3 6" xfId="8460"/>
    <cellStyle name="Normal 3 9 4 4" xfId="8461"/>
    <cellStyle name="Normal 3 9 4 4 2" xfId="8462"/>
    <cellStyle name="Normal 3 9 4 4 2 2" xfId="8463"/>
    <cellStyle name="Normal 3 9 4 4 3" xfId="8464"/>
    <cellStyle name="Normal 3 9 4 4 3 2" xfId="8465"/>
    <cellStyle name="Normal 3 9 4 4 4" xfId="8466"/>
    <cellStyle name="Normal 3 9 4 5" xfId="8467"/>
    <cellStyle name="Normal 3 9 4 5 2" xfId="8468"/>
    <cellStyle name="Normal 3 9 4 6" xfId="8469"/>
    <cellStyle name="Normal 3 9 4 6 2" xfId="8470"/>
    <cellStyle name="Normal 3 9 4 7" xfId="8471"/>
    <cellStyle name="Normal 3 9 5" xfId="8472"/>
    <cellStyle name="Normal 3 9 5 2" xfId="8473"/>
    <cellStyle name="Normal 3 9 5 2 2" xfId="8474"/>
    <cellStyle name="Normal 3 9 5 2 2 2" xfId="8475"/>
    <cellStyle name="Normal 3 9 5 2 3" xfId="8476"/>
    <cellStyle name="Normal 3 9 5 2 3 2" xfId="8477"/>
    <cellStyle name="Normal 3 9 5 2 4" xfId="8478"/>
    <cellStyle name="Normal 3 9 5 3" xfId="8479"/>
    <cellStyle name="Normal 3 9 5 3 2" xfId="8480"/>
    <cellStyle name="Normal 3 9 5 4" xfId="8481"/>
    <cellStyle name="Normal 3 9 5 4 2" xfId="8482"/>
    <cellStyle name="Normal 3 9 5 5" xfId="8483"/>
    <cellStyle name="Normal 30" xfId="8484"/>
    <cellStyle name="Normal 30 2" xfId="8485"/>
    <cellStyle name="Normal 31" xfId="8486"/>
    <cellStyle name="Normal 32" xfId="8487"/>
    <cellStyle name="Normal 33" xfId="8488"/>
    <cellStyle name="Normal 34" xfId="8489"/>
    <cellStyle name="Normal 35" xfId="8490"/>
    <cellStyle name="Normal 36" xfId="8491"/>
    <cellStyle name="Normal 37" xfId="8492"/>
    <cellStyle name="Normal 37 2" xfId="8493"/>
    <cellStyle name="Normal 37 2 2" xfId="8494"/>
    <cellStyle name="Normal 38" xfId="8495"/>
    <cellStyle name="Normal 39" xfId="8496"/>
    <cellStyle name="Normal 4" xfId="8497"/>
    <cellStyle name="Normal 4 10" xfId="8498"/>
    <cellStyle name="Normal 4 11" xfId="8499"/>
    <cellStyle name="Normal 4 12" xfId="8500"/>
    <cellStyle name="Normal 4 13" xfId="8501"/>
    <cellStyle name="Normal 4 2" xfId="8502"/>
    <cellStyle name="Normal 4 2 10" xfId="8503"/>
    <cellStyle name="Normal 4 2 2" xfId="8504"/>
    <cellStyle name="Normal 4 2 2 2" xfId="8505"/>
    <cellStyle name="Normal 4 2 2 2 2" xfId="8506"/>
    <cellStyle name="Normal 4 2 2 2 2 2" xfId="8507"/>
    <cellStyle name="Normal 4 2 2 2 2 3" xfId="8508"/>
    <cellStyle name="Normal 4 2 2 2 2 4" xfId="8509"/>
    <cellStyle name="Normal 4 2 2 2 3" xfId="8510"/>
    <cellStyle name="Normal 4 2 2 2 3 2" xfId="8511"/>
    <cellStyle name="Normal 4 2 2 2 3 3" xfId="8512"/>
    <cellStyle name="Normal 4 2 2 2 4" xfId="8513"/>
    <cellStyle name="Normal 4 2 2 2 5" xfId="8514"/>
    <cellStyle name="Normal 4 2 2 2 6" xfId="8515"/>
    <cellStyle name="Normal 4 2 2 3" xfId="8516"/>
    <cellStyle name="Normal 4 2 2 3 2" xfId="8517"/>
    <cellStyle name="Normal 4 2 2 3 2 2" xfId="8518"/>
    <cellStyle name="Normal 4 2 2 3 2 3" xfId="8519"/>
    <cellStyle name="Normal 4 2 2 3 2 4" xfId="8520"/>
    <cellStyle name="Normal 4 2 2 3 3" xfId="8521"/>
    <cellStyle name="Normal 4 2 2 3 3 2" xfId="8522"/>
    <cellStyle name="Normal 4 2 2 3 3 3" xfId="8523"/>
    <cellStyle name="Normal 4 2 2 3 4" xfId="8524"/>
    <cellStyle name="Normal 4 2 2 3 5" xfId="8525"/>
    <cellStyle name="Normal 4 2 2 3 6" xfId="8526"/>
    <cellStyle name="Normal 4 2 2 4" xfId="8527"/>
    <cellStyle name="Normal 4 2 2 4 2" xfId="8528"/>
    <cellStyle name="Normal 4 2 2 4 3" xfId="8529"/>
    <cellStyle name="Normal 4 2 2 4 4" xfId="8530"/>
    <cellStyle name="Normal 4 2 2 5" xfId="8531"/>
    <cellStyle name="Normal 4 2 2 5 2" xfId="8532"/>
    <cellStyle name="Normal 4 2 2 5 3" xfId="8533"/>
    <cellStyle name="Normal 4 2 2 6" xfId="8534"/>
    <cellStyle name="Normal 4 2 2 7" xfId="8535"/>
    <cellStyle name="Normal 4 2 2 8" xfId="8536"/>
    <cellStyle name="Normal 4 2 3" xfId="8537"/>
    <cellStyle name="Normal 4 2 3 2" xfId="8538"/>
    <cellStyle name="Normal 4 2 3 2 2" xfId="8539"/>
    <cellStyle name="Normal 4 2 3 2 3" xfId="8540"/>
    <cellStyle name="Normal 4 2 3 2 4" xfId="8541"/>
    <cellStyle name="Normal 4 2 3 3" xfId="8542"/>
    <cellStyle name="Normal 4 2 3 3 2" xfId="8543"/>
    <cellStyle name="Normal 4 2 3 3 3" xfId="8544"/>
    <cellStyle name="Normal 4 2 3 4" xfId="8545"/>
    <cellStyle name="Normal 4 2 3 5" xfId="8546"/>
    <cellStyle name="Normal 4 2 3 6" xfId="8547"/>
    <cellStyle name="Normal 4 2 4" xfId="8548"/>
    <cellStyle name="Normal 4 2 4 2" xfId="8549"/>
    <cellStyle name="Normal 4 2 4 2 2" xfId="8550"/>
    <cellStyle name="Normal 4 2 4 2 3" xfId="8551"/>
    <cellStyle name="Normal 4 2 4 2 4" xfId="8552"/>
    <cellStyle name="Normal 4 2 4 3" xfId="8553"/>
    <cellStyle name="Normal 4 2 4 3 2" xfId="8554"/>
    <cellStyle name="Normal 4 2 4 3 3" xfId="8555"/>
    <cellStyle name="Normal 4 2 4 4" xfId="8556"/>
    <cellStyle name="Normal 4 2 4 5" xfId="8557"/>
    <cellStyle name="Normal 4 2 4 6" xfId="8558"/>
    <cellStyle name="Normal 4 2 5" xfId="8559"/>
    <cellStyle name="Normal 4 2 5 2" xfId="8560"/>
    <cellStyle name="Normal 4 2 5 3" xfId="8561"/>
    <cellStyle name="Normal 4 2 5 4" xfId="8562"/>
    <cellStyle name="Normal 4 2 6" xfId="8563"/>
    <cellStyle name="Normal 4 2 6 2" xfId="8564"/>
    <cellStyle name="Normal 4 2 6 3" xfId="8565"/>
    <cellStyle name="Normal 4 2 6 4" xfId="8566"/>
    <cellStyle name="Normal 4 2 6 5" xfId="8567"/>
    <cellStyle name="Normal 4 2 7" xfId="8568"/>
    <cellStyle name="Normal 4 2 8" xfId="8569"/>
    <cellStyle name="Normal 4 2 9" xfId="8570"/>
    <cellStyle name="Normal 4 3" xfId="8571"/>
    <cellStyle name="Normal 4 3 10" xfId="8572"/>
    <cellStyle name="Normal 4 3 2" xfId="8573"/>
    <cellStyle name="Normal 4 3 2 2" xfId="8574"/>
    <cellStyle name="Normal 4 3 2 2 2" xfId="8575"/>
    <cellStyle name="Normal 4 3 2 2 3" xfId="8576"/>
    <cellStyle name="Normal 4 3 2 2 4" xfId="8577"/>
    <cellStyle name="Normal 4 3 2 3" xfId="8578"/>
    <cellStyle name="Normal 4 3 2 3 2" xfId="8579"/>
    <cellStyle name="Normal 4 3 2 3 3" xfId="8580"/>
    <cellStyle name="Normal 4 3 2 4" xfId="8581"/>
    <cellStyle name="Normal 4 3 2 5" xfId="8582"/>
    <cellStyle name="Normal 4 3 2 6" xfId="8583"/>
    <cellStyle name="Normal 4 3 3" xfId="8584"/>
    <cellStyle name="Normal 4 3 3 2" xfId="8585"/>
    <cellStyle name="Normal 4 3 3 2 2" xfId="8586"/>
    <cellStyle name="Normal 4 3 3 2 3" xfId="8587"/>
    <cellStyle name="Normal 4 3 3 3" xfId="8588"/>
    <cellStyle name="Normal 4 3 3 4" xfId="8589"/>
    <cellStyle name="Normal 4 3 3 5" xfId="8590"/>
    <cellStyle name="Normal 4 3 4" xfId="8591"/>
    <cellStyle name="Normal 4 3 4 2" xfId="8592"/>
    <cellStyle name="Normal 4 3 4 3" xfId="8593"/>
    <cellStyle name="Normal 4 3 5" xfId="8594"/>
    <cellStyle name="Normal 4 3 5 2" xfId="8595"/>
    <cellStyle name="Normal 4 3 5 3" xfId="8596"/>
    <cellStyle name="Normal 4 3 6" xfId="8597"/>
    <cellStyle name="Normal 4 3 6 2" xfId="8598"/>
    <cellStyle name="Normal 4 3 6 3" xfId="8599"/>
    <cellStyle name="Normal 4 3 7" xfId="8600"/>
    <cellStyle name="Normal 4 3 8" xfId="8601"/>
    <cellStyle name="Normal 4 3 9" xfId="8602"/>
    <cellStyle name="Normal 4 4" xfId="8603"/>
    <cellStyle name="Normal 4 4 2" xfId="8604"/>
    <cellStyle name="Normal 4 4 2 2" xfId="8605"/>
    <cellStyle name="Normal 4 4 2 3" xfId="8606"/>
    <cellStyle name="Normal 4 4 2 4" xfId="8607"/>
    <cellStyle name="Normal 4 4 3" xfId="8608"/>
    <cellStyle name="Normal 4 4 3 2" xfId="8609"/>
    <cellStyle name="Normal 4 4 3 3" xfId="8610"/>
    <cellStyle name="Normal 4 4 4" xfId="8611"/>
    <cellStyle name="Normal 4 4 5" xfId="8612"/>
    <cellStyle name="Normal 4 4 6" xfId="8613"/>
    <cellStyle name="Normal 4 5" xfId="8614"/>
    <cellStyle name="Normal 4 5 2" xfId="8615"/>
    <cellStyle name="Normal 4 5 2 2" xfId="8616"/>
    <cellStyle name="Normal 4 5 2 3" xfId="8617"/>
    <cellStyle name="Normal 4 5 2 4" xfId="8618"/>
    <cellStyle name="Normal 4 5 3" xfId="8619"/>
    <cellStyle name="Normal 4 5 3 2" xfId="8620"/>
    <cellStyle name="Normal 4 5 3 3" xfId="8621"/>
    <cellStyle name="Normal 4 5 4" xfId="8622"/>
    <cellStyle name="Normal 4 5 5" xfId="8623"/>
    <cellStyle name="Normal 4 5 6" xfId="8624"/>
    <cellStyle name="Normal 4 6" xfId="8625"/>
    <cellStyle name="Normal 4 6 2" xfId="8626"/>
    <cellStyle name="Normal 4 6 3" xfId="8627"/>
    <cellStyle name="Normal 4 6 4" xfId="8628"/>
    <cellStyle name="Normal 4 7" xfId="8629"/>
    <cellStyle name="Normal 4 7 2" xfId="8630"/>
    <cellStyle name="Normal 4 7 3" xfId="8631"/>
    <cellStyle name="Normal 4 7 4" xfId="8632"/>
    <cellStyle name="Normal 4 7 4 2" xfId="8633"/>
    <cellStyle name="Normal 4 7 4 2 2" xfId="8634"/>
    <cellStyle name="Normal 4 7 4 2 2 2" xfId="8635"/>
    <cellStyle name="Normal 4 7 4 2 2 2 2" xfId="8636"/>
    <cellStyle name="Normal 4 7 4 2 2 3" xfId="8637"/>
    <cellStyle name="Normal 4 7 4 2 2 3 2" xfId="8638"/>
    <cellStyle name="Normal 4 7 4 2 2 4" xfId="8639"/>
    <cellStyle name="Normal 4 7 4 2 3" xfId="8640"/>
    <cellStyle name="Normal 4 7 4 2 3 2" xfId="8641"/>
    <cellStyle name="Normal 4 7 4 2 4" xfId="8642"/>
    <cellStyle name="Normal 4 7 4 2 4 2" xfId="8643"/>
    <cellStyle name="Normal 4 7 4 2 5" xfId="8644"/>
    <cellStyle name="Normal 4 7 4 3" xfId="8645"/>
    <cellStyle name="Normal 4 7 4 3 2" xfId="8646"/>
    <cellStyle name="Normal 4 7 4 3 2 2" xfId="8647"/>
    <cellStyle name="Normal 4 7 4 3 2 2 2" xfId="8648"/>
    <cellStyle name="Normal 4 7 4 3 2 3" xfId="8649"/>
    <cellStyle name="Normal 4 7 4 3 2 3 2" xfId="8650"/>
    <cellStyle name="Normal 4 7 4 3 2 4" xfId="8651"/>
    <cellStyle name="Normal 4 7 4 3 3" xfId="8652"/>
    <cellStyle name="Normal 4 7 4 3 3 2" xfId="8653"/>
    <cellStyle name="Normal 4 7 4 3 3 2 2" xfId="8654"/>
    <cellStyle name="Normal 4 7 4 3 3 3" xfId="8655"/>
    <cellStyle name="Normal 4 7 4 3 3 3 2" xfId="8656"/>
    <cellStyle name="Normal 4 7 4 3 3 4" xfId="8657"/>
    <cellStyle name="Normal 4 7 4 3 4" xfId="8658"/>
    <cellStyle name="Normal 4 7 4 3 4 2" xfId="8659"/>
    <cellStyle name="Normal 4 7 4 3 5" xfId="8660"/>
    <cellStyle name="Normal 4 7 4 3 5 2" xfId="8661"/>
    <cellStyle name="Normal 4 7 4 3 6" xfId="8662"/>
    <cellStyle name="Normal 4 7 4 4" xfId="8663"/>
    <cellStyle name="Normal 4 7 4 4 2" xfId="8664"/>
    <cellStyle name="Normal 4 7 4 4 2 2" xfId="8665"/>
    <cellStyle name="Normal 4 7 4 4 3" xfId="8666"/>
    <cellStyle name="Normal 4 7 4 4 3 2" xfId="8667"/>
    <cellStyle name="Normal 4 7 4 4 4" xfId="8668"/>
    <cellStyle name="Normal 4 7 4 5" xfId="8669"/>
    <cellStyle name="Normal 4 7 4 5 2" xfId="8670"/>
    <cellStyle name="Normal 4 7 4 6" xfId="8671"/>
    <cellStyle name="Normal 4 7 4 6 2" xfId="8672"/>
    <cellStyle name="Normal 4 7 4 7" xfId="8673"/>
    <cellStyle name="Normal 4 7 5" xfId="8674"/>
    <cellStyle name="Normal 4 7 5 2" xfId="8675"/>
    <cellStyle name="Normal 4 7 5 2 2" xfId="8676"/>
    <cellStyle name="Normal 4 7 5 2 2 2" xfId="8677"/>
    <cellStyle name="Normal 4 7 5 2 3" xfId="8678"/>
    <cellStyle name="Normal 4 7 5 2 3 2" xfId="8679"/>
    <cellStyle name="Normal 4 7 5 2 4" xfId="8680"/>
    <cellStyle name="Normal 4 7 5 3" xfId="8681"/>
    <cellStyle name="Normal 4 7 5 3 2" xfId="8682"/>
    <cellStyle name="Normal 4 7 5 4" xfId="8683"/>
    <cellStyle name="Normal 4 7 5 4 2" xfId="8684"/>
    <cellStyle name="Normal 4 7 5 5" xfId="8685"/>
    <cellStyle name="Normal 4 8" xfId="8686"/>
    <cellStyle name="Normal 4 9" xfId="8687"/>
    <cellStyle name="Normal 40" xfId="8688"/>
    <cellStyle name="Normal 41" xfId="8689"/>
    <cellStyle name="Normal 41 2" xfId="8690"/>
    <cellStyle name="Normal 42" xfId="8691"/>
    <cellStyle name="Normal 42 2" xfId="3"/>
    <cellStyle name="Normal 42 2 2" xfId="8692"/>
    <cellStyle name="Normal 42 2 2 2" xfId="8693"/>
    <cellStyle name="Normal 42 2 3" xfId="8694"/>
    <cellStyle name="Normal 42 2 3 2" xfId="8695"/>
    <cellStyle name="Normal 42 2 3 3" xfId="8696"/>
    <cellStyle name="Normal 42 2 4" xfId="8697"/>
    <cellStyle name="Normal 42 2 5" xfId="8698"/>
    <cellStyle name="Normal 42 2 6" xfId="12420"/>
    <cellStyle name="Normal 42 3" xfId="8699"/>
    <cellStyle name="Normal 42 3 2" xfId="8700"/>
    <cellStyle name="Normal 42 4" xfId="8701"/>
    <cellStyle name="Normal 42 4 2" xfId="8702"/>
    <cellStyle name="Normal 42 5" xfId="8703"/>
    <cellStyle name="Normal 43" xfId="8704"/>
    <cellStyle name="Normal 44" xfId="8705"/>
    <cellStyle name="Normal 45" xfId="8706"/>
    <cellStyle name="Normal 46" xfId="8707"/>
    <cellStyle name="Normal 47" xfId="5"/>
    <cellStyle name="Normal 47 2" xfId="12418"/>
    <cellStyle name="Normal 48" xfId="12412"/>
    <cellStyle name="Normal 5" xfId="8708"/>
    <cellStyle name="Normal 5 10" xfId="8709"/>
    <cellStyle name="Normal 5 11" xfId="8710"/>
    <cellStyle name="Normal 5 12" xfId="8711"/>
    <cellStyle name="Normal 5 13" xfId="8712"/>
    <cellStyle name="Normal 5 2" xfId="8713"/>
    <cellStyle name="Normal 5 2 2" xfId="8714"/>
    <cellStyle name="Normal 5 2 2 2" xfId="8715"/>
    <cellStyle name="Normal 5 2 2 2 2" xfId="8716"/>
    <cellStyle name="Normal 5 2 2 2 3" xfId="8717"/>
    <cellStyle name="Normal 5 2 2 2 4" xfId="8718"/>
    <cellStyle name="Normal 5 2 2 3" xfId="8719"/>
    <cellStyle name="Normal 5 2 2 3 2" xfId="8720"/>
    <cellStyle name="Normal 5 2 2 3 3" xfId="8721"/>
    <cellStyle name="Normal 5 2 2 4" xfId="8722"/>
    <cellStyle name="Normal 5 2 2 5" xfId="8723"/>
    <cellStyle name="Normal 5 2 2 6" xfId="8724"/>
    <cellStyle name="Normal 5 2 3" xfId="8725"/>
    <cellStyle name="Normal 5 2 3 2" xfId="8726"/>
    <cellStyle name="Normal 5 2 3 2 2" xfId="8727"/>
    <cellStyle name="Normal 5 2 3 2 3" xfId="8728"/>
    <cellStyle name="Normal 5 2 3 2 4" xfId="8729"/>
    <cellStyle name="Normal 5 2 3 3" xfId="8730"/>
    <cellStyle name="Normal 5 2 3 3 2" xfId="8731"/>
    <cellStyle name="Normal 5 2 3 3 3" xfId="8732"/>
    <cellStyle name="Normal 5 2 3 4" xfId="8733"/>
    <cellStyle name="Normal 5 2 3 5" xfId="8734"/>
    <cellStyle name="Normal 5 2 3 6" xfId="8735"/>
    <cellStyle name="Normal 5 2 4" xfId="8736"/>
    <cellStyle name="Normal 5 2 4 2" xfId="8737"/>
    <cellStyle name="Normal 5 2 4 3" xfId="8738"/>
    <cellStyle name="Normal 5 2 4 4" xfId="8739"/>
    <cellStyle name="Normal 5 2 5" xfId="8740"/>
    <cellStyle name="Normal 5 2 5 2" xfId="8741"/>
    <cellStyle name="Normal 5 2 5 3" xfId="8742"/>
    <cellStyle name="Normal 5 2 6" xfId="8743"/>
    <cellStyle name="Normal 5 2 7" xfId="8744"/>
    <cellStyle name="Normal 5 2 8" xfId="8745"/>
    <cellStyle name="Normal 5 3" xfId="8746"/>
    <cellStyle name="Normal 5 3 2" xfId="8747"/>
    <cellStyle name="Normal 5 3 2 2" xfId="8748"/>
    <cellStyle name="Normal 5 3 2 3" xfId="8749"/>
    <cellStyle name="Normal 5 3 2 4" xfId="8750"/>
    <cellStyle name="Normal 5 3 3" xfId="8751"/>
    <cellStyle name="Normal 5 3 3 2" xfId="8752"/>
    <cellStyle name="Normal 5 3 3 3" xfId="8753"/>
    <cellStyle name="Normal 5 3 4" xfId="8754"/>
    <cellStyle name="Normal 5 3 5" xfId="8755"/>
    <cellStyle name="Normal 5 3 6" xfId="8756"/>
    <cellStyle name="Normal 5 3 7" xfId="8757"/>
    <cellStyle name="Normal 5 4" xfId="8758"/>
    <cellStyle name="Normal 5 4 2" xfId="8759"/>
    <cellStyle name="Normal 5 4 2 2" xfId="8760"/>
    <cellStyle name="Normal 5 4 2 3" xfId="8761"/>
    <cellStyle name="Normal 5 4 2 4" xfId="8762"/>
    <cellStyle name="Normal 5 4 3" xfId="8763"/>
    <cellStyle name="Normal 5 4 3 2" xfId="8764"/>
    <cellStyle name="Normal 5 4 3 3" xfId="8765"/>
    <cellStyle name="Normal 5 4 3 4" xfId="8766"/>
    <cellStyle name="Normal 5 4 4" xfId="8767"/>
    <cellStyle name="Normal 5 4 5" xfId="8768"/>
    <cellStyle name="Normal 5 4 6" xfId="8769"/>
    <cellStyle name="Normal 5 4 7" xfId="8770"/>
    <cellStyle name="Normal 5 5" xfId="8771"/>
    <cellStyle name="Normal 5 5 2" xfId="8772"/>
    <cellStyle name="Normal 5 5 2 2" xfId="8773"/>
    <cellStyle name="Normal 5 5 2 3" xfId="8774"/>
    <cellStyle name="Normal 5 5 2 4" xfId="8775"/>
    <cellStyle name="Normal 5 5 3" xfId="8776"/>
    <cellStyle name="Normal 5 5 3 2" xfId="8777"/>
    <cellStyle name="Normal 5 5 3 3" xfId="8778"/>
    <cellStyle name="Normal 5 5 4" xfId="8779"/>
    <cellStyle name="Normal 5 5 5" xfId="8780"/>
    <cellStyle name="Normal 5 5 6" xfId="8781"/>
    <cellStyle name="Normal 5 6" xfId="8782"/>
    <cellStyle name="Normal 5 6 2" xfId="8783"/>
    <cellStyle name="Normal 5 6 3" xfId="8784"/>
    <cellStyle name="Normal 5 6 4" xfId="8785"/>
    <cellStyle name="Normal 5 7" xfId="8786"/>
    <cellStyle name="Normal 5 7 2" xfId="8787"/>
    <cellStyle name="Normal 5 7 3" xfId="8788"/>
    <cellStyle name="Normal 5 7 4" xfId="8789"/>
    <cellStyle name="Normal 5 8" xfId="8790"/>
    <cellStyle name="Normal 5 9" xfId="8791"/>
    <cellStyle name="Normal 6" xfId="8792"/>
    <cellStyle name="Normal 6 10" xfId="8793"/>
    <cellStyle name="Normal 6 2" xfId="8794"/>
    <cellStyle name="Normal 6 2 2" xfId="8795"/>
    <cellStyle name="Normal 6 2 2 2" xfId="8796"/>
    <cellStyle name="Normal 6 2 2 3" xfId="8797"/>
    <cellStyle name="Normal 6 2 2 4" xfId="8798"/>
    <cellStyle name="Normal 6 2 3" xfId="8799"/>
    <cellStyle name="Normal 6 2 3 2" xfId="8800"/>
    <cellStyle name="Normal 6 2 3 2 2" xfId="8801"/>
    <cellStyle name="Normal 6 2 3 2 3" xfId="8802"/>
    <cellStyle name="Normal 6 2 3 2 4" xfId="8803"/>
    <cellStyle name="Normal 6 2 3 3" xfId="8804"/>
    <cellStyle name="Normal 6 2 3 3 2" xfId="8805"/>
    <cellStyle name="Normal 6 2 3 3 3" xfId="8806"/>
    <cellStyle name="Normal 6 2 3 4" xfId="8807"/>
    <cellStyle name="Normal 6 2 3 5" xfId="8808"/>
    <cellStyle name="Normal 6 2 3 6" xfId="8809"/>
    <cellStyle name="Normal 6 2 4" xfId="8810"/>
    <cellStyle name="Normal 6 2 4 2" xfId="8811"/>
    <cellStyle name="Normal 6 2 4 3" xfId="8812"/>
    <cellStyle name="Normal 6 2 4 4" xfId="8813"/>
    <cellStyle name="Normal 6 2 5" xfId="8814"/>
    <cellStyle name="Normal 6 2 5 2" xfId="8815"/>
    <cellStyle name="Normal 6 2 5 3" xfId="8816"/>
    <cellStyle name="Normal 6 2 6" xfId="8817"/>
    <cellStyle name="Normal 6 2 7" xfId="8818"/>
    <cellStyle name="Normal 6 2 8" xfId="8819"/>
    <cellStyle name="Normal 6 3" xfId="8820"/>
    <cellStyle name="Normal 6 3 2" xfId="8821"/>
    <cellStyle name="Normal 6 3 2 2" xfId="8822"/>
    <cellStyle name="Normal 6 3 2 3" xfId="8823"/>
    <cellStyle name="Normal 6 3 2 4" xfId="8824"/>
    <cellStyle name="Normal 6 3 3" xfId="8825"/>
    <cellStyle name="Normal 6 3 3 2" xfId="8826"/>
    <cellStyle name="Normal 6 3 3 3" xfId="8827"/>
    <cellStyle name="Normal 6 3 4" xfId="8828"/>
    <cellStyle name="Normal 6 3 5" xfId="8829"/>
    <cellStyle name="Normal 6 3 6" xfId="8830"/>
    <cellStyle name="Normal 6 4" xfId="8831"/>
    <cellStyle name="Normal 6 4 2" xfId="8832"/>
    <cellStyle name="Normal 6 4 2 2" xfId="8833"/>
    <cellStyle name="Normal 6 4 2 3" xfId="8834"/>
    <cellStyle name="Normal 6 4 2 4" xfId="8835"/>
    <cellStyle name="Normal 6 4 3" xfId="8836"/>
    <cellStyle name="Normal 6 4 3 2" xfId="8837"/>
    <cellStyle name="Normal 6 4 3 3" xfId="8838"/>
    <cellStyle name="Normal 6 4 4" xfId="8839"/>
    <cellStyle name="Normal 6 4 5" xfId="8840"/>
    <cellStyle name="Normal 6 4 6" xfId="8841"/>
    <cellStyle name="Normal 6 5" xfId="8842"/>
    <cellStyle name="Normal 6 5 2" xfId="8843"/>
    <cellStyle name="Normal 6 5 3" xfId="8844"/>
    <cellStyle name="Normal 6 5 4" xfId="8845"/>
    <cellStyle name="Normal 6 6" xfId="8846"/>
    <cellStyle name="Normal 6 6 2" xfId="8847"/>
    <cellStyle name="Normal 6 6 3" xfId="8848"/>
    <cellStyle name="Normal 6 6 4" xfId="8849"/>
    <cellStyle name="Normal 6 6 4 2" xfId="8850"/>
    <cellStyle name="Normal 6 6 4 2 2" xfId="8851"/>
    <cellStyle name="Normal 6 6 4 2 2 2" xfId="8852"/>
    <cellStyle name="Normal 6 6 4 2 2 2 2" xfId="8853"/>
    <cellStyle name="Normal 6 6 4 2 2 3" xfId="8854"/>
    <cellStyle name="Normal 6 6 4 2 2 3 2" xfId="8855"/>
    <cellStyle name="Normal 6 6 4 2 2 4" xfId="8856"/>
    <cellStyle name="Normal 6 6 4 2 3" xfId="8857"/>
    <cellStyle name="Normal 6 6 4 2 3 2" xfId="8858"/>
    <cellStyle name="Normal 6 6 4 2 4" xfId="8859"/>
    <cellStyle name="Normal 6 6 4 2 4 2" xfId="8860"/>
    <cellStyle name="Normal 6 6 4 2 5" xfId="8861"/>
    <cellStyle name="Normal 6 6 4 3" xfId="8862"/>
    <cellStyle name="Normal 6 6 4 3 2" xfId="8863"/>
    <cellStyle name="Normal 6 6 4 3 2 2" xfId="8864"/>
    <cellStyle name="Normal 6 6 4 3 2 2 2" xfId="8865"/>
    <cellStyle name="Normal 6 6 4 3 2 3" xfId="8866"/>
    <cellStyle name="Normal 6 6 4 3 2 3 2" xfId="8867"/>
    <cellStyle name="Normal 6 6 4 3 2 4" xfId="8868"/>
    <cellStyle name="Normal 6 6 4 3 3" xfId="8869"/>
    <cellStyle name="Normal 6 6 4 3 3 2" xfId="8870"/>
    <cellStyle name="Normal 6 6 4 3 3 2 2" xfId="8871"/>
    <cellStyle name="Normal 6 6 4 3 3 3" xfId="8872"/>
    <cellStyle name="Normal 6 6 4 3 3 3 2" xfId="8873"/>
    <cellStyle name="Normal 6 6 4 3 3 4" xfId="8874"/>
    <cellStyle name="Normal 6 6 4 3 4" xfId="8875"/>
    <cellStyle name="Normal 6 6 4 3 4 2" xfId="8876"/>
    <cellStyle name="Normal 6 6 4 3 5" xfId="8877"/>
    <cellStyle name="Normal 6 6 4 3 5 2" xfId="8878"/>
    <cellStyle name="Normal 6 6 4 3 6" xfId="8879"/>
    <cellStyle name="Normal 6 6 4 4" xfId="8880"/>
    <cellStyle name="Normal 6 6 4 4 2" xfId="8881"/>
    <cellStyle name="Normal 6 6 4 4 2 2" xfId="8882"/>
    <cellStyle name="Normal 6 6 4 4 3" xfId="8883"/>
    <cellStyle name="Normal 6 6 4 4 3 2" xfId="8884"/>
    <cellStyle name="Normal 6 6 4 4 4" xfId="8885"/>
    <cellStyle name="Normal 6 6 4 5" xfId="8886"/>
    <cellStyle name="Normal 6 6 4 5 2" xfId="8887"/>
    <cellStyle name="Normal 6 6 4 6" xfId="8888"/>
    <cellStyle name="Normal 6 6 4 6 2" xfId="8889"/>
    <cellStyle name="Normal 6 6 4 7" xfId="8890"/>
    <cellStyle name="Normal 6 6 5" xfId="8891"/>
    <cellStyle name="Normal 6 6 5 2" xfId="8892"/>
    <cellStyle name="Normal 6 6 5 2 2" xfId="8893"/>
    <cellStyle name="Normal 6 6 5 2 2 2" xfId="8894"/>
    <cellStyle name="Normal 6 6 5 2 3" xfId="8895"/>
    <cellStyle name="Normal 6 6 5 2 3 2" xfId="8896"/>
    <cellStyle name="Normal 6 6 5 2 4" xfId="8897"/>
    <cellStyle name="Normal 6 6 5 3" xfId="8898"/>
    <cellStyle name="Normal 6 6 5 3 2" xfId="8899"/>
    <cellStyle name="Normal 6 6 5 4" xfId="8900"/>
    <cellStyle name="Normal 6 6 5 4 2" xfId="8901"/>
    <cellStyle name="Normal 6 6 5 5" xfId="8902"/>
    <cellStyle name="Normal 6 7" xfId="8903"/>
    <cellStyle name="Normal 6 8" xfId="8904"/>
    <cellStyle name="Normal 6 9" xfId="8905"/>
    <cellStyle name="Normal 7" xfId="8906"/>
    <cellStyle name="Normal 7 10" xfId="8907"/>
    <cellStyle name="Normal 7 2" xfId="8908"/>
    <cellStyle name="Normal 7 2 2" xfId="8909"/>
    <cellStyle name="Normal 7 2 2 2" xfId="8910"/>
    <cellStyle name="Normal 7 2 2 3" xfId="8911"/>
    <cellStyle name="Normal 7 2 2 4" xfId="8912"/>
    <cellStyle name="Normal 7 2 3" xfId="8913"/>
    <cellStyle name="Normal 7 2 3 2" xfId="8914"/>
    <cellStyle name="Normal 7 2 3 3" xfId="8915"/>
    <cellStyle name="Normal 7 2 4" xfId="8916"/>
    <cellStyle name="Normal 7 2 5" xfId="8917"/>
    <cellStyle name="Normal 7 2 6" xfId="8918"/>
    <cellStyle name="Normal 7 3" xfId="8919"/>
    <cellStyle name="Normal 7 3 2" xfId="8920"/>
    <cellStyle name="Normal 7 3 2 2" xfId="8921"/>
    <cellStyle name="Normal 7 3 2 3" xfId="8922"/>
    <cellStyle name="Normal 7 3 3" xfId="8923"/>
    <cellStyle name="Normal 7 3 4" xfId="8924"/>
    <cellStyle name="Normal 7 3 5" xfId="8925"/>
    <cellStyle name="Normal 7 4" xfId="8926"/>
    <cellStyle name="Normal 7 4 2" xfId="8927"/>
    <cellStyle name="Normal 7 4 3" xfId="8928"/>
    <cellStyle name="Normal 7 4 4" xfId="8929"/>
    <cellStyle name="Normal 7 4 5" xfId="8930"/>
    <cellStyle name="Normal 7 5" xfId="8931"/>
    <cellStyle name="Normal 7 5 2" xfId="8932"/>
    <cellStyle name="Normal 7 5 3" xfId="8933"/>
    <cellStyle name="Normal 7 6" xfId="8934"/>
    <cellStyle name="Normal 7 6 2" xfId="8935"/>
    <cellStyle name="Normal 7 6 3" xfId="8936"/>
    <cellStyle name="Normal 7 7" xfId="8937"/>
    <cellStyle name="Normal 7 8" xfId="8938"/>
    <cellStyle name="Normal 7 9" xfId="8939"/>
    <cellStyle name="Normal 8" xfId="8940"/>
    <cellStyle name="Normal 8 2" xfId="8941"/>
    <cellStyle name="Normal 8 2 2" xfId="8942"/>
    <cellStyle name="Normal 8 2 2 2" xfId="8943"/>
    <cellStyle name="Normal 8 2 2 2 2" xfId="8944"/>
    <cellStyle name="Normal 8 2 2 3" xfId="8945"/>
    <cellStyle name="Normal 8 2 2 4" xfId="8946"/>
    <cellStyle name="Normal 8 2 2 5" xfId="8947"/>
    <cellStyle name="Normal 8 2 3" xfId="8948"/>
    <cellStyle name="Normal 8 2 3 2" xfId="8949"/>
    <cellStyle name="Normal 8 2 3 2 2" xfId="8950"/>
    <cellStyle name="Normal 8 2 3 2 2 2" xfId="8951"/>
    <cellStyle name="Normal 8 2 3 2 2 2 2" xfId="8952"/>
    <cellStyle name="Normal 8 2 3 2 2 2 2 2" xfId="8953"/>
    <cellStyle name="Normal 8 2 3 2 2 2 2 2 2" xfId="8954"/>
    <cellStyle name="Normal 8 2 3 2 2 2 2 3" xfId="8955"/>
    <cellStyle name="Normal 8 2 3 2 2 2 2 3 2" xfId="8956"/>
    <cellStyle name="Normal 8 2 3 2 2 2 2 4" xfId="8957"/>
    <cellStyle name="Normal 8 2 3 2 2 2 3" xfId="8958"/>
    <cellStyle name="Normal 8 2 3 2 2 2 3 2" xfId="8959"/>
    <cellStyle name="Normal 8 2 3 2 2 2 4" xfId="8960"/>
    <cellStyle name="Normal 8 2 3 2 2 2 4 2" xfId="8961"/>
    <cellStyle name="Normal 8 2 3 2 2 2 5" xfId="8962"/>
    <cellStyle name="Normal 8 2 3 2 2 3" xfId="8963"/>
    <cellStyle name="Normal 8 2 3 2 2 3 2" xfId="8964"/>
    <cellStyle name="Normal 8 2 3 2 2 3 2 2" xfId="8965"/>
    <cellStyle name="Normal 8 2 3 2 2 3 3" xfId="8966"/>
    <cellStyle name="Normal 8 2 3 2 2 3 3 2" xfId="8967"/>
    <cellStyle name="Normal 8 2 3 2 2 3 4" xfId="8968"/>
    <cellStyle name="Normal 8 2 3 2 2 4" xfId="8969"/>
    <cellStyle name="Normal 8 2 3 2 2 4 2" xfId="8970"/>
    <cellStyle name="Normal 8 2 3 2 2 5" xfId="8971"/>
    <cellStyle name="Normal 8 2 3 2 2 5 2" xfId="8972"/>
    <cellStyle name="Normal 8 2 3 2 2 6" xfId="8973"/>
    <cellStyle name="Normal 8 2 3 2 3" xfId="8974"/>
    <cellStyle name="Normal 8 2 3 2 3 2" xfId="8975"/>
    <cellStyle name="Normal 8 2 3 2 3 2 2" xfId="8976"/>
    <cellStyle name="Normal 8 2 3 2 3 2 2 2" xfId="8977"/>
    <cellStyle name="Normal 8 2 3 2 3 2 3" xfId="8978"/>
    <cellStyle name="Normal 8 2 3 2 3 2 3 2" xfId="8979"/>
    <cellStyle name="Normal 8 2 3 2 3 2 4" xfId="8980"/>
    <cellStyle name="Normal 8 2 3 2 3 3" xfId="8981"/>
    <cellStyle name="Normal 8 2 3 2 3 3 2" xfId="8982"/>
    <cellStyle name="Normal 8 2 3 2 3 4" xfId="8983"/>
    <cellStyle name="Normal 8 2 3 2 3 4 2" xfId="8984"/>
    <cellStyle name="Normal 8 2 3 2 3 5" xfId="8985"/>
    <cellStyle name="Normal 8 2 3 2 4" xfId="8986"/>
    <cellStyle name="Normal 8 2 3 2 4 2" xfId="8987"/>
    <cellStyle name="Normal 8 2 3 2 4 2 2" xfId="8988"/>
    <cellStyle name="Normal 8 2 3 2 4 3" xfId="8989"/>
    <cellStyle name="Normal 8 2 3 2 4 3 2" xfId="8990"/>
    <cellStyle name="Normal 8 2 3 2 4 4" xfId="8991"/>
    <cellStyle name="Normal 8 2 3 2 5" xfId="8992"/>
    <cellStyle name="Normal 8 2 3 2 5 2" xfId="8993"/>
    <cellStyle name="Normal 8 2 3 2 6" xfId="8994"/>
    <cellStyle name="Normal 8 2 3 2 6 2" xfId="8995"/>
    <cellStyle name="Normal 8 2 3 2 7" xfId="8996"/>
    <cellStyle name="Normal 8 2 3 2 8" xfId="12414"/>
    <cellStyle name="Normal 8 2 3 3" xfId="8997"/>
    <cellStyle name="Normal 8 2 3 3 2" xfId="8998"/>
    <cellStyle name="Normal 8 2 3 4" xfId="8999"/>
    <cellStyle name="Normal 8 2 3 4 2" xfId="9000"/>
    <cellStyle name="Normal 8 2 3 5" xfId="9001"/>
    <cellStyle name="Normal 8 2 3 6" xfId="9002"/>
    <cellStyle name="Normal 8 2 4" xfId="9003"/>
    <cellStyle name="Normal 8 2 4 2" xfId="9004"/>
    <cellStyle name="Normal 8 2 4 2 2" xfId="9005"/>
    <cellStyle name="Normal 8 2 4 2 2 2" xfId="9006"/>
    <cellStyle name="Normal 8 2 4 2 2 2 2" xfId="9007"/>
    <cellStyle name="Normal 8 2 4 2 2 2 2 2" xfId="9008"/>
    <cellStyle name="Normal 8 2 4 2 2 2 3" xfId="9009"/>
    <cellStyle name="Normal 8 2 4 2 2 2 3 2" xfId="9010"/>
    <cellStyle name="Normal 8 2 4 2 2 2 4" xfId="9011"/>
    <cellStyle name="Normal 8 2 4 2 2 3" xfId="9012"/>
    <cellStyle name="Normal 8 2 4 2 2 3 2" xfId="9013"/>
    <cellStyle name="Normal 8 2 4 2 2 4" xfId="9014"/>
    <cellStyle name="Normal 8 2 4 2 2 4 2" xfId="9015"/>
    <cellStyle name="Normal 8 2 4 2 2 5" xfId="9016"/>
    <cellStyle name="Normal 8 2 4 2 3" xfId="9017"/>
    <cellStyle name="Normal 8 2 4 2 3 2" xfId="9018"/>
    <cellStyle name="Normal 8 2 4 2 3 2 2" xfId="9019"/>
    <cellStyle name="Normal 8 2 4 2 3 3" xfId="9020"/>
    <cellStyle name="Normal 8 2 4 2 3 3 2" xfId="9021"/>
    <cellStyle name="Normal 8 2 4 2 3 4" xfId="9022"/>
    <cellStyle name="Normal 8 2 4 2 4" xfId="9023"/>
    <cellStyle name="Normal 8 2 4 2 4 2" xfId="9024"/>
    <cellStyle name="Normal 8 2 4 2 5" xfId="9025"/>
    <cellStyle name="Normal 8 2 4 2 5 2" xfId="9026"/>
    <cellStyle name="Normal 8 2 4 2 6" xfId="9027"/>
    <cellStyle name="Normal 8 2 4 3" xfId="9028"/>
    <cellStyle name="Normal 8 2 4 3 2" xfId="9029"/>
    <cellStyle name="Normal 8 2 4 3 2 2" xfId="9030"/>
    <cellStyle name="Normal 8 2 4 3 2 2 2" xfId="9031"/>
    <cellStyle name="Normal 8 2 4 3 2 2 2 2" xfId="9032"/>
    <cellStyle name="Normal 8 2 4 3 2 2 3" xfId="9033"/>
    <cellStyle name="Normal 8 2 4 3 2 2 3 2" xfId="9034"/>
    <cellStyle name="Normal 8 2 4 3 2 2 4" xfId="9035"/>
    <cellStyle name="Normal 8 2 4 3 2 3" xfId="9036"/>
    <cellStyle name="Normal 8 2 4 3 2 3 2" xfId="9037"/>
    <cellStyle name="Normal 8 2 4 3 2 4" xfId="9038"/>
    <cellStyle name="Normal 8 2 4 3 2 4 2" xfId="9039"/>
    <cellStyle name="Normal 8 2 4 3 2 5" xfId="9040"/>
    <cellStyle name="Normal 8 2 4 3 3" xfId="9041"/>
    <cellStyle name="Normal 8 2 4 3 3 2" xfId="9042"/>
    <cellStyle name="Normal 8 2 4 3 3 2 2" xfId="9043"/>
    <cellStyle name="Normal 8 2 4 3 3 2 2 2" xfId="9044"/>
    <cellStyle name="Normal 8 2 4 3 3 2 3" xfId="9045"/>
    <cellStyle name="Normal 8 2 4 3 3 2 3 2" xfId="9046"/>
    <cellStyle name="Normal 8 2 4 3 3 2 4" xfId="9047"/>
    <cellStyle name="Normal 8 2 4 3 3 3" xfId="9048"/>
    <cellStyle name="Normal 8 2 4 3 3 3 2" xfId="9049"/>
    <cellStyle name="Normal 8 2 4 3 3 3 2 2" xfId="9050"/>
    <cellStyle name="Normal 8 2 4 3 3 3 3" xfId="9051"/>
    <cellStyle name="Normal 8 2 4 3 3 3 3 2" xfId="9052"/>
    <cellStyle name="Normal 8 2 4 3 3 3 4" xfId="9053"/>
    <cellStyle name="Normal 8 2 4 3 3 4" xfId="9054"/>
    <cellStyle name="Normal 8 2 4 3 3 4 2" xfId="9055"/>
    <cellStyle name="Normal 8 2 4 3 3 5" xfId="9056"/>
    <cellStyle name="Normal 8 2 4 3 3 5 2" xfId="9057"/>
    <cellStyle name="Normal 8 2 4 3 3 6" xfId="9058"/>
    <cellStyle name="Normal 8 2 4 3 4" xfId="9059"/>
    <cellStyle name="Normal 8 2 4 3 4 2" xfId="9060"/>
    <cellStyle name="Normal 8 2 4 3 4 2 2" xfId="9061"/>
    <cellStyle name="Normal 8 2 4 3 4 3" xfId="9062"/>
    <cellStyle name="Normal 8 2 4 3 4 3 2" xfId="9063"/>
    <cellStyle name="Normal 8 2 4 3 4 4" xfId="9064"/>
    <cellStyle name="Normal 8 2 4 3 5" xfId="9065"/>
    <cellStyle name="Normal 8 2 4 3 5 2" xfId="9066"/>
    <cellStyle name="Normal 8 2 4 3 6" xfId="9067"/>
    <cellStyle name="Normal 8 2 4 3 6 2" xfId="9068"/>
    <cellStyle name="Normal 8 2 4 3 7" xfId="9069"/>
    <cellStyle name="Normal 8 2 4 4" xfId="9070"/>
    <cellStyle name="Normal 8 2 4 4 2" xfId="9071"/>
    <cellStyle name="Normal 8 2 4 4 2 2" xfId="9072"/>
    <cellStyle name="Normal 8 2 4 4 2 2 2" xfId="9073"/>
    <cellStyle name="Normal 8 2 4 4 2 3" xfId="9074"/>
    <cellStyle name="Normal 8 2 4 4 2 3 2" xfId="9075"/>
    <cellStyle name="Normal 8 2 4 4 2 4" xfId="9076"/>
    <cellStyle name="Normal 8 2 4 4 3" xfId="9077"/>
    <cellStyle name="Normal 8 2 4 4 3 2" xfId="9078"/>
    <cellStyle name="Normal 8 2 4 4 4" xfId="9079"/>
    <cellStyle name="Normal 8 2 4 4 4 2" xfId="9080"/>
    <cellStyle name="Normal 8 2 4 4 5" xfId="9081"/>
    <cellStyle name="Normal 8 2 5" xfId="9082"/>
    <cellStyle name="Normal 8 2 5 2" xfId="9083"/>
    <cellStyle name="Normal 8 2 6" xfId="9084"/>
    <cellStyle name="Normal 8 2 6 2" xfId="9085"/>
    <cellStyle name="Normal 8 2 7" xfId="9086"/>
    <cellStyle name="Normal 8 2 8" xfId="9087"/>
    <cellStyle name="Normal 8 3" xfId="9088"/>
    <cellStyle name="Normal 8 3 2" xfId="9089"/>
    <cellStyle name="Normal 8 3 2 2" xfId="9090"/>
    <cellStyle name="Normal 8 3 2 3" xfId="9091"/>
    <cellStyle name="Normal 8 3 3" xfId="9092"/>
    <cellStyle name="Normal 8 3 4" xfId="9093"/>
    <cellStyle name="Normal 8 3 5" xfId="9094"/>
    <cellStyle name="Normal 8 4" xfId="9095"/>
    <cellStyle name="Normal 8 4 2" xfId="9096"/>
    <cellStyle name="Normal 8 4 3" xfId="9097"/>
    <cellStyle name="Normal 8 4 4" xfId="9098"/>
    <cellStyle name="Normal 8 4 5" xfId="9099"/>
    <cellStyle name="Normal 8 5" xfId="9100"/>
    <cellStyle name="Normal 8 5 2" xfId="9101"/>
    <cellStyle name="Normal 8 6" xfId="9102"/>
    <cellStyle name="Normal 8 7" xfId="9103"/>
    <cellStyle name="Normal 8 8" xfId="9104"/>
    <cellStyle name="Normal 9" xfId="9105"/>
    <cellStyle name="Normal 9 2" xfId="9106"/>
    <cellStyle name="Normal 9 2 2" xfId="9107"/>
    <cellStyle name="Normal 9 2 2 2" xfId="9108"/>
    <cellStyle name="Normal 9 2 2 2 2" xfId="9109"/>
    <cellStyle name="Normal 9 2 2 2 2 2" xfId="9110"/>
    <cellStyle name="Normal 9 2 2 2 2 2 2" xfId="9111"/>
    <cellStyle name="Normal 9 2 2 2 2 2 2 2" xfId="9112"/>
    <cellStyle name="Normal 9 2 2 2 2 2 3" xfId="9113"/>
    <cellStyle name="Normal 9 2 2 2 2 2 3 2" xfId="9114"/>
    <cellStyle name="Normal 9 2 2 2 2 2 4" xfId="9115"/>
    <cellStyle name="Normal 9 2 2 2 2 3" xfId="9116"/>
    <cellStyle name="Normal 9 2 2 2 2 3 2" xfId="9117"/>
    <cellStyle name="Normal 9 2 2 2 2 4" xfId="9118"/>
    <cellStyle name="Normal 9 2 2 2 2 4 2" xfId="9119"/>
    <cellStyle name="Normal 9 2 2 2 2 5" xfId="9120"/>
    <cellStyle name="Normal 9 2 2 2 3" xfId="9121"/>
    <cellStyle name="Normal 9 2 2 2 3 2" xfId="9122"/>
    <cellStyle name="Normal 9 2 2 2 3 2 2" xfId="9123"/>
    <cellStyle name="Normal 9 2 2 2 3 3" xfId="9124"/>
    <cellStyle name="Normal 9 2 2 2 3 3 2" xfId="9125"/>
    <cellStyle name="Normal 9 2 2 2 3 4" xfId="9126"/>
    <cellStyle name="Normal 9 2 2 2 4" xfId="9127"/>
    <cellStyle name="Normal 9 2 2 2 4 2" xfId="9128"/>
    <cellStyle name="Normal 9 2 2 2 5" xfId="9129"/>
    <cellStyle name="Normal 9 2 2 2 5 2" xfId="9130"/>
    <cellStyle name="Normal 9 2 2 2 6" xfId="9131"/>
    <cellStyle name="Normal 9 2 2 3" xfId="9132"/>
    <cellStyle name="Normal 9 2 2 3 2" xfId="9133"/>
    <cellStyle name="Normal 9 2 2 3 2 2" xfId="9134"/>
    <cellStyle name="Normal 9 2 2 3 2 2 2" xfId="9135"/>
    <cellStyle name="Normal 9 2 2 3 2 2 2 2" xfId="9136"/>
    <cellStyle name="Normal 9 2 2 3 2 2 3" xfId="9137"/>
    <cellStyle name="Normal 9 2 2 3 2 2 3 2" xfId="9138"/>
    <cellStyle name="Normal 9 2 2 3 2 2 4" xfId="9139"/>
    <cellStyle name="Normal 9 2 2 3 2 3" xfId="9140"/>
    <cellStyle name="Normal 9 2 2 3 2 3 2" xfId="9141"/>
    <cellStyle name="Normal 9 2 2 3 2 4" xfId="9142"/>
    <cellStyle name="Normal 9 2 2 3 2 4 2" xfId="9143"/>
    <cellStyle name="Normal 9 2 2 3 2 5" xfId="9144"/>
    <cellStyle name="Normal 9 2 2 3 3" xfId="9145"/>
    <cellStyle name="Normal 9 2 2 3 3 2" xfId="9146"/>
    <cellStyle name="Normal 9 2 2 3 3 2 2" xfId="9147"/>
    <cellStyle name="Normal 9 2 2 3 3 2 2 2" xfId="9148"/>
    <cellStyle name="Normal 9 2 2 3 3 2 3" xfId="9149"/>
    <cellStyle name="Normal 9 2 2 3 3 2 3 2" xfId="9150"/>
    <cellStyle name="Normal 9 2 2 3 3 2 4" xfId="9151"/>
    <cellStyle name="Normal 9 2 2 3 3 3" xfId="9152"/>
    <cellStyle name="Normal 9 2 2 3 3 3 2" xfId="9153"/>
    <cellStyle name="Normal 9 2 2 3 3 3 2 2" xfId="9154"/>
    <cellStyle name="Normal 9 2 2 3 3 3 3" xfId="9155"/>
    <cellStyle name="Normal 9 2 2 3 3 3 3 2" xfId="9156"/>
    <cellStyle name="Normal 9 2 2 3 3 3 4" xfId="9157"/>
    <cellStyle name="Normal 9 2 2 3 3 4" xfId="9158"/>
    <cellStyle name="Normal 9 2 2 3 3 4 2" xfId="9159"/>
    <cellStyle name="Normal 9 2 2 3 3 5" xfId="9160"/>
    <cellStyle name="Normal 9 2 2 3 3 5 2" xfId="9161"/>
    <cellStyle name="Normal 9 2 2 3 3 6" xfId="9162"/>
    <cellStyle name="Normal 9 2 2 3 4" xfId="9163"/>
    <cellStyle name="Normal 9 2 2 3 4 2" xfId="9164"/>
    <cellStyle name="Normal 9 2 2 3 4 2 2" xfId="9165"/>
    <cellStyle name="Normal 9 2 2 3 4 3" xfId="9166"/>
    <cellStyle name="Normal 9 2 2 3 4 3 2" xfId="9167"/>
    <cellStyle name="Normal 9 2 2 3 4 4" xfId="9168"/>
    <cellStyle name="Normal 9 2 2 3 5" xfId="9169"/>
    <cellStyle name="Normal 9 2 2 3 5 2" xfId="9170"/>
    <cellStyle name="Normal 9 2 2 3 6" xfId="9171"/>
    <cellStyle name="Normal 9 2 2 3 6 2" xfId="9172"/>
    <cellStyle name="Normal 9 2 2 3 7" xfId="9173"/>
    <cellStyle name="Normal 9 2 2 4" xfId="9174"/>
    <cellStyle name="Normal 9 2 2 4 2" xfId="9175"/>
    <cellStyle name="Normal 9 2 2 4 2 2" xfId="9176"/>
    <cellStyle name="Normal 9 2 2 4 2 2 2" xfId="9177"/>
    <cellStyle name="Normal 9 2 2 4 2 3" xfId="9178"/>
    <cellStyle name="Normal 9 2 2 4 2 3 2" xfId="9179"/>
    <cellStyle name="Normal 9 2 2 4 2 4" xfId="9180"/>
    <cellStyle name="Normal 9 2 2 4 3" xfId="9181"/>
    <cellStyle name="Normal 9 2 2 4 3 2" xfId="9182"/>
    <cellStyle name="Normal 9 2 2 4 4" xfId="9183"/>
    <cellStyle name="Normal 9 2 2 4 4 2" xfId="9184"/>
    <cellStyle name="Normal 9 2 2 4 5" xfId="9185"/>
    <cellStyle name="Normal 9 2 3" xfId="9186"/>
    <cellStyle name="Normal 9 2 3 2" xfId="9187"/>
    <cellStyle name="Normal 9 2 3 3" xfId="9188"/>
    <cellStyle name="Normal 9 2 4" xfId="9189"/>
    <cellStyle name="Normal 9 2 4 2" xfId="9190"/>
    <cellStyle name="Normal 9 2 5" xfId="9191"/>
    <cellStyle name="Normal 9 2 6" xfId="9192"/>
    <cellStyle name="Normal 9 3" xfId="9193"/>
    <cellStyle name="Normal 9 3 2" xfId="9194"/>
    <cellStyle name="Normal 9 3 2 2" xfId="9195"/>
    <cellStyle name="Normal 9 3 2 3" xfId="9196"/>
    <cellStyle name="Normal 9 3 3" xfId="9197"/>
    <cellStyle name="Normal 9 3 4" xfId="9198"/>
    <cellStyle name="Normal 9 3 5" xfId="9199"/>
    <cellStyle name="Normal 9 4" xfId="9200"/>
    <cellStyle name="Normal 9 4 2" xfId="9201"/>
    <cellStyle name="Normal 9 5" xfId="9202"/>
    <cellStyle name="Normal 9 6" xfId="9203"/>
    <cellStyle name="Normal 9 7" xfId="9204"/>
    <cellStyle name="Note 2" xfId="9205"/>
    <cellStyle name="Note 2 2" xfId="9206"/>
    <cellStyle name="Note 2 2 2" xfId="9207"/>
    <cellStyle name="Note 2 2 2 2" xfId="9208"/>
    <cellStyle name="Note 2 2 2 3" xfId="9209"/>
    <cellStyle name="Note 2 2 2 4" xfId="9210"/>
    <cellStyle name="Note 2 2 3" xfId="9211"/>
    <cellStyle name="Note 2 2 3 2" xfId="9212"/>
    <cellStyle name="Note 2 2 3 3" xfId="9213"/>
    <cellStyle name="Note 2 2 4" xfId="9214"/>
    <cellStyle name="Note 2 2 5" xfId="9215"/>
    <cellStyle name="Note 2 3" xfId="9216"/>
    <cellStyle name="Note 2 3 2" xfId="9217"/>
    <cellStyle name="Note 2 3 3" xfId="9218"/>
    <cellStyle name="Note 2 3 4" xfId="9219"/>
    <cellStyle name="Note 2 4" xfId="9220"/>
    <cellStyle name="Note 2 4 2" xfId="9221"/>
    <cellStyle name="Note 2 4 3" xfId="9222"/>
    <cellStyle name="Note 2 4 4" xfId="9223"/>
    <cellStyle name="Note 2 4 5" xfId="9224"/>
    <cellStyle name="Note 2 5" xfId="9225"/>
    <cellStyle name="Note 2 6" xfId="9226"/>
    <cellStyle name="Note 2 7" xfId="9227"/>
    <cellStyle name="Note 3" xfId="9228"/>
    <cellStyle name="Note 3 2" xfId="9229"/>
    <cellStyle name="Note 3 2 2" xfId="9230"/>
    <cellStyle name="Note 3 2 2 2" xfId="9231"/>
    <cellStyle name="Note 3 2 2 2 2" xfId="9232"/>
    <cellStyle name="Note 3 2 2 2 2 2" xfId="9233"/>
    <cellStyle name="Note 3 2 2 2 3" xfId="9234"/>
    <cellStyle name="Note 3 2 2 3" xfId="9235"/>
    <cellStyle name="Note 3 2 2 3 2" xfId="9236"/>
    <cellStyle name="Note 3 2 2 4" xfId="9237"/>
    <cellStyle name="Note 3 2 3" xfId="9238"/>
    <cellStyle name="Note 3 3" xfId="9239"/>
    <cellStyle name="Output 2" xfId="9240"/>
    <cellStyle name="Output 2 10" xfId="9241"/>
    <cellStyle name="Output 2 11" xfId="9242"/>
    <cellStyle name="Output 2 2" xfId="9243"/>
    <cellStyle name="Output 2 2 2" xfId="9244"/>
    <cellStyle name="Output 2 2 2 2" xfId="9245"/>
    <cellStyle name="Output 2 2 2 2 2" xfId="9246"/>
    <cellStyle name="Output 2 2 2 3" xfId="9247"/>
    <cellStyle name="Output 2 2 2 4" xfId="9248"/>
    <cellStyle name="Output 2 2 2 5" xfId="9249"/>
    <cellStyle name="Output 2 2 3" xfId="9250"/>
    <cellStyle name="Output 2 2 4" xfId="9251"/>
    <cellStyle name="Output 2 2 5" xfId="9252"/>
    <cellStyle name="Output 2 3" xfId="9253"/>
    <cellStyle name="Output 2 3 2" xfId="9254"/>
    <cellStyle name="Output 2 3 2 2" xfId="9255"/>
    <cellStyle name="Output 2 3 2 3" xfId="9256"/>
    <cellStyle name="Output 2 3 2 4" xfId="9257"/>
    <cellStyle name="Output 2 3 3" xfId="9258"/>
    <cellStyle name="Output 2 3 3 2" xfId="9259"/>
    <cellStyle name="Output 2 3 3 3" xfId="9260"/>
    <cellStyle name="Output 2 3 4" xfId="9261"/>
    <cellStyle name="Output 2 3 5" xfId="9262"/>
    <cellStyle name="Output 2 3 6" xfId="9263"/>
    <cellStyle name="Output 2 4" xfId="9264"/>
    <cellStyle name="Output 2 4 2" xfId="9265"/>
    <cellStyle name="Output 2 4 2 2" xfId="9266"/>
    <cellStyle name="Output 2 4 2 3" xfId="9267"/>
    <cellStyle name="Output 2 4 2 4" xfId="9268"/>
    <cellStyle name="Output 2 4 3" xfId="9269"/>
    <cellStyle name="Output 2 4 3 2" xfId="9270"/>
    <cellStyle name="Output 2 4 3 3" xfId="9271"/>
    <cellStyle name="Output 2 4 4" xfId="9272"/>
    <cellStyle name="Output 2 4 5" xfId="9273"/>
    <cellStyle name="Output 2 4 6" xfId="9274"/>
    <cellStyle name="Output 2 5" xfId="9275"/>
    <cellStyle name="Output 2 5 2" xfId="9276"/>
    <cellStyle name="Output 2 5 2 2" xfId="9277"/>
    <cellStyle name="Output 2 5 2 3" xfId="9278"/>
    <cellStyle name="Output 2 5 2 4" xfId="9279"/>
    <cellStyle name="Output 2 5 3" xfId="9280"/>
    <cellStyle name="Output 2 5 3 2" xfId="9281"/>
    <cellStyle name="Output 2 5 3 3" xfId="9282"/>
    <cellStyle name="Output 2 5 4" xfId="9283"/>
    <cellStyle name="Output 2 5 5" xfId="9284"/>
    <cellStyle name="Output 2 5 6" xfId="9285"/>
    <cellStyle name="Output 2 6" xfId="9286"/>
    <cellStyle name="Output 2 6 2" xfId="9287"/>
    <cellStyle name="Output 2 6 3" xfId="9288"/>
    <cellStyle name="Output 2 6 4" xfId="9289"/>
    <cellStyle name="Output 2 7" xfId="9290"/>
    <cellStyle name="Output 2 7 2" xfId="9291"/>
    <cellStyle name="Output 2 7 3" xfId="9292"/>
    <cellStyle name="Output 2 8" xfId="9293"/>
    <cellStyle name="Output 2 9" xfId="9294"/>
    <cellStyle name="Output 3" xfId="9295"/>
    <cellStyle name="Output 3 2" xfId="9296"/>
    <cellStyle name="Output 3 2 2" xfId="9297"/>
    <cellStyle name="Output 3 2 2 2" xfId="9298"/>
    <cellStyle name="Output 3 2 2 2 2" xfId="9299"/>
    <cellStyle name="Output 3 2 2 3" xfId="9300"/>
    <cellStyle name="Output 3 2 3" xfId="9301"/>
    <cellStyle name="Output 3 3" xfId="9302"/>
    <cellStyle name="Output 4" xfId="9303"/>
    <cellStyle name="Output 4 2" xfId="9304"/>
    <cellStyle name="Output 4 2 2" xfId="9305"/>
    <cellStyle name="Output 4 3" xfId="9306"/>
    <cellStyle name="Output 5" xfId="9307"/>
    <cellStyle name="Output 6" xfId="9308"/>
    <cellStyle name="Pass_BlueColor" xfId="9309"/>
    <cellStyle name="Percent 2" xfId="9310"/>
    <cellStyle name="Percent 2 2" xfId="9311"/>
    <cellStyle name="Percent 3" xfId="9312"/>
    <cellStyle name="Percent 3 2" xfId="9313"/>
    <cellStyle name="Percent 4" xfId="9314"/>
    <cellStyle name="Percent 5" xfId="9315"/>
    <cellStyle name="Percent 5 2" xfId="9316"/>
    <cellStyle name="Result 1" xfId="9317"/>
    <cellStyle name="Result 1 10" xfId="9318"/>
    <cellStyle name="Result 1 11" xfId="9319"/>
    <cellStyle name="Result 1 2" xfId="9320"/>
    <cellStyle name="Result 1 2 10" xfId="9321"/>
    <cellStyle name="Result 1 2 2" xfId="9322"/>
    <cellStyle name="Result 1 2 2 10" xfId="9323"/>
    <cellStyle name="Result 1 2 2 2" xfId="9324"/>
    <cellStyle name="Result 1 2 2 2 2" xfId="9325"/>
    <cellStyle name="Result 1 2 2 2 2 2" xfId="9326"/>
    <cellStyle name="Result 1 2 2 2 2 2 2" xfId="9327"/>
    <cellStyle name="Result 1 2 2 2 2 3" xfId="9328"/>
    <cellStyle name="Result 1 2 2 2 2 4" xfId="9329"/>
    <cellStyle name="Result 1 2 2 2 2 5" xfId="9330"/>
    <cellStyle name="Result 1 2 2 2 3" xfId="9331"/>
    <cellStyle name="Result 1 2 2 2 3 2" xfId="9332"/>
    <cellStyle name="Result 1 2 2 2 3 3" xfId="9333"/>
    <cellStyle name="Result 1 2 2 2 3 4" xfId="9334"/>
    <cellStyle name="Result 1 2 2 2 4" xfId="9335"/>
    <cellStyle name="Result 1 2 2 2 5" xfId="9336"/>
    <cellStyle name="Result 1 2 2 2 6" xfId="9337"/>
    <cellStyle name="Result 1 2 2 2 7" xfId="9338"/>
    <cellStyle name="Result 1 2 2 3" xfId="9339"/>
    <cellStyle name="Result 1 2 2 3 2" xfId="9340"/>
    <cellStyle name="Result 1 2 2 3 2 2" xfId="9341"/>
    <cellStyle name="Result 1 2 2 3 2 3" xfId="9342"/>
    <cellStyle name="Result 1 2 2 3 2 4" xfId="9343"/>
    <cellStyle name="Result 1 2 2 3 3" xfId="9344"/>
    <cellStyle name="Result 1 2 2 3 3 2" xfId="9345"/>
    <cellStyle name="Result 1 2 2 3 3 3" xfId="9346"/>
    <cellStyle name="Result 1 2 2 3 4" xfId="9347"/>
    <cellStyle name="Result 1 2 2 3 5" xfId="9348"/>
    <cellStyle name="Result 1 2 2 3 6" xfId="9349"/>
    <cellStyle name="Result 1 2 2 4" xfId="9350"/>
    <cellStyle name="Result 1 2 2 4 2" xfId="9351"/>
    <cellStyle name="Result 1 2 2 4 2 2" xfId="9352"/>
    <cellStyle name="Result 1 2 2 4 2 3" xfId="9353"/>
    <cellStyle name="Result 1 2 2 4 2 4" xfId="9354"/>
    <cellStyle name="Result 1 2 2 4 3" xfId="9355"/>
    <cellStyle name="Result 1 2 2 4 3 2" xfId="9356"/>
    <cellStyle name="Result 1 2 2 4 3 3" xfId="9357"/>
    <cellStyle name="Result 1 2 2 4 4" xfId="9358"/>
    <cellStyle name="Result 1 2 2 4 5" xfId="9359"/>
    <cellStyle name="Result 1 2 2 4 6" xfId="9360"/>
    <cellStyle name="Result 1 2 2 5" xfId="9361"/>
    <cellStyle name="Result 1 2 2 5 2" xfId="9362"/>
    <cellStyle name="Result 1 2 2 5 3" xfId="9363"/>
    <cellStyle name="Result 1 2 2 5 4" xfId="9364"/>
    <cellStyle name="Result 1 2 2 6" xfId="9365"/>
    <cellStyle name="Result 1 2 2 6 2" xfId="9366"/>
    <cellStyle name="Result 1 2 2 6 3" xfId="9367"/>
    <cellStyle name="Result 1 2 2 7" xfId="9368"/>
    <cellStyle name="Result 1 2 2 8" xfId="9369"/>
    <cellStyle name="Result 1 2 2 9" xfId="9370"/>
    <cellStyle name="Result 1 2 3" xfId="9371"/>
    <cellStyle name="Result 1 2 3 2" xfId="9372"/>
    <cellStyle name="Result 1 2 3 2 2" xfId="9373"/>
    <cellStyle name="Result 1 2 3 2 3" xfId="9374"/>
    <cellStyle name="Result 1 2 3 2 4" xfId="9375"/>
    <cellStyle name="Result 1 2 3 3" xfId="9376"/>
    <cellStyle name="Result 1 2 3 3 2" xfId="9377"/>
    <cellStyle name="Result 1 2 3 3 3" xfId="9378"/>
    <cellStyle name="Result 1 2 3 4" xfId="9379"/>
    <cellStyle name="Result 1 2 3 5" xfId="9380"/>
    <cellStyle name="Result 1 2 3 6" xfId="9381"/>
    <cellStyle name="Result 1 2 4" xfId="9382"/>
    <cellStyle name="Result 1 2 4 2" xfId="9383"/>
    <cellStyle name="Result 1 2 4 2 2" xfId="9384"/>
    <cellStyle name="Result 1 2 4 2 3" xfId="9385"/>
    <cellStyle name="Result 1 2 4 2 4" xfId="9386"/>
    <cellStyle name="Result 1 2 4 3" xfId="9387"/>
    <cellStyle name="Result 1 2 4 3 2" xfId="9388"/>
    <cellStyle name="Result 1 2 4 3 3" xfId="9389"/>
    <cellStyle name="Result 1 2 4 4" xfId="9390"/>
    <cellStyle name="Result 1 2 4 5" xfId="9391"/>
    <cellStyle name="Result 1 2 4 6" xfId="9392"/>
    <cellStyle name="Result 1 2 5" xfId="9393"/>
    <cellStyle name="Result 1 2 5 2" xfId="9394"/>
    <cellStyle name="Result 1 2 5 3" xfId="9395"/>
    <cellStyle name="Result 1 2 5 4" xfId="9396"/>
    <cellStyle name="Result 1 2 6" xfId="9397"/>
    <cellStyle name="Result 1 2 6 2" xfId="9398"/>
    <cellStyle name="Result 1 2 6 3" xfId="9399"/>
    <cellStyle name="Result 1 2 7" xfId="9400"/>
    <cellStyle name="Result 1 2 8" xfId="9401"/>
    <cellStyle name="Result 1 2 9" xfId="9402"/>
    <cellStyle name="Result 1 3" xfId="9403"/>
    <cellStyle name="Result 1 3 10" xfId="9404"/>
    <cellStyle name="Result 1 3 2" xfId="9405"/>
    <cellStyle name="Result 1 3 2 2" xfId="9406"/>
    <cellStyle name="Result 1 3 2 2 2" xfId="9407"/>
    <cellStyle name="Result 1 3 2 2 2 2" xfId="9408"/>
    <cellStyle name="Result 1 3 2 2 3" xfId="9409"/>
    <cellStyle name="Result 1 3 2 2 4" xfId="9410"/>
    <cellStyle name="Result 1 3 2 2 5" xfId="9411"/>
    <cellStyle name="Result 1 3 2 3" xfId="9412"/>
    <cellStyle name="Result 1 3 2 3 2" xfId="9413"/>
    <cellStyle name="Result 1 3 2 3 3" xfId="9414"/>
    <cellStyle name="Result 1 3 2 3 4" xfId="9415"/>
    <cellStyle name="Result 1 3 2 4" xfId="9416"/>
    <cellStyle name="Result 1 3 2 5" xfId="9417"/>
    <cellStyle name="Result 1 3 2 6" xfId="9418"/>
    <cellStyle name="Result 1 3 2 7" xfId="9419"/>
    <cellStyle name="Result 1 3 3" xfId="9420"/>
    <cellStyle name="Result 1 3 3 2" xfId="9421"/>
    <cellStyle name="Result 1 3 3 2 2" xfId="9422"/>
    <cellStyle name="Result 1 3 3 2 3" xfId="9423"/>
    <cellStyle name="Result 1 3 3 2 4" xfId="9424"/>
    <cellStyle name="Result 1 3 3 3" xfId="9425"/>
    <cellStyle name="Result 1 3 3 3 2" xfId="9426"/>
    <cellStyle name="Result 1 3 3 3 3" xfId="9427"/>
    <cellStyle name="Result 1 3 3 4" xfId="9428"/>
    <cellStyle name="Result 1 3 3 5" xfId="9429"/>
    <cellStyle name="Result 1 3 3 6" xfId="9430"/>
    <cellStyle name="Result 1 3 4" xfId="9431"/>
    <cellStyle name="Result 1 3 4 2" xfId="9432"/>
    <cellStyle name="Result 1 3 4 2 2" xfId="9433"/>
    <cellStyle name="Result 1 3 4 2 3" xfId="9434"/>
    <cellStyle name="Result 1 3 4 2 4" xfId="9435"/>
    <cellStyle name="Result 1 3 4 3" xfId="9436"/>
    <cellStyle name="Result 1 3 4 3 2" xfId="9437"/>
    <cellStyle name="Result 1 3 4 3 3" xfId="9438"/>
    <cellStyle name="Result 1 3 4 4" xfId="9439"/>
    <cellStyle name="Result 1 3 4 5" xfId="9440"/>
    <cellStyle name="Result 1 3 4 6" xfId="9441"/>
    <cellStyle name="Result 1 3 5" xfId="9442"/>
    <cellStyle name="Result 1 3 5 2" xfId="9443"/>
    <cellStyle name="Result 1 3 5 3" xfId="9444"/>
    <cellStyle name="Result 1 3 5 4" xfId="9445"/>
    <cellStyle name="Result 1 3 6" xfId="9446"/>
    <cellStyle name="Result 1 3 6 2" xfId="9447"/>
    <cellStyle name="Result 1 3 6 3" xfId="9448"/>
    <cellStyle name="Result 1 3 7" xfId="9449"/>
    <cellStyle name="Result 1 3 8" xfId="9450"/>
    <cellStyle name="Result 1 3 9" xfId="9451"/>
    <cellStyle name="Result 1 4" xfId="9452"/>
    <cellStyle name="Result 1 4 2" xfId="9453"/>
    <cellStyle name="Result 1 4 2 2" xfId="9454"/>
    <cellStyle name="Result 1 4 2 3" xfId="9455"/>
    <cellStyle name="Result 1 4 2 4" xfId="9456"/>
    <cellStyle name="Result 1 4 3" xfId="9457"/>
    <cellStyle name="Result 1 4 3 2" xfId="9458"/>
    <cellStyle name="Result 1 4 3 3" xfId="9459"/>
    <cellStyle name="Result 1 4 4" xfId="9460"/>
    <cellStyle name="Result 1 4 5" xfId="9461"/>
    <cellStyle name="Result 1 4 6" xfId="9462"/>
    <cellStyle name="Result 1 5" xfId="9463"/>
    <cellStyle name="Result 1 5 2" xfId="9464"/>
    <cellStyle name="Result 1 5 2 2" xfId="9465"/>
    <cellStyle name="Result 1 5 2 3" xfId="9466"/>
    <cellStyle name="Result 1 5 2 4" xfId="9467"/>
    <cellStyle name="Result 1 5 3" xfId="9468"/>
    <cellStyle name="Result 1 5 3 2" xfId="9469"/>
    <cellStyle name="Result 1 5 3 3" xfId="9470"/>
    <cellStyle name="Result 1 5 4" xfId="9471"/>
    <cellStyle name="Result 1 5 5" xfId="9472"/>
    <cellStyle name="Result 1 5 6" xfId="9473"/>
    <cellStyle name="Result 1 6" xfId="9474"/>
    <cellStyle name="Result 1 6 2" xfId="9475"/>
    <cellStyle name="Result 1 6 3" xfId="9476"/>
    <cellStyle name="Result 1 6 4" xfId="9477"/>
    <cellStyle name="Result 1 7" xfId="9478"/>
    <cellStyle name="Result 1 7 2" xfId="9479"/>
    <cellStyle name="Result 1 7 3" xfId="9480"/>
    <cellStyle name="Result 1 8" xfId="9481"/>
    <cellStyle name="Result 1 9" xfId="9482"/>
    <cellStyle name="Result 2" xfId="9483"/>
    <cellStyle name="Result 2 10" xfId="9484"/>
    <cellStyle name="Result 2 2" xfId="9485"/>
    <cellStyle name="Result 2 2 10" xfId="9486"/>
    <cellStyle name="Result 2 2 2" xfId="9487"/>
    <cellStyle name="Result 2 2 2 2" xfId="9488"/>
    <cellStyle name="Result 2 2 2 2 2" xfId="9489"/>
    <cellStyle name="Result 2 2 2 2 2 2" xfId="9490"/>
    <cellStyle name="Result 2 2 2 2 3" xfId="9491"/>
    <cellStyle name="Result 2 2 2 2 4" xfId="9492"/>
    <cellStyle name="Result 2 2 2 2 5" xfId="9493"/>
    <cellStyle name="Result 2 2 2 3" xfId="9494"/>
    <cellStyle name="Result 2 2 2 3 2" xfId="9495"/>
    <cellStyle name="Result 2 2 2 3 3" xfId="9496"/>
    <cellStyle name="Result 2 2 2 3 4" xfId="9497"/>
    <cellStyle name="Result 2 2 2 4" xfId="9498"/>
    <cellStyle name="Result 2 2 2 5" xfId="9499"/>
    <cellStyle name="Result 2 2 2 6" xfId="9500"/>
    <cellStyle name="Result 2 2 2 7" xfId="9501"/>
    <cellStyle name="Result 2 2 3" xfId="9502"/>
    <cellStyle name="Result 2 2 3 2" xfId="9503"/>
    <cellStyle name="Result 2 2 3 2 2" xfId="9504"/>
    <cellStyle name="Result 2 2 3 2 3" xfId="9505"/>
    <cellStyle name="Result 2 2 3 2 4" xfId="9506"/>
    <cellStyle name="Result 2 2 3 3" xfId="9507"/>
    <cellStyle name="Result 2 2 3 3 2" xfId="9508"/>
    <cellStyle name="Result 2 2 3 3 3" xfId="9509"/>
    <cellStyle name="Result 2 2 3 4" xfId="9510"/>
    <cellStyle name="Result 2 2 3 5" xfId="9511"/>
    <cellStyle name="Result 2 2 3 6" xfId="9512"/>
    <cellStyle name="Result 2 2 4" xfId="9513"/>
    <cellStyle name="Result 2 2 4 2" xfId="9514"/>
    <cellStyle name="Result 2 2 4 2 2" xfId="9515"/>
    <cellStyle name="Result 2 2 4 2 3" xfId="9516"/>
    <cellStyle name="Result 2 2 4 2 4" xfId="9517"/>
    <cellStyle name="Result 2 2 4 3" xfId="9518"/>
    <cellStyle name="Result 2 2 4 3 2" xfId="9519"/>
    <cellStyle name="Result 2 2 4 3 3" xfId="9520"/>
    <cellStyle name="Result 2 2 4 4" xfId="9521"/>
    <cellStyle name="Result 2 2 4 5" xfId="9522"/>
    <cellStyle name="Result 2 2 4 6" xfId="9523"/>
    <cellStyle name="Result 2 2 5" xfId="9524"/>
    <cellStyle name="Result 2 2 5 2" xfId="9525"/>
    <cellStyle name="Result 2 2 5 3" xfId="9526"/>
    <cellStyle name="Result 2 2 5 4" xfId="9527"/>
    <cellStyle name="Result 2 2 6" xfId="9528"/>
    <cellStyle name="Result 2 2 6 2" xfId="9529"/>
    <cellStyle name="Result 2 2 6 3" xfId="9530"/>
    <cellStyle name="Result 2 2 7" xfId="9531"/>
    <cellStyle name="Result 2 2 8" xfId="9532"/>
    <cellStyle name="Result 2 2 9" xfId="9533"/>
    <cellStyle name="Result 2 3" xfId="9534"/>
    <cellStyle name="Result 2 3 2" xfId="9535"/>
    <cellStyle name="Result 2 3 2 2" xfId="9536"/>
    <cellStyle name="Result 2 3 2 3" xfId="9537"/>
    <cellStyle name="Result 2 3 2 4" xfId="9538"/>
    <cellStyle name="Result 2 3 3" xfId="9539"/>
    <cellStyle name="Result 2 3 3 2" xfId="9540"/>
    <cellStyle name="Result 2 3 3 3" xfId="9541"/>
    <cellStyle name="Result 2 3 4" xfId="9542"/>
    <cellStyle name="Result 2 3 5" xfId="9543"/>
    <cellStyle name="Result 2 3 6" xfId="9544"/>
    <cellStyle name="Result 2 4" xfId="9545"/>
    <cellStyle name="Result 2 4 2" xfId="9546"/>
    <cellStyle name="Result 2 4 2 2" xfId="9547"/>
    <cellStyle name="Result 2 4 2 3" xfId="9548"/>
    <cellStyle name="Result 2 4 2 4" xfId="9549"/>
    <cellStyle name="Result 2 4 3" xfId="9550"/>
    <cellStyle name="Result 2 4 3 2" xfId="9551"/>
    <cellStyle name="Result 2 4 3 3" xfId="9552"/>
    <cellStyle name="Result 2 4 4" xfId="9553"/>
    <cellStyle name="Result 2 4 5" xfId="9554"/>
    <cellStyle name="Result 2 4 6" xfId="9555"/>
    <cellStyle name="Result 2 5" xfId="9556"/>
    <cellStyle name="Result 2 5 2" xfId="9557"/>
    <cellStyle name="Result 2 5 3" xfId="9558"/>
    <cellStyle name="Result 2 5 4" xfId="9559"/>
    <cellStyle name="Result 2 6" xfId="9560"/>
    <cellStyle name="Result 2 6 2" xfId="9561"/>
    <cellStyle name="Result 2 6 3" xfId="9562"/>
    <cellStyle name="Result 2 7" xfId="9563"/>
    <cellStyle name="Result 2 8" xfId="9564"/>
    <cellStyle name="Result 2 9" xfId="9565"/>
    <cellStyle name="Title 2" xfId="9566"/>
    <cellStyle name="Title 2 2" xfId="9567"/>
    <cellStyle name="Title 2 2 2" xfId="9568"/>
    <cellStyle name="Title 2 2 2 2" xfId="9569"/>
    <cellStyle name="Title 2 2 2 3" xfId="9570"/>
    <cellStyle name="Title 2 2 2 4" xfId="9571"/>
    <cellStyle name="Title 2 2 3" xfId="9572"/>
    <cellStyle name="Title 2 2 3 2" xfId="9573"/>
    <cellStyle name="Title 2 2 3 3" xfId="9574"/>
    <cellStyle name="Title 2 2 4" xfId="9575"/>
    <cellStyle name="Title 2 2 5" xfId="9576"/>
    <cellStyle name="Title 2 3" xfId="9577"/>
    <cellStyle name="Title 2 3 2" xfId="9578"/>
    <cellStyle name="Title 2 3 2 2" xfId="9579"/>
    <cellStyle name="Title 2 3 2 3" xfId="9580"/>
    <cellStyle name="Title 2 3 2 4" xfId="9581"/>
    <cellStyle name="Title 2 3 3" xfId="9582"/>
    <cellStyle name="Title 2 3 3 2" xfId="9583"/>
    <cellStyle name="Title 2 3 3 3" xfId="9584"/>
    <cellStyle name="Title 2 3 3 4" xfId="9585"/>
    <cellStyle name="Title 2 3 3 5" xfId="9586"/>
    <cellStyle name="Title 2 3 4" xfId="9587"/>
    <cellStyle name="Title 2 3 5" xfId="9588"/>
    <cellStyle name="Title 2 3 6" xfId="9589"/>
    <cellStyle name="Title 2 4" xfId="9590"/>
    <cellStyle name="Title 2 4 2" xfId="9591"/>
    <cellStyle name="Title 2 4 3" xfId="9592"/>
    <cellStyle name="Title 2 4 4" xfId="9593"/>
    <cellStyle name="Title 2 4 5" xfId="9594"/>
    <cellStyle name="Title 2 5" xfId="9595"/>
    <cellStyle name="Title 2 6" xfId="9596"/>
    <cellStyle name="Title 2 7" xfId="9597"/>
    <cellStyle name="Title 2 8" xfId="9598"/>
    <cellStyle name="Title 3" xfId="9599"/>
    <cellStyle name="Title 3 2" xfId="9600"/>
    <cellStyle name="Title 3 2 2" xfId="9601"/>
    <cellStyle name="Title 3 3" xfId="9602"/>
    <cellStyle name="Title 4" xfId="9603"/>
    <cellStyle name="Title 5" xfId="9604"/>
    <cellStyle name="TODO" xfId="9605"/>
    <cellStyle name="TODO 2" xfId="9606"/>
    <cellStyle name="TODO 2 2" xfId="9607"/>
    <cellStyle name="TODO 2 2 2" xfId="9608"/>
    <cellStyle name="TODO 2 2 3" xfId="9609"/>
    <cellStyle name="TODO 2 2 4" xfId="9610"/>
    <cellStyle name="TODO 2 3" xfId="9611"/>
    <cellStyle name="TODO 2 3 2" xfId="9612"/>
    <cellStyle name="TODO 2 3 3" xfId="9613"/>
    <cellStyle name="TODO 2 4" xfId="9614"/>
    <cellStyle name="TODO 2 4 2" xfId="9615"/>
    <cellStyle name="TODO 2 4 3" xfId="9616"/>
    <cellStyle name="TODO 2 5" xfId="9617"/>
    <cellStyle name="TODO 2 6" xfId="9618"/>
    <cellStyle name="TODO 2 7" xfId="9619"/>
    <cellStyle name="TODO 3" xfId="9620"/>
    <cellStyle name="TODO 3 2" xfId="9621"/>
    <cellStyle name="TODO 3 3" xfId="9622"/>
    <cellStyle name="TODO 4" xfId="9623"/>
    <cellStyle name="TODO 4 2" xfId="9624"/>
    <cellStyle name="TODO 4 3" xfId="9625"/>
    <cellStyle name="TODO 5" xfId="9626"/>
    <cellStyle name="TODO 6" xfId="9627"/>
    <cellStyle name="TODO 7" xfId="9628"/>
    <cellStyle name="Total 2" xfId="9629"/>
    <cellStyle name="Total 2 2" xfId="9630"/>
    <cellStyle name="Total 2 2 2" xfId="9631"/>
    <cellStyle name="Total 2 2 2 2" xfId="9632"/>
    <cellStyle name="Total 2 2 2 3" xfId="9633"/>
    <cellStyle name="Total 2 2 2 4" xfId="9634"/>
    <cellStyle name="Total 2 2 3" xfId="9635"/>
    <cellStyle name="Total 2 2 4" xfId="9636"/>
    <cellStyle name="Total 2 2 5" xfId="9637"/>
    <cellStyle name="Total 2 3" xfId="9638"/>
    <cellStyle name="Total 2 3 2" xfId="9639"/>
    <cellStyle name="Total 2 3 2 2" xfId="9640"/>
    <cellStyle name="Total 2 3 2 3" xfId="9641"/>
    <cellStyle name="Total 2 3 2 4" xfId="9642"/>
    <cellStyle name="Total 2 3 3" xfId="9643"/>
    <cellStyle name="Total 2 3 3 2" xfId="9644"/>
    <cellStyle name="Total 2 3 3 3" xfId="9645"/>
    <cellStyle name="Total 2 3 4" xfId="9646"/>
    <cellStyle name="Total 2 3 5" xfId="9647"/>
    <cellStyle name="Total 2 3 6" xfId="9648"/>
    <cellStyle name="Total 2 4" xfId="9649"/>
    <cellStyle name="Total 2 4 2" xfId="9650"/>
    <cellStyle name="Total 2 4 3" xfId="9651"/>
    <cellStyle name="Total 2 5" xfId="9652"/>
    <cellStyle name="Total 2 6" xfId="9653"/>
    <cellStyle name="Total 2 7" xfId="9654"/>
    <cellStyle name="Total 2 8" xfId="9655"/>
    <cellStyle name="Total 3" xfId="9656"/>
    <cellStyle name="Total 3 2" xfId="9657"/>
    <cellStyle name="Total 3 2 2" xfId="9658"/>
    <cellStyle name="Total 3 2 2 2" xfId="9659"/>
    <cellStyle name="Total 3 2 2 2 2" xfId="9660"/>
    <cellStyle name="Total 3 2 2 3" xfId="9661"/>
    <cellStyle name="Total 3 2 3" xfId="9662"/>
    <cellStyle name="Total 3 3" xfId="9663"/>
    <cellStyle name="Total 4" xfId="9664"/>
    <cellStyle name="Total 4 2" xfId="9665"/>
    <cellStyle name="Total 4 2 2" xfId="9666"/>
    <cellStyle name="Total 4 3" xfId="9667"/>
    <cellStyle name="Total 5" xfId="9668"/>
    <cellStyle name="Total 6" xfId="9669"/>
    <cellStyle name="Untitled1" xfId="9670"/>
    <cellStyle name="Untitled1 10" xfId="9671"/>
    <cellStyle name="Untitled1 2" xfId="9672"/>
    <cellStyle name="Untitled1 2 2" xfId="9673"/>
    <cellStyle name="Untitled1 2 2 2" xfId="9674"/>
    <cellStyle name="Untitled1 2 2 2 2" xfId="9675"/>
    <cellStyle name="Untitled1 2 2 2 3" xfId="9676"/>
    <cellStyle name="Untitled1 2 2 2 4" xfId="9677"/>
    <cellStyle name="Untitled1 2 2 3" xfId="9678"/>
    <cellStyle name="Untitled1 2 2 4" xfId="9679"/>
    <cellStyle name="Untitled1 2 2 5" xfId="9680"/>
    <cellStyle name="Untitled1 2 3" xfId="9681"/>
    <cellStyle name="Untitled1 2 3 2" xfId="9682"/>
    <cellStyle name="Untitled1 2 3 2 2" xfId="9683"/>
    <cellStyle name="Untitled1 2 3 2 3" xfId="9684"/>
    <cellStyle name="Untitled1 2 3 3" xfId="9685"/>
    <cellStyle name="Untitled1 2 3 4" xfId="9686"/>
    <cellStyle name="Untitled1 2 3 5" xfId="9687"/>
    <cellStyle name="Untitled1 2 4" xfId="9688"/>
    <cellStyle name="Untitled1 2 4 2" xfId="9689"/>
    <cellStyle name="Untitled1 2 4 3" xfId="9690"/>
    <cellStyle name="Untitled1 2 5" xfId="9691"/>
    <cellStyle name="Untitled1 2 6" xfId="9692"/>
    <cellStyle name="Untitled1 2 7" xfId="9693"/>
    <cellStyle name="Untitled1 3" xfId="9694"/>
    <cellStyle name="Untitled1 3 10" xfId="9695"/>
    <cellStyle name="Untitled1 3 2" xfId="9696"/>
    <cellStyle name="Untitled1 3 2 2" xfId="9697"/>
    <cellStyle name="Untitled1 3 2 2 2" xfId="9698"/>
    <cellStyle name="Untitled1 3 2 2 2 2" xfId="9699"/>
    <cellStyle name="Untitled1 3 2 2 2 3" xfId="9700"/>
    <cellStyle name="Untitled1 3 2 2 2 4" xfId="9701"/>
    <cellStyle name="Untitled1 3 2 2 3" xfId="9702"/>
    <cellStyle name="Untitled1 3 2 2 3 2" xfId="9703"/>
    <cellStyle name="Untitled1 3 2 2 3 3" xfId="9704"/>
    <cellStyle name="Untitled1 3 2 2 4" xfId="9705"/>
    <cellStyle name="Untitled1 3 2 2 5" xfId="9706"/>
    <cellStyle name="Untitled1 3 2 2 6" xfId="9707"/>
    <cellStyle name="Untitled1 3 2 2 7" xfId="9708"/>
    <cellStyle name="Untitled1 3 2 3" xfId="9709"/>
    <cellStyle name="Untitled1 3 2 3 2" xfId="9710"/>
    <cellStyle name="Untitled1 3 2 3 2 2" xfId="9711"/>
    <cellStyle name="Untitled1 3 2 3 2 3" xfId="9712"/>
    <cellStyle name="Untitled1 3 2 3 2 4" xfId="9713"/>
    <cellStyle name="Untitled1 3 2 3 3" xfId="9714"/>
    <cellStyle name="Untitled1 3 2 3 3 2" xfId="9715"/>
    <cellStyle name="Untitled1 3 2 3 3 3" xfId="9716"/>
    <cellStyle name="Untitled1 3 2 3 4" xfId="9717"/>
    <cellStyle name="Untitled1 3 2 3 5" xfId="9718"/>
    <cellStyle name="Untitled1 3 2 3 6" xfId="9719"/>
    <cellStyle name="Untitled1 3 2 4" xfId="9720"/>
    <cellStyle name="Untitled1 3 2 4 2" xfId="9721"/>
    <cellStyle name="Untitled1 3 2 4 3" xfId="9722"/>
    <cellStyle name="Untitled1 3 2 4 4" xfId="9723"/>
    <cellStyle name="Untitled1 3 2 5" xfId="9724"/>
    <cellStyle name="Untitled1 3 2 5 2" xfId="9725"/>
    <cellStyle name="Untitled1 3 2 5 3" xfId="9726"/>
    <cellStyle name="Untitled1 3 2 6" xfId="9727"/>
    <cellStyle name="Untitled1 3 2 7" xfId="9728"/>
    <cellStyle name="Untitled1 3 2 8" xfId="9729"/>
    <cellStyle name="Untitled1 3 2 9" xfId="9730"/>
    <cellStyle name="Untitled1 3 3" xfId="9731"/>
    <cellStyle name="Untitled1 3 3 2" xfId="9732"/>
    <cellStyle name="Untitled1 3 3 2 2" xfId="9733"/>
    <cellStyle name="Untitled1 3 3 2 3" xfId="9734"/>
    <cellStyle name="Untitled1 3 3 2 4" xfId="9735"/>
    <cellStyle name="Untitled1 3 3 3" xfId="9736"/>
    <cellStyle name="Untitled1 3 3 3 2" xfId="9737"/>
    <cellStyle name="Untitled1 3 3 3 3" xfId="9738"/>
    <cellStyle name="Untitled1 3 3 4" xfId="9739"/>
    <cellStyle name="Untitled1 3 3 5" xfId="9740"/>
    <cellStyle name="Untitled1 3 3 6" xfId="9741"/>
    <cellStyle name="Untitled1 3 4" xfId="9742"/>
    <cellStyle name="Untitled1 3 4 2" xfId="9743"/>
    <cellStyle name="Untitled1 3 4 2 2" xfId="9744"/>
    <cellStyle name="Untitled1 3 4 2 3" xfId="9745"/>
    <cellStyle name="Untitled1 3 4 2 4" xfId="9746"/>
    <cellStyle name="Untitled1 3 4 3" xfId="9747"/>
    <cellStyle name="Untitled1 3 4 3 2" xfId="9748"/>
    <cellStyle name="Untitled1 3 4 3 3" xfId="9749"/>
    <cellStyle name="Untitled1 3 4 4" xfId="9750"/>
    <cellStyle name="Untitled1 3 4 5" xfId="9751"/>
    <cellStyle name="Untitled1 3 4 6" xfId="9752"/>
    <cellStyle name="Untitled1 3 5" xfId="9753"/>
    <cellStyle name="Untitled1 3 5 2" xfId="9754"/>
    <cellStyle name="Untitled1 3 5 3" xfId="9755"/>
    <cellStyle name="Untitled1 3 5 4" xfId="9756"/>
    <cellStyle name="Untitled1 3 6" xfId="9757"/>
    <cellStyle name="Untitled1 3 6 2" xfId="9758"/>
    <cellStyle name="Untitled1 3 6 3" xfId="9759"/>
    <cellStyle name="Untitled1 3 7" xfId="9760"/>
    <cellStyle name="Untitled1 3 8" xfId="9761"/>
    <cellStyle name="Untitled1 3 9" xfId="9762"/>
    <cellStyle name="Untitled1 4" xfId="9763"/>
    <cellStyle name="Untitled1 4 10" xfId="9764"/>
    <cellStyle name="Untitled1 4 2" xfId="9765"/>
    <cellStyle name="Untitled1 4 2 2" xfId="9766"/>
    <cellStyle name="Untitled1 4 2 2 2" xfId="9767"/>
    <cellStyle name="Untitled1 4 2 2 2 2" xfId="9768"/>
    <cellStyle name="Untitled1 4 2 2 3" xfId="9769"/>
    <cellStyle name="Untitled1 4 2 2 4" xfId="9770"/>
    <cellStyle name="Untitled1 4 2 2 5" xfId="9771"/>
    <cellStyle name="Untitled1 4 2 3" xfId="9772"/>
    <cellStyle name="Untitled1 4 2 3 2" xfId="9773"/>
    <cellStyle name="Untitled1 4 2 3 3" xfId="9774"/>
    <cellStyle name="Untitled1 4 2 4" xfId="9775"/>
    <cellStyle name="Untitled1 4 2 5" xfId="9776"/>
    <cellStyle name="Untitled1 4 2 6" xfId="9777"/>
    <cellStyle name="Untitled1 4 2 7" xfId="9778"/>
    <cellStyle name="Untitled1 4 3" xfId="9779"/>
    <cellStyle name="Untitled1 4 3 2" xfId="9780"/>
    <cellStyle name="Untitled1 4 3 2 2" xfId="9781"/>
    <cellStyle name="Untitled1 4 3 2 3" xfId="9782"/>
    <cellStyle name="Untitled1 4 3 3" xfId="9783"/>
    <cellStyle name="Untitled1 4 3 4" xfId="9784"/>
    <cellStyle name="Untitled1 4 3 5" xfId="9785"/>
    <cellStyle name="Untitled1 4 4" xfId="9786"/>
    <cellStyle name="Untitled1 4 4 2" xfId="9787"/>
    <cellStyle name="Untitled1 4 4 3" xfId="9788"/>
    <cellStyle name="Untitled1 4 5" xfId="9789"/>
    <cellStyle name="Untitled1 4 5 2" xfId="9790"/>
    <cellStyle name="Untitled1 4 5 3" xfId="9791"/>
    <cellStyle name="Untitled1 4 6" xfId="9792"/>
    <cellStyle name="Untitled1 4 6 2" xfId="9793"/>
    <cellStyle name="Untitled1 4 6 3" xfId="9794"/>
    <cellStyle name="Untitled1 4 7" xfId="9795"/>
    <cellStyle name="Untitled1 4 8" xfId="9796"/>
    <cellStyle name="Untitled1 4 9" xfId="9797"/>
    <cellStyle name="Untitled1 5" xfId="9798"/>
    <cellStyle name="Untitled1 5 2" xfId="9799"/>
    <cellStyle name="Untitled1 5 2 2" xfId="9800"/>
    <cellStyle name="Untitled1 5 2 3" xfId="9801"/>
    <cellStyle name="Untitled1 5 2 4" xfId="9802"/>
    <cellStyle name="Untitled1 5 3" xfId="9803"/>
    <cellStyle name="Untitled1 5 3 2" xfId="9804"/>
    <cellStyle name="Untitled1 5 3 3" xfId="9805"/>
    <cellStyle name="Untitled1 5 4" xfId="9806"/>
    <cellStyle name="Untitled1 5 5" xfId="9807"/>
    <cellStyle name="Untitled1 5 6" xfId="9808"/>
    <cellStyle name="Untitled1 6" xfId="9809"/>
    <cellStyle name="Untitled1 6 2" xfId="9810"/>
    <cellStyle name="Untitled1 6 2 2" xfId="9811"/>
    <cellStyle name="Untitled1 6 2 3" xfId="9812"/>
    <cellStyle name="Untitled1 6 3" xfId="9813"/>
    <cellStyle name="Untitled1 6 4" xfId="9814"/>
    <cellStyle name="Untitled1 6 5" xfId="9815"/>
    <cellStyle name="Untitled1 7" xfId="9816"/>
    <cellStyle name="Untitled1 7 2" xfId="9817"/>
    <cellStyle name="Untitled1 7 3" xfId="9818"/>
    <cellStyle name="Untitled1 8" xfId="9819"/>
    <cellStyle name="Untitled1 9" xfId="9820"/>
    <cellStyle name="Untitled10" xfId="9821"/>
    <cellStyle name="Untitled10 2" xfId="9822"/>
    <cellStyle name="Untitled10 2 2" xfId="9823"/>
    <cellStyle name="Untitled10 2 2 2" xfId="9824"/>
    <cellStyle name="Untitled10 2 2 3" xfId="9825"/>
    <cellStyle name="Untitled10 2 3" xfId="9826"/>
    <cellStyle name="Untitled10 2 4" xfId="9827"/>
    <cellStyle name="Untitled10 2 5" xfId="9828"/>
    <cellStyle name="Untitled10 3" xfId="9829"/>
    <cellStyle name="Untitled10 3 2" xfId="9830"/>
    <cellStyle name="Untitled10 3 3" xfId="9831"/>
    <cellStyle name="Untitled10 4" xfId="9832"/>
    <cellStyle name="Untitled10 4 2" xfId="9833"/>
    <cellStyle name="Untitled10 4 3" xfId="9834"/>
    <cellStyle name="Untitled10 5" xfId="9835"/>
    <cellStyle name="Untitled10 6" xfId="9836"/>
    <cellStyle name="Untitled10 7" xfId="9837"/>
    <cellStyle name="Untitled11" xfId="9838"/>
    <cellStyle name="Untitled11 2" xfId="9839"/>
    <cellStyle name="Untitled11 2 2" xfId="9840"/>
    <cellStyle name="Untitled11 2 2 2" xfId="9841"/>
    <cellStyle name="Untitled11 2 2 3" xfId="9842"/>
    <cellStyle name="Untitled11 2 3" xfId="9843"/>
    <cellStyle name="Untitled11 2 4" xfId="9844"/>
    <cellStyle name="Untitled11 2 5" xfId="9845"/>
    <cellStyle name="Untitled11 3" xfId="9846"/>
    <cellStyle name="Untitled11 3 2" xfId="9847"/>
    <cellStyle name="Untitled11 3 3" xfId="9848"/>
    <cellStyle name="Untitled11 4" xfId="9849"/>
    <cellStyle name="Untitled11 4 2" xfId="9850"/>
    <cellStyle name="Untitled11 4 3" xfId="9851"/>
    <cellStyle name="Untitled11 5" xfId="9852"/>
    <cellStyle name="Untitled11 6" xfId="9853"/>
    <cellStyle name="Untitled11 7" xfId="9854"/>
    <cellStyle name="Untitled12" xfId="9855"/>
    <cellStyle name="Untitled12 2" xfId="9856"/>
    <cellStyle name="Untitled12 2 2" xfId="9857"/>
    <cellStyle name="Untitled12 2 2 2" xfId="9858"/>
    <cellStyle name="Untitled12 2 2 3" xfId="9859"/>
    <cellStyle name="Untitled12 2 3" xfId="9860"/>
    <cellStyle name="Untitled12 2 3 2" xfId="9861"/>
    <cellStyle name="Untitled12 2 3 3" xfId="9862"/>
    <cellStyle name="Untitled12 2 4" xfId="9863"/>
    <cellStyle name="Untitled12 2 5" xfId="9864"/>
    <cellStyle name="Untitled12 2 6" xfId="9865"/>
    <cellStyle name="Untitled12 3" xfId="9866"/>
    <cellStyle name="Untitled12 3 2" xfId="9867"/>
    <cellStyle name="Untitled12 3 3" xfId="9868"/>
    <cellStyle name="Untitled12 4" xfId="9869"/>
    <cellStyle name="Untitled12 4 2" xfId="9870"/>
    <cellStyle name="Untitled12 4 3" xfId="9871"/>
    <cellStyle name="Untitled12 5" xfId="9872"/>
    <cellStyle name="Untitled12 5 2" xfId="9873"/>
    <cellStyle name="Untitled12 5 3" xfId="9874"/>
    <cellStyle name="Untitled12 6" xfId="9875"/>
    <cellStyle name="Untitled12 7" xfId="9876"/>
    <cellStyle name="Untitled12 8" xfId="9877"/>
    <cellStyle name="Untitled16" xfId="9878"/>
    <cellStyle name="Untitled16 2" xfId="9879"/>
    <cellStyle name="Untitled16 2 2" xfId="9880"/>
    <cellStyle name="Untitled16 2 2 2" xfId="9881"/>
    <cellStyle name="Untitled16 2 2 3" xfId="9882"/>
    <cellStyle name="Untitled16 2 2 4" xfId="9883"/>
    <cellStyle name="Untitled16 2 3" xfId="9884"/>
    <cellStyle name="Untitled16 2 3 2" xfId="9885"/>
    <cellStyle name="Untitled16 2 3 3" xfId="9886"/>
    <cellStyle name="Untitled16 2 4" xfId="9887"/>
    <cellStyle name="Untitled16 2 4 2" xfId="9888"/>
    <cellStyle name="Untitled16 2 4 3" xfId="9889"/>
    <cellStyle name="Untitled16 2 5" xfId="9890"/>
    <cellStyle name="Untitled16 2 6" xfId="9891"/>
    <cellStyle name="Untitled16 2 7" xfId="9892"/>
    <cellStyle name="Untitled16 3" xfId="9893"/>
    <cellStyle name="Untitled16 3 2" xfId="9894"/>
    <cellStyle name="Untitled16 3 3" xfId="9895"/>
    <cellStyle name="Untitled16 4" xfId="9896"/>
    <cellStyle name="Untitled16 4 2" xfId="9897"/>
    <cellStyle name="Untitled16 4 3" xfId="9898"/>
    <cellStyle name="Untitled16 5" xfId="9899"/>
    <cellStyle name="Untitled16 6" xfId="9900"/>
    <cellStyle name="Untitled16 7" xfId="9901"/>
    <cellStyle name="Untitled2" xfId="9902"/>
    <cellStyle name="Untitled2 10" xfId="9903"/>
    <cellStyle name="Untitled2 11" xfId="9904"/>
    <cellStyle name="Untitled2 12" xfId="9905"/>
    <cellStyle name="Untitled2 2" xfId="9906"/>
    <cellStyle name="Untitled2 2 2" xfId="9907"/>
    <cellStyle name="Untitled2 2 2 2" xfId="9908"/>
    <cellStyle name="Untitled2 2 2 2 2" xfId="9909"/>
    <cellStyle name="Untitled2 2 2 2 3" xfId="9910"/>
    <cellStyle name="Untitled2 2 2 2 4" xfId="9911"/>
    <cellStyle name="Untitled2 2 2 3" xfId="9912"/>
    <cellStyle name="Untitled2 2 2 3 2" xfId="9913"/>
    <cellStyle name="Untitled2 2 2 3 2 2" xfId="9914"/>
    <cellStyle name="Untitled2 2 2 3 2 3" xfId="9915"/>
    <cellStyle name="Untitled2 2 2 3 2 4" xfId="9916"/>
    <cellStyle name="Untitled2 2 2 3 3" xfId="9917"/>
    <cellStyle name="Untitled2 2 2 3 3 2" xfId="9918"/>
    <cellStyle name="Untitled2 2 2 3 3 3" xfId="9919"/>
    <cellStyle name="Untitled2 2 2 3 4" xfId="9920"/>
    <cellStyle name="Untitled2 2 2 3 5" xfId="9921"/>
    <cellStyle name="Untitled2 2 2 3 6" xfId="9922"/>
    <cellStyle name="Untitled2 2 2 4" xfId="9923"/>
    <cellStyle name="Untitled2 2 2 4 2" xfId="9924"/>
    <cellStyle name="Untitled2 2 2 4 3" xfId="9925"/>
    <cellStyle name="Untitled2 2 2 4 4" xfId="9926"/>
    <cellStyle name="Untitled2 2 2 5" xfId="9927"/>
    <cellStyle name="Untitled2 2 2 5 2" xfId="9928"/>
    <cellStyle name="Untitled2 2 2 5 3" xfId="9929"/>
    <cellStyle name="Untitled2 2 2 5 4" xfId="9930"/>
    <cellStyle name="Untitled2 2 2 6" xfId="9931"/>
    <cellStyle name="Untitled2 2 2 6 2" xfId="9932"/>
    <cellStyle name="Untitled2 2 2 6 3" xfId="9933"/>
    <cellStyle name="Untitled2 2 2 7" xfId="9934"/>
    <cellStyle name="Untitled2 2 2 8" xfId="9935"/>
    <cellStyle name="Untitled2 2 2 9" xfId="9936"/>
    <cellStyle name="Untitled2 2 3" xfId="9937"/>
    <cellStyle name="Untitled2 2 3 2" xfId="9938"/>
    <cellStyle name="Untitled2 2 3 2 2" xfId="9939"/>
    <cellStyle name="Untitled2 2 3 2 2 2" xfId="9940"/>
    <cellStyle name="Untitled2 2 3 2 2 2 2" xfId="9941"/>
    <cellStyle name="Untitled2 2 3 2 2 3" xfId="9942"/>
    <cellStyle name="Untitled2 2 3 2 2 4" xfId="9943"/>
    <cellStyle name="Untitled2 2 3 2 2 5" xfId="9944"/>
    <cellStyle name="Untitled2 2 3 2 3" xfId="9945"/>
    <cellStyle name="Untitled2 2 3 2 3 2" xfId="9946"/>
    <cellStyle name="Untitled2 2 3 2 3 3" xfId="9947"/>
    <cellStyle name="Untitled2 2 3 2 4" xfId="9948"/>
    <cellStyle name="Untitled2 2 3 2 5" xfId="9949"/>
    <cellStyle name="Untitled2 2 3 2 6" xfId="9950"/>
    <cellStyle name="Untitled2 2 3 2 7" xfId="9951"/>
    <cellStyle name="Untitled2 2 3 3" xfId="9952"/>
    <cellStyle name="Untitled2 2 3 3 2" xfId="9953"/>
    <cellStyle name="Untitled2 2 3 3 3" xfId="9954"/>
    <cellStyle name="Untitled2 2 3 3 4" xfId="9955"/>
    <cellStyle name="Untitled2 2 3 4" xfId="9956"/>
    <cellStyle name="Untitled2 2 3 4 2" xfId="9957"/>
    <cellStyle name="Untitled2 2 3 4 3" xfId="9958"/>
    <cellStyle name="Untitled2 2 3 5" xfId="9959"/>
    <cellStyle name="Untitled2 2 3 6" xfId="9960"/>
    <cellStyle name="Untitled2 2 3 7" xfId="9961"/>
    <cellStyle name="Untitled2 2 3 8" xfId="9962"/>
    <cellStyle name="Untitled2 2 4" xfId="9963"/>
    <cellStyle name="Untitled2 2 4 2" xfId="9964"/>
    <cellStyle name="Untitled2 2 4 3" xfId="9965"/>
    <cellStyle name="Untitled2 2 4 4" xfId="9966"/>
    <cellStyle name="Untitled2 2 5" xfId="9967"/>
    <cellStyle name="Untitled2 2 5 2" xfId="9968"/>
    <cellStyle name="Untitled2 2 5 3" xfId="9969"/>
    <cellStyle name="Untitled2 2 6" xfId="9970"/>
    <cellStyle name="Untitled2 2 7" xfId="9971"/>
    <cellStyle name="Untitled2 2 8" xfId="9972"/>
    <cellStyle name="Untitled2 3" xfId="9973"/>
    <cellStyle name="Untitled2 3 2" xfId="9974"/>
    <cellStyle name="Untitled2 3 2 2" xfId="9975"/>
    <cellStyle name="Untitled2 3 2 2 2" xfId="9976"/>
    <cellStyle name="Untitled2 3 2 2 3" xfId="9977"/>
    <cellStyle name="Untitled2 3 2 2 4" xfId="9978"/>
    <cellStyle name="Untitled2 3 2 3" xfId="9979"/>
    <cellStyle name="Untitled2 3 2 3 2" xfId="9980"/>
    <cellStyle name="Untitled2 3 2 3 3" xfId="9981"/>
    <cellStyle name="Untitled2 3 2 4" xfId="9982"/>
    <cellStyle name="Untitled2 3 2 5" xfId="9983"/>
    <cellStyle name="Untitled2 3 2 6" xfId="9984"/>
    <cellStyle name="Untitled2 3 2 7" xfId="9985"/>
    <cellStyle name="Untitled2 3 3" xfId="9986"/>
    <cellStyle name="Untitled2 3 3 2" xfId="9987"/>
    <cellStyle name="Untitled2 3 3 2 2" xfId="9988"/>
    <cellStyle name="Untitled2 3 3 2 3" xfId="9989"/>
    <cellStyle name="Untitled2 3 3 2 4" xfId="9990"/>
    <cellStyle name="Untitled2 3 3 3" xfId="9991"/>
    <cellStyle name="Untitled2 3 3 3 2" xfId="9992"/>
    <cellStyle name="Untitled2 3 3 3 3" xfId="9993"/>
    <cellStyle name="Untitled2 3 3 4" xfId="9994"/>
    <cellStyle name="Untitled2 3 3 5" xfId="9995"/>
    <cellStyle name="Untitled2 3 3 6" xfId="9996"/>
    <cellStyle name="Untitled2 3 4" xfId="9997"/>
    <cellStyle name="Untitled2 3 4 2" xfId="9998"/>
    <cellStyle name="Untitled2 3 4 3" xfId="9999"/>
    <cellStyle name="Untitled2 3 4 4" xfId="10000"/>
    <cellStyle name="Untitled2 3 5" xfId="10001"/>
    <cellStyle name="Untitled2 3 5 2" xfId="10002"/>
    <cellStyle name="Untitled2 3 5 3" xfId="10003"/>
    <cellStyle name="Untitled2 3 6" xfId="10004"/>
    <cellStyle name="Untitled2 3 7" xfId="10005"/>
    <cellStyle name="Untitled2 3 8" xfId="10006"/>
    <cellStyle name="Untitled2 3 9" xfId="10007"/>
    <cellStyle name="Untitled2 4" xfId="10008"/>
    <cellStyle name="Untitled2 4 10" xfId="10009"/>
    <cellStyle name="Untitled2 4 2" xfId="10010"/>
    <cellStyle name="Untitled2 4 2 2" xfId="10011"/>
    <cellStyle name="Untitled2 4 2 2 2" xfId="10012"/>
    <cellStyle name="Untitled2 4 2 2 2 2" xfId="10013"/>
    <cellStyle name="Untitled2 4 2 2 3" xfId="10014"/>
    <cellStyle name="Untitled2 4 2 2 4" xfId="10015"/>
    <cellStyle name="Untitled2 4 2 2 5" xfId="10016"/>
    <cellStyle name="Untitled2 4 2 3" xfId="10017"/>
    <cellStyle name="Untitled2 4 2 3 2" xfId="10018"/>
    <cellStyle name="Untitled2 4 2 3 3" xfId="10019"/>
    <cellStyle name="Untitled2 4 2 4" xfId="10020"/>
    <cellStyle name="Untitled2 4 2 5" xfId="10021"/>
    <cellStyle name="Untitled2 4 2 6" xfId="10022"/>
    <cellStyle name="Untitled2 4 2 7" xfId="10023"/>
    <cellStyle name="Untitled2 4 3" xfId="10024"/>
    <cellStyle name="Untitled2 4 3 2" xfId="10025"/>
    <cellStyle name="Untitled2 4 3 2 2" xfId="10026"/>
    <cellStyle name="Untitled2 4 3 2 3" xfId="10027"/>
    <cellStyle name="Untitled2 4 3 3" xfId="10028"/>
    <cellStyle name="Untitled2 4 3 4" xfId="10029"/>
    <cellStyle name="Untitled2 4 3 5" xfId="10030"/>
    <cellStyle name="Untitled2 4 4" xfId="10031"/>
    <cellStyle name="Untitled2 4 4 2" xfId="10032"/>
    <cellStyle name="Untitled2 4 4 3" xfId="10033"/>
    <cellStyle name="Untitled2 4 5" xfId="10034"/>
    <cellStyle name="Untitled2 4 5 2" xfId="10035"/>
    <cellStyle name="Untitled2 4 5 3" xfId="10036"/>
    <cellStyle name="Untitled2 4 6" xfId="10037"/>
    <cellStyle name="Untitled2 4 6 2" xfId="10038"/>
    <cellStyle name="Untitled2 4 6 3" xfId="10039"/>
    <cellStyle name="Untitled2 4 7" xfId="10040"/>
    <cellStyle name="Untitled2 4 8" xfId="10041"/>
    <cellStyle name="Untitled2 4 9" xfId="10042"/>
    <cellStyle name="Untitled2 5" xfId="10043"/>
    <cellStyle name="Untitled2 5 2" xfId="10044"/>
    <cellStyle name="Untitled2 5 2 2" xfId="10045"/>
    <cellStyle name="Untitled2 5 2 2 2" xfId="10046"/>
    <cellStyle name="Untitled2 5 2 2 2 2" xfId="10047"/>
    <cellStyle name="Untitled2 5 2 2 3" xfId="10048"/>
    <cellStyle name="Untitled2 5 2 2 4" xfId="10049"/>
    <cellStyle name="Untitled2 5 2 2 5" xfId="10050"/>
    <cellStyle name="Untitled2 5 2 3" xfId="10051"/>
    <cellStyle name="Untitled2 5 2 3 2" xfId="10052"/>
    <cellStyle name="Untitled2 5 2 3 3" xfId="10053"/>
    <cellStyle name="Untitled2 5 2 4" xfId="10054"/>
    <cellStyle name="Untitled2 5 2 5" xfId="10055"/>
    <cellStyle name="Untitled2 5 2 6" xfId="10056"/>
    <cellStyle name="Untitled2 5 2 7" xfId="10057"/>
    <cellStyle name="Untitled2 5 3" xfId="10058"/>
    <cellStyle name="Untitled2 5 3 2" xfId="10059"/>
    <cellStyle name="Untitled2 5 3 3" xfId="10060"/>
    <cellStyle name="Untitled2 5 3 4" xfId="10061"/>
    <cellStyle name="Untitled2 5 4" xfId="10062"/>
    <cellStyle name="Untitled2 5 4 2" xfId="10063"/>
    <cellStyle name="Untitled2 5 4 3" xfId="10064"/>
    <cellStyle name="Untitled2 5 5" xfId="10065"/>
    <cellStyle name="Untitled2 5 6" xfId="10066"/>
    <cellStyle name="Untitled2 5 7" xfId="10067"/>
    <cellStyle name="Untitled2 5 8" xfId="10068"/>
    <cellStyle name="Untitled2 6" xfId="10069"/>
    <cellStyle name="Untitled2 6 2" xfId="10070"/>
    <cellStyle name="Untitled2 6 2 2" xfId="10071"/>
    <cellStyle name="Untitled2 6 2 3" xfId="10072"/>
    <cellStyle name="Untitled2 6 2 4" xfId="10073"/>
    <cellStyle name="Untitled2 6 3" xfId="10074"/>
    <cellStyle name="Untitled2 6 3 2" xfId="10075"/>
    <cellStyle name="Untitled2 6 3 3" xfId="10076"/>
    <cellStyle name="Untitled2 6 4" xfId="10077"/>
    <cellStyle name="Untitled2 6 5" xfId="10078"/>
    <cellStyle name="Untitled2 6 6" xfId="10079"/>
    <cellStyle name="Untitled2 7" xfId="10080"/>
    <cellStyle name="Untitled2 7 2" xfId="10081"/>
    <cellStyle name="Untitled2 7 2 2" xfId="10082"/>
    <cellStyle name="Untitled2 7 2 3" xfId="10083"/>
    <cellStyle name="Untitled2 7 2 4" xfId="10084"/>
    <cellStyle name="Untitled2 7 3" xfId="10085"/>
    <cellStyle name="Untitled2 7 3 2" xfId="10086"/>
    <cellStyle name="Untitled2 7 3 3" xfId="10087"/>
    <cellStyle name="Untitled2 7 4" xfId="10088"/>
    <cellStyle name="Untitled2 7 5" xfId="10089"/>
    <cellStyle name="Untitled2 7 6" xfId="10090"/>
    <cellStyle name="Untitled2 8" xfId="10091"/>
    <cellStyle name="Untitled2 8 2" xfId="10092"/>
    <cellStyle name="Untitled2 8 3" xfId="10093"/>
    <cellStyle name="Untitled2 8 4" xfId="10094"/>
    <cellStyle name="Untitled2 9" xfId="10095"/>
    <cellStyle name="Untitled2 9 2" xfId="10096"/>
    <cellStyle name="Untitled2 9 3" xfId="10097"/>
    <cellStyle name="Untitled3" xfId="10098"/>
    <cellStyle name="Untitled3 10" xfId="10099"/>
    <cellStyle name="Untitled3 2" xfId="10100"/>
    <cellStyle name="Untitled3 2 2" xfId="10101"/>
    <cellStyle name="Untitled3 2 2 2" xfId="10102"/>
    <cellStyle name="Untitled3 2 2 2 2" xfId="10103"/>
    <cellStyle name="Untitled3 2 2 2 2 2" xfId="10104"/>
    <cellStyle name="Untitled3 2 2 2 3" xfId="10105"/>
    <cellStyle name="Untitled3 2 2 2 4" xfId="10106"/>
    <cellStyle name="Untitled3 2 2 2 5" xfId="10107"/>
    <cellStyle name="Untitled3 2 2 3" xfId="10108"/>
    <cellStyle name="Untitled3 2 2 3 2" xfId="10109"/>
    <cellStyle name="Untitled3 2 2 3 3" xfId="10110"/>
    <cellStyle name="Untitled3 2 2 4" xfId="10111"/>
    <cellStyle name="Untitled3 2 2 5" xfId="10112"/>
    <cellStyle name="Untitled3 2 2 6" xfId="10113"/>
    <cellStyle name="Untitled3 2 2 7" xfId="10114"/>
    <cellStyle name="Untitled3 2 3" xfId="10115"/>
    <cellStyle name="Untitled3 2 3 2" xfId="10116"/>
    <cellStyle name="Untitled3 2 3 3" xfId="10117"/>
    <cellStyle name="Untitled3 2 3 4" xfId="10118"/>
    <cellStyle name="Untitled3 2 4" xfId="10119"/>
    <cellStyle name="Untitled3 2 4 2" xfId="10120"/>
    <cellStyle name="Untitled3 2 4 3" xfId="10121"/>
    <cellStyle name="Untitled3 2 5" xfId="10122"/>
    <cellStyle name="Untitled3 2 6" xfId="10123"/>
    <cellStyle name="Untitled3 2 7" xfId="10124"/>
    <cellStyle name="Untitled3 2 8" xfId="10125"/>
    <cellStyle name="Untitled3 3" xfId="10126"/>
    <cellStyle name="Untitled3 3 2" xfId="10127"/>
    <cellStyle name="Untitled3 3 2 2" xfId="10128"/>
    <cellStyle name="Untitled3 3 2 3" xfId="10129"/>
    <cellStyle name="Untitled3 3 2 4" xfId="10130"/>
    <cellStyle name="Untitled3 3 3" xfId="10131"/>
    <cellStyle name="Untitled3 3 3 2" xfId="10132"/>
    <cellStyle name="Untitled3 3 3 3" xfId="10133"/>
    <cellStyle name="Untitled3 3 4" xfId="10134"/>
    <cellStyle name="Untitled3 3 5" xfId="10135"/>
    <cellStyle name="Untitled3 3 6" xfId="10136"/>
    <cellStyle name="Untitled3 4" xfId="10137"/>
    <cellStyle name="Untitled3 4 2" xfId="10138"/>
    <cellStyle name="Untitled3 4 2 2" xfId="10139"/>
    <cellStyle name="Untitled3 4 2 2 2" xfId="10140"/>
    <cellStyle name="Untitled3 4 2 2 2 2" xfId="10141"/>
    <cellStyle name="Untitled3 4 2 2 3" xfId="10142"/>
    <cellStyle name="Untitled3 4 2 2 4" xfId="10143"/>
    <cellStyle name="Untitled3 4 2 2 5" xfId="10144"/>
    <cellStyle name="Untitled3 4 2 3" xfId="10145"/>
    <cellStyle name="Untitled3 4 2 3 2" xfId="10146"/>
    <cellStyle name="Untitled3 4 2 3 3" xfId="10147"/>
    <cellStyle name="Untitled3 4 2 4" xfId="10148"/>
    <cellStyle name="Untitled3 4 2 5" xfId="10149"/>
    <cellStyle name="Untitled3 4 2 6" xfId="10150"/>
    <cellStyle name="Untitled3 4 2 7" xfId="10151"/>
    <cellStyle name="Untitled3 4 3" xfId="10152"/>
    <cellStyle name="Untitled3 4 3 2" xfId="10153"/>
    <cellStyle name="Untitled3 4 3 3" xfId="10154"/>
    <cellStyle name="Untitled3 4 3 4" xfId="10155"/>
    <cellStyle name="Untitled3 4 4" xfId="10156"/>
    <cellStyle name="Untitled3 4 4 2" xfId="10157"/>
    <cellStyle name="Untitled3 4 4 3" xfId="10158"/>
    <cellStyle name="Untitled3 4 5" xfId="10159"/>
    <cellStyle name="Untitled3 4 6" xfId="10160"/>
    <cellStyle name="Untitled3 4 7" xfId="10161"/>
    <cellStyle name="Untitled3 4 8" xfId="10162"/>
    <cellStyle name="Untitled3 5" xfId="10163"/>
    <cellStyle name="Untitled3 5 2" xfId="10164"/>
    <cellStyle name="Untitled3 5 2 2" xfId="10165"/>
    <cellStyle name="Untitled3 5 2 2 2" xfId="10166"/>
    <cellStyle name="Untitled3 5 2 2 2 2" xfId="10167"/>
    <cellStyle name="Untitled3 5 2 2 3" xfId="10168"/>
    <cellStyle name="Untitled3 5 2 2 4" xfId="10169"/>
    <cellStyle name="Untitled3 5 2 2 5" xfId="10170"/>
    <cellStyle name="Untitled3 5 2 3" xfId="10171"/>
    <cellStyle name="Untitled3 5 2 3 2" xfId="10172"/>
    <cellStyle name="Untitled3 5 2 3 3" xfId="10173"/>
    <cellStyle name="Untitled3 5 2 4" xfId="10174"/>
    <cellStyle name="Untitled3 5 2 5" xfId="10175"/>
    <cellStyle name="Untitled3 5 2 6" xfId="10176"/>
    <cellStyle name="Untitled3 5 2 7" xfId="10177"/>
    <cellStyle name="Untitled3 5 3" xfId="10178"/>
    <cellStyle name="Untitled3 5 3 2" xfId="10179"/>
    <cellStyle name="Untitled3 5 3 3" xfId="10180"/>
    <cellStyle name="Untitled3 5 3 4" xfId="10181"/>
    <cellStyle name="Untitled3 5 4" xfId="10182"/>
    <cellStyle name="Untitled3 5 4 2" xfId="10183"/>
    <cellStyle name="Untitled3 5 4 3" xfId="10184"/>
    <cellStyle name="Untitled3 5 5" xfId="10185"/>
    <cellStyle name="Untitled3 5 6" xfId="10186"/>
    <cellStyle name="Untitled3 5 7" xfId="10187"/>
    <cellStyle name="Untitled3 5 8" xfId="10188"/>
    <cellStyle name="Untitled3 6" xfId="10189"/>
    <cellStyle name="Untitled3 6 2" xfId="10190"/>
    <cellStyle name="Untitled3 6 3" xfId="10191"/>
    <cellStyle name="Untitled3 6 4" xfId="10192"/>
    <cellStyle name="Untitled3 7" xfId="10193"/>
    <cellStyle name="Untitled3 7 2" xfId="10194"/>
    <cellStyle name="Untitled3 7 3" xfId="10195"/>
    <cellStyle name="Untitled3 8" xfId="10196"/>
    <cellStyle name="Untitled3 9" xfId="10197"/>
    <cellStyle name="Untitled4" xfId="10198"/>
    <cellStyle name="Untitled4 2" xfId="10199"/>
    <cellStyle name="Untitled4 2 2" xfId="10200"/>
    <cellStyle name="Untitled4 2 2 2" xfId="10201"/>
    <cellStyle name="Untitled4 2 2 2 2" xfId="10202"/>
    <cellStyle name="Untitled4 2 2 2 2 2" xfId="10203"/>
    <cellStyle name="Untitled4 2 2 2 3" xfId="10204"/>
    <cellStyle name="Untitled4 2 2 2 4" xfId="10205"/>
    <cellStyle name="Untitled4 2 2 2 5" xfId="10206"/>
    <cellStyle name="Untitled4 2 2 3" xfId="10207"/>
    <cellStyle name="Untitled4 2 2 3 2" xfId="10208"/>
    <cellStyle name="Untitled4 2 2 3 3" xfId="10209"/>
    <cellStyle name="Untitled4 2 2 4" xfId="10210"/>
    <cellStyle name="Untitled4 2 2 5" xfId="10211"/>
    <cellStyle name="Untitled4 2 2 6" xfId="10212"/>
    <cellStyle name="Untitled4 2 2 7" xfId="10213"/>
    <cellStyle name="Untitled4 2 3" xfId="10214"/>
    <cellStyle name="Untitled4 2 3 2" xfId="10215"/>
    <cellStyle name="Untitled4 2 3 3" xfId="10216"/>
    <cellStyle name="Untitled4 2 3 4" xfId="10217"/>
    <cellStyle name="Untitled4 2 4" xfId="10218"/>
    <cellStyle name="Untitled4 2 4 2" xfId="10219"/>
    <cellStyle name="Untitled4 2 4 3" xfId="10220"/>
    <cellStyle name="Untitled4 2 5" xfId="10221"/>
    <cellStyle name="Untitled4 2 6" xfId="10222"/>
    <cellStyle name="Untitled4 2 7" xfId="10223"/>
    <cellStyle name="Untitled4 2 8" xfId="10224"/>
    <cellStyle name="Untitled4 3" xfId="10225"/>
    <cellStyle name="Untitled4 3 2" xfId="10226"/>
    <cellStyle name="Untitled4 3 2 2" xfId="10227"/>
    <cellStyle name="Untitled4 3 2 3" xfId="10228"/>
    <cellStyle name="Untitled4 3 2 4" xfId="10229"/>
    <cellStyle name="Untitled4 3 3" xfId="10230"/>
    <cellStyle name="Untitled4 3 3 2" xfId="10231"/>
    <cellStyle name="Untitled4 3 3 3" xfId="10232"/>
    <cellStyle name="Untitled4 3 4" xfId="10233"/>
    <cellStyle name="Untitled4 3 5" xfId="10234"/>
    <cellStyle name="Untitled4 3 6" xfId="10235"/>
    <cellStyle name="Untitled4 4" xfId="10236"/>
    <cellStyle name="Untitled4 4 2" xfId="10237"/>
    <cellStyle name="Untitled4 4 2 2" xfId="10238"/>
    <cellStyle name="Untitled4 4 2 2 2" xfId="10239"/>
    <cellStyle name="Untitled4 4 2 2 2 2" xfId="10240"/>
    <cellStyle name="Untitled4 4 2 2 3" xfId="10241"/>
    <cellStyle name="Untitled4 4 2 2 4" xfId="10242"/>
    <cellStyle name="Untitled4 4 2 2 5" xfId="10243"/>
    <cellStyle name="Untitled4 4 2 3" xfId="10244"/>
    <cellStyle name="Untitled4 4 2 3 2" xfId="10245"/>
    <cellStyle name="Untitled4 4 2 3 3" xfId="10246"/>
    <cellStyle name="Untitled4 4 2 4" xfId="10247"/>
    <cellStyle name="Untitled4 4 2 5" xfId="10248"/>
    <cellStyle name="Untitled4 4 2 6" xfId="10249"/>
    <cellStyle name="Untitled4 4 2 7" xfId="10250"/>
    <cellStyle name="Untitled4 4 3" xfId="10251"/>
    <cellStyle name="Untitled4 4 3 2" xfId="10252"/>
    <cellStyle name="Untitled4 4 3 3" xfId="10253"/>
    <cellStyle name="Untitled4 4 3 4" xfId="10254"/>
    <cellStyle name="Untitled4 4 4" xfId="10255"/>
    <cellStyle name="Untitled4 4 4 2" xfId="10256"/>
    <cellStyle name="Untitled4 4 4 3" xfId="10257"/>
    <cellStyle name="Untitled4 4 5" xfId="10258"/>
    <cellStyle name="Untitled4 4 6" xfId="10259"/>
    <cellStyle name="Untitled4 4 7" xfId="10260"/>
    <cellStyle name="Untitled4 4 8" xfId="10261"/>
    <cellStyle name="Untitled4 5" xfId="10262"/>
    <cellStyle name="Untitled4 5 2" xfId="10263"/>
    <cellStyle name="Untitled4 5 3" xfId="10264"/>
    <cellStyle name="Untitled4 5 4" xfId="10265"/>
    <cellStyle name="Untitled4 6" xfId="10266"/>
    <cellStyle name="Untitled4 6 2" xfId="10267"/>
    <cellStyle name="Untitled4 6 3" xfId="10268"/>
    <cellStyle name="Untitled4 7" xfId="10269"/>
    <cellStyle name="Untitled4 8" xfId="10270"/>
    <cellStyle name="Untitled4 9" xfId="10271"/>
    <cellStyle name="Untitled5" xfId="10272"/>
    <cellStyle name="Untitled5 2" xfId="10273"/>
    <cellStyle name="Untitled5 2 2" xfId="10274"/>
    <cellStyle name="Untitled5 2 2 2" xfId="10275"/>
    <cellStyle name="Untitled5 2 2 2 2" xfId="10276"/>
    <cellStyle name="Untitled5 2 2 2 2 2" xfId="10277"/>
    <cellStyle name="Untitled5 2 2 2 3" xfId="10278"/>
    <cellStyle name="Untitled5 2 2 2 4" xfId="10279"/>
    <cellStyle name="Untitled5 2 2 2 5" xfId="10280"/>
    <cellStyle name="Untitled5 2 2 3" xfId="10281"/>
    <cellStyle name="Untitled5 2 2 3 2" xfId="10282"/>
    <cellStyle name="Untitled5 2 2 3 3" xfId="10283"/>
    <cellStyle name="Untitled5 2 2 4" xfId="10284"/>
    <cellStyle name="Untitled5 2 2 5" xfId="10285"/>
    <cellStyle name="Untitled5 2 2 6" xfId="10286"/>
    <cellStyle name="Untitled5 2 2 7" xfId="10287"/>
    <cellStyle name="Untitled5 2 3" xfId="10288"/>
    <cellStyle name="Untitled5 2 3 2" xfId="10289"/>
    <cellStyle name="Untitled5 2 3 3" xfId="10290"/>
    <cellStyle name="Untitled5 2 3 4" xfId="10291"/>
    <cellStyle name="Untitled5 2 4" xfId="10292"/>
    <cellStyle name="Untitled5 2 4 2" xfId="10293"/>
    <cellStyle name="Untitled5 2 4 3" xfId="10294"/>
    <cellStyle name="Untitled5 2 5" xfId="10295"/>
    <cellStyle name="Untitled5 2 6" xfId="10296"/>
    <cellStyle name="Untitled5 2 7" xfId="10297"/>
    <cellStyle name="Untitled5 2 8" xfId="10298"/>
    <cellStyle name="Untitled5 3" xfId="10299"/>
    <cellStyle name="Untitled5 3 2" xfId="10300"/>
    <cellStyle name="Untitled5 3 2 2" xfId="10301"/>
    <cellStyle name="Untitled5 3 2 3" xfId="10302"/>
    <cellStyle name="Untitled5 3 2 4" xfId="10303"/>
    <cellStyle name="Untitled5 3 3" xfId="10304"/>
    <cellStyle name="Untitled5 3 3 2" xfId="10305"/>
    <cellStyle name="Untitled5 3 3 3" xfId="10306"/>
    <cellStyle name="Untitled5 3 4" xfId="10307"/>
    <cellStyle name="Untitled5 3 5" xfId="10308"/>
    <cellStyle name="Untitled5 3 6" xfId="10309"/>
    <cellStyle name="Untitled5 4" xfId="10310"/>
    <cellStyle name="Untitled5 4 2" xfId="10311"/>
    <cellStyle name="Untitled5 4 2 2" xfId="10312"/>
    <cellStyle name="Untitled5 4 2 2 2" xfId="10313"/>
    <cellStyle name="Untitled5 4 2 2 2 2" xfId="10314"/>
    <cellStyle name="Untitled5 4 2 2 3" xfId="10315"/>
    <cellStyle name="Untitled5 4 2 2 4" xfId="10316"/>
    <cellStyle name="Untitled5 4 2 2 5" xfId="10317"/>
    <cellStyle name="Untitled5 4 2 3" xfId="10318"/>
    <cellStyle name="Untitled5 4 2 3 2" xfId="10319"/>
    <cellStyle name="Untitled5 4 2 3 3" xfId="10320"/>
    <cellStyle name="Untitled5 4 2 4" xfId="10321"/>
    <cellStyle name="Untitled5 4 2 5" xfId="10322"/>
    <cellStyle name="Untitled5 4 2 6" xfId="10323"/>
    <cellStyle name="Untitled5 4 2 7" xfId="10324"/>
    <cellStyle name="Untitled5 4 3" xfId="10325"/>
    <cellStyle name="Untitled5 4 3 2" xfId="10326"/>
    <cellStyle name="Untitled5 4 3 3" xfId="10327"/>
    <cellStyle name="Untitled5 4 3 4" xfId="10328"/>
    <cellStyle name="Untitled5 4 4" xfId="10329"/>
    <cellStyle name="Untitled5 4 4 2" xfId="10330"/>
    <cellStyle name="Untitled5 4 4 3" xfId="10331"/>
    <cellStyle name="Untitled5 4 5" xfId="10332"/>
    <cellStyle name="Untitled5 4 6" xfId="10333"/>
    <cellStyle name="Untitled5 4 7" xfId="10334"/>
    <cellStyle name="Untitled5 4 8" xfId="10335"/>
    <cellStyle name="Untitled5 5" xfId="10336"/>
    <cellStyle name="Untitled5 5 2" xfId="10337"/>
    <cellStyle name="Untitled5 5 3" xfId="10338"/>
    <cellStyle name="Untitled5 5 4" xfId="10339"/>
    <cellStyle name="Untitled5 6" xfId="10340"/>
    <cellStyle name="Untitled5 6 2" xfId="10341"/>
    <cellStyle name="Untitled5 6 3" xfId="10342"/>
    <cellStyle name="Untitled5 7" xfId="10343"/>
    <cellStyle name="Untitled5 8" xfId="10344"/>
    <cellStyle name="Untitled5 9" xfId="10345"/>
    <cellStyle name="Untitled6" xfId="10346"/>
    <cellStyle name="Untitled6 2" xfId="10347"/>
    <cellStyle name="Untitled6 2 2" xfId="10348"/>
    <cellStyle name="Untitled6 2 2 2" xfId="10349"/>
    <cellStyle name="Untitled6 2 2 2 2" xfId="10350"/>
    <cellStyle name="Untitled6 2 2 2 2 2" xfId="10351"/>
    <cellStyle name="Untitled6 2 2 2 3" xfId="10352"/>
    <cellStyle name="Untitled6 2 2 2 4" xfId="10353"/>
    <cellStyle name="Untitled6 2 2 2 5" xfId="10354"/>
    <cellStyle name="Untitled6 2 2 3" xfId="10355"/>
    <cellStyle name="Untitled6 2 2 3 2" xfId="10356"/>
    <cellStyle name="Untitled6 2 2 3 3" xfId="10357"/>
    <cellStyle name="Untitled6 2 2 4" xfId="10358"/>
    <cellStyle name="Untitled6 2 2 5" xfId="10359"/>
    <cellStyle name="Untitled6 2 2 6" xfId="10360"/>
    <cellStyle name="Untitled6 2 2 7" xfId="10361"/>
    <cellStyle name="Untitled6 2 3" xfId="10362"/>
    <cellStyle name="Untitled6 2 3 2" xfId="10363"/>
    <cellStyle name="Untitled6 2 3 3" xfId="10364"/>
    <cellStyle name="Untitled6 2 3 4" xfId="10365"/>
    <cellStyle name="Untitled6 2 4" xfId="10366"/>
    <cellStyle name="Untitled6 2 4 2" xfId="10367"/>
    <cellStyle name="Untitled6 2 4 3" xfId="10368"/>
    <cellStyle name="Untitled6 2 5" xfId="10369"/>
    <cellStyle name="Untitled6 2 6" xfId="10370"/>
    <cellStyle name="Untitled6 2 7" xfId="10371"/>
    <cellStyle name="Untitled6 2 8" xfId="10372"/>
    <cellStyle name="Untitled6 3" xfId="10373"/>
    <cellStyle name="Untitled6 3 2" xfId="10374"/>
    <cellStyle name="Untitled6 3 2 2" xfId="10375"/>
    <cellStyle name="Untitled6 3 2 3" xfId="10376"/>
    <cellStyle name="Untitled6 3 2 4" xfId="10377"/>
    <cellStyle name="Untitled6 3 3" xfId="10378"/>
    <cellStyle name="Untitled6 3 3 2" xfId="10379"/>
    <cellStyle name="Untitled6 3 3 3" xfId="10380"/>
    <cellStyle name="Untitled6 3 4" xfId="10381"/>
    <cellStyle name="Untitled6 3 5" xfId="10382"/>
    <cellStyle name="Untitled6 3 6" xfId="10383"/>
    <cellStyle name="Untitled6 4" xfId="10384"/>
    <cellStyle name="Untitled6 4 2" xfId="10385"/>
    <cellStyle name="Untitled6 4 2 2" xfId="10386"/>
    <cellStyle name="Untitled6 4 2 2 2" xfId="10387"/>
    <cellStyle name="Untitled6 4 2 2 2 2" xfId="10388"/>
    <cellStyle name="Untitled6 4 2 2 3" xfId="10389"/>
    <cellStyle name="Untitled6 4 2 2 4" xfId="10390"/>
    <cellStyle name="Untitled6 4 2 2 5" xfId="10391"/>
    <cellStyle name="Untitled6 4 2 3" xfId="10392"/>
    <cellStyle name="Untitled6 4 2 3 2" xfId="10393"/>
    <cellStyle name="Untitled6 4 2 3 3" xfId="10394"/>
    <cellStyle name="Untitled6 4 2 4" xfId="10395"/>
    <cellStyle name="Untitled6 4 2 5" xfId="10396"/>
    <cellStyle name="Untitled6 4 2 6" xfId="10397"/>
    <cellStyle name="Untitled6 4 2 7" xfId="10398"/>
    <cellStyle name="Untitled6 4 3" xfId="10399"/>
    <cellStyle name="Untitled6 4 3 2" xfId="10400"/>
    <cellStyle name="Untitled6 4 3 3" xfId="10401"/>
    <cellStyle name="Untitled6 4 3 4" xfId="10402"/>
    <cellStyle name="Untitled6 4 4" xfId="10403"/>
    <cellStyle name="Untitled6 4 4 2" xfId="10404"/>
    <cellStyle name="Untitled6 4 4 3" xfId="10405"/>
    <cellStyle name="Untitled6 4 5" xfId="10406"/>
    <cellStyle name="Untitled6 4 6" xfId="10407"/>
    <cellStyle name="Untitled6 4 7" xfId="10408"/>
    <cellStyle name="Untitled6 4 8" xfId="10409"/>
    <cellStyle name="Untitled6 5" xfId="10410"/>
    <cellStyle name="Untitled6 5 2" xfId="10411"/>
    <cellStyle name="Untitled6 5 3" xfId="10412"/>
    <cellStyle name="Untitled6 5 4" xfId="10413"/>
    <cellStyle name="Untitled6 6" xfId="10414"/>
    <cellStyle name="Untitled6 6 2" xfId="10415"/>
    <cellStyle name="Untitled6 6 3" xfId="10416"/>
    <cellStyle name="Untitled6 7" xfId="10417"/>
    <cellStyle name="Untitled6 8" xfId="10418"/>
    <cellStyle name="Untitled6 9" xfId="10419"/>
    <cellStyle name="Untitled7" xfId="10420"/>
    <cellStyle name="Untitled7 2" xfId="10421"/>
    <cellStyle name="Untitled7 2 2" xfId="10422"/>
    <cellStyle name="Untitled7 2 2 2" xfId="10423"/>
    <cellStyle name="Untitled7 2 2 2 2" xfId="10424"/>
    <cellStyle name="Untitled7 2 2 2 2 2" xfId="10425"/>
    <cellStyle name="Untitled7 2 2 2 3" xfId="10426"/>
    <cellStyle name="Untitled7 2 2 2 4" xfId="10427"/>
    <cellStyle name="Untitled7 2 2 2 5" xfId="10428"/>
    <cellStyle name="Untitled7 2 2 3" xfId="10429"/>
    <cellStyle name="Untitled7 2 2 3 2" xfId="10430"/>
    <cellStyle name="Untitled7 2 2 3 3" xfId="10431"/>
    <cellStyle name="Untitled7 2 2 4" xfId="10432"/>
    <cellStyle name="Untitled7 2 2 5" xfId="10433"/>
    <cellStyle name="Untitled7 2 2 6" xfId="10434"/>
    <cellStyle name="Untitled7 2 2 7" xfId="10435"/>
    <cellStyle name="Untitled7 2 3" xfId="10436"/>
    <cellStyle name="Untitled7 2 3 2" xfId="10437"/>
    <cellStyle name="Untitled7 2 3 3" xfId="10438"/>
    <cellStyle name="Untitled7 2 3 4" xfId="10439"/>
    <cellStyle name="Untitled7 2 4" xfId="10440"/>
    <cellStyle name="Untitled7 2 4 2" xfId="10441"/>
    <cellStyle name="Untitled7 2 4 3" xfId="10442"/>
    <cellStyle name="Untitled7 2 5" xfId="10443"/>
    <cellStyle name="Untitled7 2 6" xfId="10444"/>
    <cellStyle name="Untitled7 2 7" xfId="10445"/>
    <cellStyle name="Untitled7 2 8" xfId="10446"/>
    <cellStyle name="Untitled7 3" xfId="10447"/>
    <cellStyle name="Untitled7 3 2" xfId="10448"/>
    <cellStyle name="Untitled7 3 2 2" xfId="10449"/>
    <cellStyle name="Untitled7 3 2 3" xfId="10450"/>
    <cellStyle name="Untitled7 3 2 4" xfId="10451"/>
    <cellStyle name="Untitled7 3 3" xfId="10452"/>
    <cellStyle name="Untitled7 3 3 2" xfId="10453"/>
    <cellStyle name="Untitled7 3 3 3" xfId="10454"/>
    <cellStyle name="Untitled7 3 4" xfId="10455"/>
    <cellStyle name="Untitled7 3 5" xfId="10456"/>
    <cellStyle name="Untitled7 3 6" xfId="10457"/>
    <cellStyle name="Untitled7 4" xfId="10458"/>
    <cellStyle name="Untitled7 4 2" xfId="10459"/>
    <cellStyle name="Untitled7 4 2 2" xfId="10460"/>
    <cellStyle name="Untitled7 4 2 2 2" xfId="10461"/>
    <cellStyle name="Untitled7 4 2 2 2 2" xfId="10462"/>
    <cellStyle name="Untitled7 4 2 2 3" xfId="10463"/>
    <cellStyle name="Untitled7 4 2 2 4" xfId="10464"/>
    <cellStyle name="Untitled7 4 2 2 5" xfId="10465"/>
    <cellStyle name="Untitled7 4 2 3" xfId="10466"/>
    <cellStyle name="Untitled7 4 2 3 2" xfId="10467"/>
    <cellStyle name="Untitled7 4 2 3 3" xfId="10468"/>
    <cellStyle name="Untitled7 4 2 4" xfId="10469"/>
    <cellStyle name="Untitled7 4 2 5" xfId="10470"/>
    <cellStyle name="Untitled7 4 2 6" xfId="10471"/>
    <cellStyle name="Untitled7 4 2 7" xfId="10472"/>
    <cellStyle name="Untitled7 4 3" xfId="10473"/>
    <cellStyle name="Untitled7 4 3 2" xfId="10474"/>
    <cellStyle name="Untitled7 4 3 3" xfId="10475"/>
    <cellStyle name="Untitled7 4 3 4" xfId="10476"/>
    <cellStyle name="Untitled7 4 4" xfId="10477"/>
    <cellStyle name="Untitled7 4 4 2" xfId="10478"/>
    <cellStyle name="Untitled7 4 4 3" xfId="10479"/>
    <cellStyle name="Untitled7 4 5" xfId="10480"/>
    <cellStyle name="Untitled7 4 6" xfId="10481"/>
    <cellStyle name="Untitled7 4 7" xfId="10482"/>
    <cellStyle name="Untitled7 4 8" xfId="10483"/>
    <cellStyle name="Untitled7 5" xfId="10484"/>
    <cellStyle name="Untitled7 5 2" xfId="10485"/>
    <cellStyle name="Untitled7 5 3" xfId="10486"/>
    <cellStyle name="Untitled7 5 4" xfId="10487"/>
    <cellStyle name="Untitled7 6" xfId="10488"/>
    <cellStyle name="Untitled7 6 2" xfId="10489"/>
    <cellStyle name="Untitled7 6 3" xfId="10490"/>
    <cellStyle name="Untitled7 7" xfId="10491"/>
    <cellStyle name="Untitled7 8" xfId="10492"/>
    <cellStyle name="Untitled7 9" xfId="10493"/>
    <cellStyle name="Untitled8" xfId="10494"/>
    <cellStyle name="Untitled8 2" xfId="10495"/>
    <cellStyle name="Untitled8 2 2" xfId="10496"/>
    <cellStyle name="Untitled8 2 2 2" xfId="10497"/>
    <cellStyle name="Untitled8 2 2 2 2" xfId="10498"/>
    <cellStyle name="Untitled8 2 2 2 2 2" xfId="10499"/>
    <cellStyle name="Untitled8 2 2 2 3" xfId="10500"/>
    <cellStyle name="Untitled8 2 2 2 4" xfId="10501"/>
    <cellStyle name="Untitled8 2 2 2 5" xfId="10502"/>
    <cellStyle name="Untitled8 2 2 3" xfId="10503"/>
    <cellStyle name="Untitled8 2 2 3 2" xfId="10504"/>
    <cellStyle name="Untitled8 2 2 3 3" xfId="10505"/>
    <cellStyle name="Untitled8 2 2 4" xfId="10506"/>
    <cellStyle name="Untitled8 2 2 5" xfId="10507"/>
    <cellStyle name="Untitled8 2 2 6" xfId="10508"/>
    <cellStyle name="Untitled8 2 2 7" xfId="10509"/>
    <cellStyle name="Untitled8 2 3" xfId="10510"/>
    <cellStyle name="Untitled8 2 3 2" xfId="10511"/>
    <cellStyle name="Untitled8 2 3 3" xfId="10512"/>
    <cellStyle name="Untitled8 2 3 4" xfId="10513"/>
    <cellStyle name="Untitled8 2 4" xfId="10514"/>
    <cellStyle name="Untitled8 2 4 2" xfId="10515"/>
    <cellStyle name="Untitled8 2 4 3" xfId="10516"/>
    <cellStyle name="Untitled8 2 5" xfId="10517"/>
    <cellStyle name="Untitled8 2 6" xfId="10518"/>
    <cellStyle name="Untitled8 2 7" xfId="10519"/>
    <cellStyle name="Untitled8 2 8" xfId="10520"/>
    <cellStyle name="Untitled8 3" xfId="10521"/>
    <cellStyle name="Untitled8 3 2" xfId="10522"/>
    <cellStyle name="Untitled8 3 2 2" xfId="10523"/>
    <cellStyle name="Untitled8 3 2 3" xfId="10524"/>
    <cellStyle name="Untitled8 3 2 4" xfId="10525"/>
    <cellStyle name="Untitled8 3 3" xfId="10526"/>
    <cellStyle name="Untitled8 3 3 2" xfId="10527"/>
    <cellStyle name="Untitled8 3 3 3" xfId="10528"/>
    <cellStyle name="Untitled8 3 4" xfId="10529"/>
    <cellStyle name="Untitled8 3 5" xfId="10530"/>
    <cellStyle name="Untitled8 3 6" xfId="10531"/>
    <cellStyle name="Untitled8 4" xfId="10532"/>
    <cellStyle name="Untitled8 4 2" xfId="10533"/>
    <cellStyle name="Untitled8 4 2 2" xfId="10534"/>
    <cellStyle name="Untitled8 4 2 2 2" xfId="10535"/>
    <cellStyle name="Untitled8 4 2 2 2 2" xfId="10536"/>
    <cellStyle name="Untitled8 4 2 2 3" xfId="10537"/>
    <cellStyle name="Untitled8 4 2 2 4" xfId="10538"/>
    <cellStyle name="Untitled8 4 2 2 5" xfId="10539"/>
    <cellStyle name="Untitled8 4 2 3" xfId="10540"/>
    <cellStyle name="Untitled8 4 2 3 2" xfId="10541"/>
    <cellStyle name="Untitled8 4 2 3 3" xfId="10542"/>
    <cellStyle name="Untitled8 4 2 4" xfId="10543"/>
    <cellStyle name="Untitled8 4 2 5" xfId="10544"/>
    <cellStyle name="Untitled8 4 2 6" xfId="10545"/>
    <cellStyle name="Untitled8 4 2 7" xfId="10546"/>
    <cellStyle name="Untitled8 4 3" xfId="10547"/>
    <cellStyle name="Untitled8 4 3 2" xfId="10548"/>
    <cellStyle name="Untitled8 4 3 3" xfId="10549"/>
    <cellStyle name="Untitled8 4 3 4" xfId="10550"/>
    <cellStyle name="Untitled8 4 4" xfId="10551"/>
    <cellStyle name="Untitled8 4 4 2" xfId="10552"/>
    <cellStyle name="Untitled8 4 4 3" xfId="10553"/>
    <cellStyle name="Untitled8 4 5" xfId="10554"/>
    <cellStyle name="Untitled8 4 6" xfId="10555"/>
    <cellStyle name="Untitled8 4 7" xfId="10556"/>
    <cellStyle name="Untitled8 4 8" xfId="10557"/>
    <cellStyle name="Untitled8 5" xfId="10558"/>
    <cellStyle name="Untitled8 5 2" xfId="10559"/>
    <cellStyle name="Untitled8 5 3" xfId="10560"/>
    <cellStyle name="Untitled8 5 4" xfId="10561"/>
    <cellStyle name="Untitled8 6" xfId="10562"/>
    <cellStyle name="Untitled8 6 2" xfId="10563"/>
    <cellStyle name="Untitled8 6 3" xfId="10564"/>
    <cellStyle name="Untitled8 7" xfId="10565"/>
    <cellStyle name="Untitled8 8" xfId="10566"/>
    <cellStyle name="Untitled8 9" xfId="10567"/>
    <cellStyle name="Untitled9" xfId="10568"/>
    <cellStyle name="Untitled9 2" xfId="10569"/>
    <cellStyle name="Untitled9 2 2" xfId="10570"/>
    <cellStyle name="Untitled9 2 2 2" xfId="10571"/>
    <cellStyle name="Untitled9 2 2 3" xfId="10572"/>
    <cellStyle name="Untitled9 2 3" xfId="10573"/>
    <cellStyle name="Untitled9 2 4" xfId="10574"/>
    <cellStyle name="Untitled9 2 5" xfId="10575"/>
    <cellStyle name="Untitled9 3" xfId="10576"/>
    <cellStyle name="Untitled9 3 2" xfId="10577"/>
    <cellStyle name="Untitled9 3 3" xfId="10578"/>
    <cellStyle name="Untitled9 4" xfId="10579"/>
    <cellStyle name="Untitled9 4 2" xfId="10580"/>
    <cellStyle name="Untitled9 4 3" xfId="10581"/>
    <cellStyle name="Untitled9 5" xfId="10582"/>
    <cellStyle name="Untitled9 6" xfId="10583"/>
    <cellStyle name="Untitled9 7" xfId="10584"/>
    <cellStyle name="Warning Text 2" xfId="10585"/>
    <cellStyle name="Warning Text 2 2" xfId="10586"/>
    <cellStyle name="Warning Text 2 2 2" xfId="10587"/>
    <cellStyle name="Warning Text 2 2 2 2" xfId="10588"/>
    <cellStyle name="Warning Text 2 2 2 3" xfId="10589"/>
    <cellStyle name="Warning Text 2 2 2 4" xfId="10590"/>
    <cellStyle name="Warning Text 2 2 3" xfId="10591"/>
    <cellStyle name="Warning Text 2 2 4" xfId="10592"/>
    <cellStyle name="Warning Text 2 2 5" xfId="10593"/>
    <cellStyle name="Warning Text 2 3" xfId="10594"/>
    <cellStyle name="Warning Text 2 3 2" xfId="10595"/>
    <cellStyle name="Warning Text 2 3 2 2" xfId="10596"/>
    <cellStyle name="Warning Text 2 3 2 3" xfId="10597"/>
    <cellStyle name="Warning Text 2 3 2 4" xfId="10598"/>
    <cellStyle name="Warning Text 2 3 3" xfId="10599"/>
    <cellStyle name="Warning Text 2 3 3 2" xfId="10600"/>
    <cellStyle name="Warning Text 2 3 3 3" xfId="10601"/>
    <cellStyle name="Warning Text 2 3 4" xfId="10602"/>
    <cellStyle name="Warning Text 2 3 5" xfId="10603"/>
    <cellStyle name="Warning Text 2 3 6" xfId="10604"/>
    <cellStyle name="Warning Text 2 4" xfId="10605"/>
    <cellStyle name="Warning Text 2 4 2" xfId="10606"/>
    <cellStyle name="Warning Text 2 4 3" xfId="10607"/>
    <cellStyle name="Warning Text 2 5" xfId="10608"/>
    <cellStyle name="Warning Text 2 6" xfId="10609"/>
    <cellStyle name="Warning Text 2 7" xfId="10610"/>
    <cellStyle name="Warning Text 2 8" xfId="10611"/>
    <cellStyle name="Warning Text 3" xfId="10612"/>
    <cellStyle name="Warning Text 3 2" xfId="10613"/>
    <cellStyle name="Warning Text 3 2 2" xfId="10614"/>
    <cellStyle name="Warning Text 3 2 2 2" xfId="10615"/>
    <cellStyle name="Warning Text 3 2 2 2 2" xfId="10616"/>
    <cellStyle name="Warning Text 3 2 2 3" xfId="10617"/>
    <cellStyle name="Warning Text 3 2 3" xfId="10618"/>
    <cellStyle name="Warning Text 3 3" xfId="10619"/>
    <cellStyle name="Warning Text 4" xfId="10620"/>
    <cellStyle name="Warning Text 4 2" xfId="10621"/>
    <cellStyle name="Warning Text 4 2 2" xfId="10622"/>
    <cellStyle name="Warning Text 4 3" xfId="10623"/>
    <cellStyle name="Warning Text 5" xfId="10624"/>
    <cellStyle name="Warning Text 6" xfId="10625"/>
    <cellStyle name="常规 2" xfId="10626"/>
    <cellStyle name="常规 2 10" xfId="10627"/>
    <cellStyle name="常规 2 11" xfId="10628"/>
    <cellStyle name="常规 2 2" xfId="10629"/>
    <cellStyle name="常规 2 2 10" xfId="10630"/>
    <cellStyle name="常规 2 2 11" xfId="10631"/>
    <cellStyle name="常规 2 2 2" xfId="10632"/>
    <cellStyle name="常规 2 2 2 2" xfId="10633"/>
    <cellStyle name="常规 2 2 2 2 2" xfId="10634"/>
    <cellStyle name="常规 2 2 2 2 2 2" xfId="10635"/>
    <cellStyle name="常规 2 2 2 2 2 2 2" xfId="10636"/>
    <cellStyle name="常规 2 2 2 2 2 3" xfId="10637"/>
    <cellStyle name="常规 2 2 2 2 2 4" xfId="10638"/>
    <cellStyle name="常规 2 2 2 2 2 5" xfId="10639"/>
    <cellStyle name="常规 2 2 2 2 3" xfId="10640"/>
    <cellStyle name="常规 2 2 2 2 3 2" xfId="10641"/>
    <cellStyle name="常规 2 2 2 2 3 2 2" xfId="10642"/>
    <cellStyle name="常规 2 2 2 2 3 2 3" xfId="10643"/>
    <cellStyle name="常规 2 2 2 2 3 2 4" xfId="10644"/>
    <cellStyle name="常规 2 2 2 2 3 3" xfId="10645"/>
    <cellStyle name="常规 2 2 2 2 3 3 2" xfId="10646"/>
    <cellStyle name="常规 2 2 2 2 3 3 3" xfId="10647"/>
    <cellStyle name="常规 2 2 2 2 3 4" xfId="10648"/>
    <cellStyle name="常规 2 2 2 2 3 5" xfId="10649"/>
    <cellStyle name="常规 2 2 2 2 3 6" xfId="10650"/>
    <cellStyle name="常规 2 2 2 2 4" xfId="10651"/>
    <cellStyle name="常规 2 2 2 2 4 2" xfId="10652"/>
    <cellStyle name="常规 2 2 2 2 4 3" xfId="10653"/>
    <cellStyle name="常规 2 2 2 2 4 4" xfId="10654"/>
    <cellStyle name="常规 2 2 2 2 5" xfId="10655"/>
    <cellStyle name="常规 2 2 2 2 5 2" xfId="10656"/>
    <cellStyle name="常规 2 2 2 2 5 3" xfId="10657"/>
    <cellStyle name="常规 2 2 2 2 6" xfId="10658"/>
    <cellStyle name="常规 2 2 2 2 7" xfId="10659"/>
    <cellStyle name="常规 2 2 2 2 8" xfId="10660"/>
    <cellStyle name="常规 2 2 2 3" xfId="10661"/>
    <cellStyle name="常规 2 2 2 3 2" xfId="10662"/>
    <cellStyle name="常规 2 2 2 3 2 2" xfId="10663"/>
    <cellStyle name="常规 2 2 2 3 2 3" xfId="10664"/>
    <cellStyle name="常规 2 2 2 3 2 4" xfId="10665"/>
    <cellStyle name="常规 2 2 2 3 3" xfId="10666"/>
    <cellStyle name="常规 2 2 2 3 3 2" xfId="10667"/>
    <cellStyle name="常规 2 2 2 3 3 3" xfId="10668"/>
    <cellStyle name="常规 2 2 2 3 4" xfId="10669"/>
    <cellStyle name="常规 2 2 2 3 5" xfId="10670"/>
    <cellStyle name="常规 2 2 2 3 6" xfId="10671"/>
    <cellStyle name="常规 2 2 2 4" xfId="10672"/>
    <cellStyle name="常规 2 2 2 4 2" xfId="10673"/>
    <cellStyle name="常规 2 2 2 4 2 2" xfId="10674"/>
    <cellStyle name="常规 2 2 2 4 2 2 2" xfId="10675"/>
    <cellStyle name="常规 2 2 2 4 2 2 3" xfId="10676"/>
    <cellStyle name="常规 2 2 2 4 2 3" xfId="10677"/>
    <cellStyle name="常规 2 2 2 4 2 4" xfId="10678"/>
    <cellStyle name="常规 2 2 2 4 2 5" xfId="10679"/>
    <cellStyle name="常规 2 2 2 4 3" xfId="10680"/>
    <cellStyle name="常规 2 2 2 4 3 2" xfId="10681"/>
    <cellStyle name="常规 2 2 2 4 3 3" xfId="10682"/>
    <cellStyle name="常规 2 2 2 4 4" xfId="10683"/>
    <cellStyle name="常规 2 2 2 4 5" xfId="10684"/>
    <cellStyle name="常规 2 2 2 4 6" xfId="10685"/>
    <cellStyle name="常规 2 2 2 5" xfId="10686"/>
    <cellStyle name="常规 2 2 2 5 2" xfId="10687"/>
    <cellStyle name="常规 2 2 2 5 3" xfId="10688"/>
    <cellStyle name="常规 2 2 2 5 4" xfId="10689"/>
    <cellStyle name="常规 2 2 2 6" xfId="10690"/>
    <cellStyle name="常规 2 2 2 6 2" xfId="10691"/>
    <cellStyle name="常规 2 2 2 6 3" xfId="10692"/>
    <cellStyle name="常规 2 2 2 7" xfId="10693"/>
    <cellStyle name="常规 2 2 2 8" xfId="10694"/>
    <cellStyle name="常规 2 2 2 9" xfId="10695"/>
    <cellStyle name="常规 2 2 3" xfId="10696"/>
    <cellStyle name="常规 2 2 3 10" xfId="10697"/>
    <cellStyle name="常规 2 2 3 2" xfId="10698"/>
    <cellStyle name="常规 2 2 3 2 2" xfId="10699"/>
    <cellStyle name="常规 2 2 3 2 2 2" xfId="10700"/>
    <cellStyle name="常规 2 2 3 2 2 2 2" xfId="10701"/>
    <cellStyle name="常规 2 2 3 2 2 2 2 2" xfId="10702"/>
    <cellStyle name="常规 2 2 3 2 2 2 3" xfId="10703"/>
    <cellStyle name="常规 2 2 3 2 2 2 4" xfId="10704"/>
    <cellStyle name="常规 2 2 3 2 2 2 5" xfId="10705"/>
    <cellStyle name="常规 2 2 3 2 2 3" xfId="10706"/>
    <cellStyle name="常规 2 2 3 2 2 3 2" xfId="10707"/>
    <cellStyle name="常规 2 2 3 2 2 3 2 2" xfId="10708"/>
    <cellStyle name="常规 2 2 3 2 2 3 2 3" xfId="10709"/>
    <cellStyle name="常规 2 2 3 2 2 3 2 4" xfId="10710"/>
    <cellStyle name="常规 2 2 3 2 2 3 3" xfId="10711"/>
    <cellStyle name="常规 2 2 3 2 2 3 3 2" xfId="10712"/>
    <cellStyle name="常规 2 2 3 2 2 3 3 3" xfId="10713"/>
    <cellStyle name="常规 2 2 3 2 2 3 4" xfId="10714"/>
    <cellStyle name="常规 2 2 3 2 2 3 5" xfId="10715"/>
    <cellStyle name="常规 2 2 3 2 2 3 6" xfId="10716"/>
    <cellStyle name="常规 2 2 3 2 2 4" xfId="10717"/>
    <cellStyle name="常规 2 2 3 2 2 4 2" xfId="10718"/>
    <cellStyle name="常规 2 2 3 2 2 4 3" xfId="10719"/>
    <cellStyle name="常规 2 2 3 2 2 4 4" xfId="10720"/>
    <cellStyle name="常规 2 2 3 2 2 5" xfId="10721"/>
    <cellStyle name="常规 2 2 3 2 2 5 2" xfId="10722"/>
    <cellStyle name="常规 2 2 3 2 2 5 3" xfId="10723"/>
    <cellStyle name="常规 2 2 3 2 2 6" xfId="10724"/>
    <cellStyle name="常规 2 2 3 2 2 7" xfId="10725"/>
    <cellStyle name="常规 2 2 3 2 2 8" xfId="10726"/>
    <cellStyle name="常规 2 2 3 2 3" xfId="10727"/>
    <cellStyle name="常规 2 2 3 2 3 2" xfId="10728"/>
    <cellStyle name="常规 2 2 3 2 3 2 2" xfId="10729"/>
    <cellStyle name="常规 2 2 3 2 3 2 3" xfId="10730"/>
    <cellStyle name="常规 2 2 3 2 3 2 4" xfId="10731"/>
    <cellStyle name="常规 2 2 3 2 3 3" xfId="10732"/>
    <cellStyle name="常规 2 2 3 2 3 3 2" xfId="10733"/>
    <cellStyle name="常规 2 2 3 2 3 3 3" xfId="10734"/>
    <cellStyle name="常规 2 2 3 2 3 4" xfId="10735"/>
    <cellStyle name="常规 2 2 3 2 3 5" xfId="10736"/>
    <cellStyle name="常规 2 2 3 2 3 6" xfId="10737"/>
    <cellStyle name="常规 2 2 3 2 4" xfId="10738"/>
    <cellStyle name="常规 2 2 3 2 4 2" xfId="10739"/>
    <cellStyle name="常规 2 2 3 2 4 2 2" xfId="10740"/>
    <cellStyle name="常规 2 2 3 2 4 2 2 2" xfId="10741"/>
    <cellStyle name="常规 2 2 3 2 4 2 2 3" xfId="10742"/>
    <cellStyle name="常规 2 2 3 2 4 2 3" xfId="10743"/>
    <cellStyle name="常规 2 2 3 2 4 2 4" xfId="10744"/>
    <cellStyle name="常规 2 2 3 2 4 2 5" xfId="10745"/>
    <cellStyle name="常规 2 2 3 2 4 3" xfId="10746"/>
    <cellStyle name="常规 2 2 3 2 4 3 2" xfId="10747"/>
    <cellStyle name="常规 2 2 3 2 4 3 3" xfId="10748"/>
    <cellStyle name="常规 2 2 3 2 4 4" xfId="10749"/>
    <cellStyle name="常规 2 2 3 2 4 5" xfId="10750"/>
    <cellStyle name="常规 2 2 3 2 4 6" xfId="10751"/>
    <cellStyle name="常规 2 2 3 2 5" xfId="10752"/>
    <cellStyle name="常规 2 2 3 2 5 2" xfId="10753"/>
    <cellStyle name="常规 2 2 3 2 5 3" xfId="10754"/>
    <cellStyle name="常规 2 2 3 2 5 4" xfId="10755"/>
    <cellStyle name="常规 2 2 3 2 6" xfId="10756"/>
    <cellStyle name="常规 2 2 3 2 6 2" xfId="10757"/>
    <cellStyle name="常规 2 2 3 2 6 3" xfId="10758"/>
    <cellStyle name="常规 2 2 3 2 7" xfId="10759"/>
    <cellStyle name="常规 2 2 3 2 8" xfId="10760"/>
    <cellStyle name="常规 2 2 3 2 9" xfId="10761"/>
    <cellStyle name="常规 2 2 3 3" xfId="10762"/>
    <cellStyle name="常规 2 2 3 3 2" xfId="10763"/>
    <cellStyle name="常规 2 2 3 3 2 2" xfId="10764"/>
    <cellStyle name="常规 2 2 3 3 2 2 2" xfId="10765"/>
    <cellStyle name="常规 2 2 3 3 2 3" xfId="10766"/>
    <cellStyle name="常规 2 2 3 3 2 4" xfId="10767"/>
    <cellStyle name="常规 2 2 3 3 2 5" xfId="10768"/>
    <cellStyle name="常规 2 2 3 3 3" xfId="10769"/>
    <cellStyle name="常规 2 2 3 3 3 2" xfId="10770"/>
    <cellStyle name="常规 2 2 3 3 3 2 2" xfId="10771"/>
    <cellStyle name="常规 2 2 3 3 3 2 3" xfId="10772"/>
    <cellStyle name="常规 2 2 3 3 3 2 4" xfId="10773"/>
    <cellStyle name="常规 2 2 3 3 3 3" xfId="10774"/>
    <cellStyle name="常规 2 2 3 3 3 3 2" xfId="10775"/>
    <cellStyle name="常规 2 2 3 3 3 3 3" xfId="10776"/>
    <cellStyle name="常规 2 2 3 3 3 4" xfId="10777"/>
    <cellStyle name="常规 2 2 3 3 3 5" xfId="10778"/>
    <cellStyle name="常规 2 2 3 3 3 6" xfId="10779"/>
    <cellStyle name="常规 2 2 3 3 4" xfId="10780"/>
    <cellStyle name="常规 2 2 3 3 4 2" xfId="10781"/>
    <cellStyle name="常规 2 2 3 3 4 3" xfId="10782"/>
    <cellStyle name="常规 2 2 3 3 4 4" xfId="10783"/>
    <cellStyle name="常规 2 2 3 3 5" xfId="10784"/>
    <cellStyle name="常规 2 2 3 3 5 2" xfId="10785"/>
    <cellStyle name="常规 2 2 3 3 5 3" xfId="10786"/>
    <cellStyle name="常规 2 2 3 3 6" xfId="10787"/>
    <cellStyle name="常规 2 2 3 3 7" xfId="10788"/>
    <cellStyle name="常规 2 2 3 3 8" xfId="10789"/>
    <cellStyle name="常规 2 2 3 4" xfId="10790"/>
    <cellStyle name="常规 2 2 3 4 2" xfId="10791"/>
    <cellStyle name="常规 2 2 3 4 2 2" xfId="10792"/>
    <cellStyle name="常规 2 2 3 4 2 3" xfId="10793"/>
    <cellStyle name="常规 2 2 3 4 2 4" xfId="10794"/>
    <cellStyle name="常规 2 2 3 4 3" xfId="10795"/>
    <cellStyle name="常规 2 2 3 4 3 2" xfId="10796"/>
    <cellStyle name="常规 2 2 3 4 3 3" xfId="10797"/>
    <cellStyle name="常规 2 2 3 4 4" xfId="10798"/>
    <cellStyle name="常规 2 2 3 4 5" xfId="10799"/>
    <cellStyle name="常规 2 2 3 4 6" xfId="10800"/>
    <cellStyle name="常规 2 2 3 5" xfId="10801"/>
    <cellStyle name="常规 2 2 3 5 2" xfId="10802"/>
    <cellStyle name="常规 2 2 3 5 2 2" xfId="10803"/>
    <cellStyle name="常规 2 2 3 5 2 2 2" xfId="10804"/>
    <cellStyle name="常规 2 2 3 5 2 2 3" xfId="10805"/>
    <cellStyle name="常规 2 2 3 5 2 3" xfId="10806"/>
    <cellStyle name="常规 2 2 3 5 2 4" xfId="10807"/>
    <cellStyle name="常规 2 2 3 5 2 5" xfId="10808"/>
    <cellStyle name="常规 2 2 3 5 3" xfId="10809"/>
    <cellStyle name="常规 2 2 3 5 3 2" xfId="10810"/>
    <cellStyle name="常规 2 2 3 5 3 3" xfId="10811"/>
    <cellStyle name="常规 2 2 3 5 4" xfId="10812"/>
    <cellStyle name="常规 2 2 3 5 5" xfId="10813"/>
    <cellStyle name="常规 2 2 3 5 6" xfId="10814"/>
    <cellStyle name="常规 2 2 3 6" xfId="10815"/>
    <cellStyle name="常规 2 2 3 6 2" xfId="10816"/>
    <cellStyle name="常规 2 2 3 6 3" xfId="10817"/>
    <cellStyle name="常规 2 2 3 6 4" xfId="10818"/>
    <cellStyle name="常规 2 2 3 7" xfId="10819"/>
    <cellStyle name="常规 2 2 3 7 2" xfId="10820"/>
    <cellStyle name="常规 2 2 3 7 3" xfId="10821"/>
    <cellStyle name="常规 2 2 3 8" xfId="10822"/>
    <cellStyle name="常规 2 2 3 9" xfId="10823"/>
    <cellStyle name="常规 2 2 4" xfId="10824"/>
    <cellStyle name="常规 2 2 4 2" xfId="10825"/>
    <cellStyle name="常规 2 2 4 2 2" xfId="10826"/>
    <cellStyle name="常规 2 2 4 2 2 2" xfId="10827"/>
    <cellStyle name="常规 2 2 4 2 3" xfId="10828"/>
    <cellStyle name="常规 2 2 4 2 4" xfId="10829"/>
    <cellStyle name="常规 2 2 4 2 5" xfId="10830"/>
    <cellStyle name="常规 2 2 4 3" xfId="10831"/>
    <cellStyle name="常规 2 2 4 3 2" xfId="10832"/>
    <cellStyle name="常规 2 2 4 3 2 2" xfId="10833"/>
    <cellStyle name="常规 2 2 4 3 2 3" xfId="10834"/>
    <cellStyle name="常规 2 2 4 3 2 4" xfId="10835"/>
    <cellStyle name="常规 2 2 4 3 3" xfId="10836"/>
    <cellStyle name="常规 2 2 4 3 3 2" xfId="10837"/>
    <cellStyle name="常规 2 2 4 3 3 3" xfId="10838"/>
    <cellStyle name="常规 2 2 4 3 4" xfId="10839"/>
    <cellStyle name="常规 2 2 4 3 5" xfId="10840"/>
    <cellStyle name="常规 2 2 4 3 6" xfId="10841"/>
    <cellStyle name="常规 2 2 4 4" xfId="10842"/>
    <cellStyle name="常规 2 2 4 4 2" xfId="10843"/>
    <cellStyle name="常规 2 2 4 4 3" xfId="10844"/>
    <cellStyle name="常规 2 2 4 4 4" xfId="10845"/>
    <cellStyle name="常规 2 2 4 5" xfId="10846"/>
    <cellStyle name="常规 2 2 4 5 2" xfId="10847"/>
    <cellStyle name="常规 2 2 4 5 3" xfId="10848"/>
    <cellStyle name="常规 2 2 4 6" xfId="10849"/>
    <cellStyle name="常规 2 2 4 7" xfId="10850"/>
    <cellStyle name="常规 2 2 4 8" xfId="10851"/>
    <cellStyle name="常规 2 2 5" xfId="10852"/>
    <cellStyle name="常规 2 2 5 2" xfId="10853"/>
    <cellStyle name="常规 2 2 5 2 2" xfId="10854"/>
    <cellStyle name="常规 2 2 5 2 3" xfId="10855"/>
    <cellStyle name="常规 2 2 5 2 4" xfId="10856"/>
    <cellStyle name="常规 2 2 5 3" xfId="10857"/>
    <cellStyle name="常规 2 2 5 3 2" xfId="10858"/>
    <cellStyle name="常规 2 2 5 3 3" xfId="10859"/>
    <cellStyle name="常规 2 2 5 4" xfId="10860"/>
    <cellStyle name="常规 2 2 5 5" xfId="10861"/>
    <cellStyle name="常规 2 2 5 6" xfId="10862"/>
    <cellStyle name="常规 2 2 6" xfId="10863"/>
    <cellStyle name="常规 2 2 6 2" xfId="10864"/>
    <cellStyle name="常规 2 2 6 2 2" xfId="10865"/>
    <cellStyle name="常规 2 2 6 2 2 2" xfId="10866"/>
    <cellStyle name="常规 2 2 6 2 2 3" xfId="10867"/>
    <cellStyle name="常规 2 2 6 2 3" xfId="10868"/>
    <cellStyle name="常规 2 2 6 2 4" xfId="10869"/>
    <cellStyle name="常规 2 2 6 2 5" xfId="10870"/>
    <cellStyle name="常规 2 2 6 3" xfId="10871"/>
    <cellStyle name="常规 2 2 6 3 2" xfId="10872"/>
    <cellStyle name="常规 2 2 6 3 3" xfId="10873"/>
    <cellStyle name="常规 2 2 6 4" xfId="10874"/>
    <cellStyle name="常规 2 2 6 5" xfId="10875"/>
    <cellStyle name="常规 2 2 6 6" xfId="10876"/>
    <cellStyle name="常规 2 2 7" xfId="10877"/>
    <cellStyle name="常规 2 2 7 2" xfId="10878"/>
    <cellStyle name="常规 2 2 7 3" xfId="10879"/>
    <cellStyle name="常规 2 2 7 4" xfId="10880"/>
    <cellStyle name="常规 2 2 8" xfId="10881"/>
    <cellStyle name="常规 2 2 8 2" xfId="10882"/>
    <cellStyle name="常规 2 2 8 3" xfId="10883"/>
    <cellStyle name="常规 2 2 9" xfId="10884"/>
    <cellStyle name="常规 2 2_CG_RL78F13_F14_TestSpec&amp;Reporta" xfId="10885"/>
    <cellStyle name="常规 2 3" xfId="10886"/>
    <cellStyle name="常规 2 3 10" xfId="10887"/>
    <cellStyle name="常规 2 3 2" xfId="10888"/>
    <cellStyle name="常规 2 3 2 2" xfId="10889"/>
    <cellStyle name="常规 2 3 2 2 2" xfId="10890"/>
    <cellStyle name="常规 2 3 2 2 2 2" xfId="10891"/>
    <cellStyle name="常规 2 3 2 2 2 2 2" xfId="10892"/>
    <cellStyle name="常规 2 3 2 2 2 3" xfId="10893"/>
    <cellStyle name="常规 2 3 2 2 2 4" xfId="10894"/>
    <cellStyle name="常规 2 3 2 2 2 5" xfId="10895"/>
    <cellStyle name="常规 2 3 2 2 3" xfId="10896"/>
    <cellStyle name="常规 2 3 2 2 3 2" xfId="10897"/>
    <cellStyle name="常规 2 3 2 2 3 2 2" xfId="10898"/>
    <cellStyle name="常规 2 3 2 2 3 2 3" xfId="10899"/>
    <cellStyle name="常规 2 3 2 2 3 2 4" xfId="10900"/>
    <cellStyle name="常规 2 3 2 2 3 3" xfId="10901"/>
    <cellStyle name="常规 2 3 2 2 3 3 2" xfId="10902"/>
    <cellStyle name="常规 2 3 2 2 3 3 3" xfId="10903"/>
    <cellStyle name="常规 2 3 2 2 3 4" xfId="10904"/>
    <cellStyle name="常规 2 3 2 2 3 5" xfId="10905"/>
    <cellStyle name="常规 2 3 2 2 3 6" xfId="10906"/>
    <cellStyle name="常规 2 3 2 2 4" xfId="10907"/>
    <cellStyle name="常规 2 3 2 2 4 2" xfId="10908"/>
    <cellStyle name="常规 2 3 2 2 4 3" xfId="10909"/>
    <cellStyle name="常规 2 3 2 2 4 4" xfId="10910"/>
    <cellStyle name="常规 2 3 2 2 5" xfId="10911"/>
    <cellStyle name="常规 2 3 2 2 5 2" xfId="10912"/>
    <cellStyle name="常规 2 3 2 2 5 3" xfId="10913"/>
    <cellStyle name="常规 2 3 2 2 6" xfId="10914"/>
    <cellStyle name="常规 2 3 2 2 7" xfId="10915"/>
    <cellStyle name="常规 2 3 2 2 8" xfId="10916"/>
    <cellStyle name="常规 2 3 2 3" xfId="10917"/>
    <cellStyle name="常规 2 3 2 3 2" xfId="10918"/>
    <cellStyle name="常规 2 3 2 3 2 2" xfId="10919"/>
    <cellStyle name="常规 2 3 2 3 2 3" xfId="10920"/>
    <cellStyle name="常规 2 3 2 3 2 4" xfId="10921"/>
    <cellStyle name="常规 2 3 2 3 3" xfId="10922"/>
    <cellStyle name="常规 2 3 2 3 3 2" xfId="10923"/>
    <cellStyle name="常规 2 3 2 3 3 3" xfId="10924"/>
    <cellStyle name="常规 2 3 2 3 4" xfId="10925"/>
    <cellStyle name="常规 2 3 2 3 5" xfId="10926"/>
    <cellStyle name="常规 2 3 2 3 6" xfId="10927"/>
    <cellStyle name="常规 2 3 2 4" xfId="10928"/>
    <cellStyle name="常规 2 3 2 4 2" xfId="10929"/>
    <cellStyle name="常规 2 3 2 4 2 2" xfId="10930"/>
    <cellStyle name="常规 2 3 2 4 2 2 2" xfId="10931"/>
    <cellStyle name="常规 2 3 2 4 2 2 3" xfId="10932"/>
    <cellStyle name="常规 2 3 2 4 2 3" xfId="10933"/>
    <cellStyle name="常规 2 3 2 4 2 4" xfId="10934"/>
    <cellStyle name="常规 2 3 2 4 2 5" xfId="10935"/>
    <cellStyle name="常规 2 3 2 4 3" xfId="10936"/>
    <cellStyle name="常规 2 3 2 4 3 2" xfId="10937"/>
    <cellStyle name="常规 2 3 2 4 3 3" xfId="10938"/>
    <cellStyle name="常规 2 3 2 4 4" xfId="10939"/>
    <cellStyle name="常规 2 3 2 4 5" xfId="10940"/>
    <cellStyle name="常规 2 3 2 4 6" xfId="10941"/>
    <cellStyle name="常规 2 3 2 5" xfId="10942"/>
    <cellStyle name="常规 2 3 2 5 2" xfId="10943"/>
    <cellStyle name="常规 2 3 2 5 3" xfId="10944"/>
    <cellStyle name="常规 2 3 2 5 4" xfId="10945"/>
    <cellStyle name="常规 2 3 2 6" xfId="10946"/>
    <cellStyle name="常规 2 3 2 6 2" xfId="10947"/>
    <cellStyle name="常规 2 3 2 6 3" xfId="10948"/>
    <cellStyle name="常规 2 3 2 7" xfId="10949"/>
    <cellStyle name="常规 2 3 2 8" xfId="10950"/>
    <cellStyle name="常规 2 3 2 9" xfId="10951"/>
    <cellStyle name="常规 2 3 3" xfId="10952"/>
    <cellStyle name="常规 2 3 3 2" xfId="10953"/>
    <cellStyle name="常规 2 3 3 2 2" xfId="10954"/>
    <cellStyle name="常规 2 3 3 2 2 2" xfId="10955"/>
    <cellStyle name="常规 2 3 3 2 3" xfId="10956"/>
    <cellStyle name="常规 2 3 3 2 4" xfId="10957"/>
    <cellStyle name="常规 2 3 3 2 5" xfId="10958"/>
    <cellStyle name="常规 2 3 3 3" xfId="10959"/>
    <cellStyle name="常规 2 3 3 3 2" xfId="10960"/>
    <cellStyle name="常规 2 3 3 3 2 2" xfId="10961"/>
    <cellStyle name="常规 2 3 3 3 2 3" xfId="10962"/>
    <cellStyle name="常规 2 3 3 3 2 4" xfId="10963"/>
    <cellStyle name="常规 2 3 3 3 3" xfId="10964"/>
    <cellStyle name="常规 2 3 3 3 3 2" xfId="10965"/>
    <cellStyle name="常规 2 3 3 3 3 3" xfId="10966"/>
    <cellStyle name="常规 2 3 3 3 4" xfId="10967"/>
    <cellStyle name="常规 2 3 3 3 5" xfId="10968"/>
    <cellStyle name="常规 2 3 3 3 6" xfId="10969"/>
    <cellStyle name="常规 2 3 3 4" xfId="10970"/>
    <cellStyle name="常规 2 3 3 4 2" xfId="10971"/>
    <cellStyle name="常规 2 3 3 4 3" xfId="10972"/>
    <cellStyle name="常规 2 3 3 4 4" xfId="10973"/>
    <cellStyle name="常规 2 3 3 5" xfId="10974"/>
    <cellStyle name="常规 2 3 3 5 2" xfId="10975"/>
    <cellStyle name="常规 2 3 3 5 3" xfId="10976"/>
    <cellStyle name="常规 2 3 3 6" xfId="10977"/>
    <cellStyle name="常规 2 3 3 7" xfId="10978"/>
    <cellStyle name="常规 2 3 3 8" xfId="10979"/>
    <cellStyle name="常规 2 3 4" xfId="10980"/>
    <cellStyle name="常规 2 3 4 2" xfId="10981"/>
    <cellStyle name="常规 2 3 4 2 2" xfId="10982"/>
    <cellStyle name="常规 2 3 4 2 3" xfId="10983"/>
    <cellStyle name="常规 2 3 4 2 4" xfId="10984"/>
    <cellStyle name="常规 2 3 4 3" xfId="10985"/>
    <cellStyle name="常规 2 3 4 3 2" xfId="10986"/>
    <cellStyle name="常规 2 3 4 3 3" xfId="10987"/>
    <cellStyle name="常规 2 3 4 4" xfId="10988"/>
    <cellStyle name="常规 2 3 4 5" xfId="10989"/>
    <cellStyle name="常规 2 3 4 6" xfId="10990"/>
    <cellStyle name="常规 2 3 5" xfId="10991"/>
    <cellStyle name="常规 2 3 5 2" xfId="10992"/>
    <cellStyle name="常规 2 3 5 2 2" xfId="10993"/>
    <cellStyle name="常规 2 3 5 2 2 2" xfId="10994"/>
    <cellStyle name="常规 2 3 5 2 2 3" xfId="10995"/>
    <cellStyle name="常规 2 3 5 2 3" xfId="10996"/>
    <cellStyle name="常规 2 3 5 2 4" xfId="10997"/>
    <cellStyle name="常规 2 3 5 2 5" xfId="10998"/>
    <cellStyle name="常规 2 3 5 3" xfId="10999"/>
    <cellStyle name="常规 2 3 5 3 2" xfId="11000"/>
    <cellStyle name="常规 2 3 5 3 3" xfId="11001"/>
    <cellStyle name="常规 2 3 5 4" xfId="11002"/>
    <cellStyle name="常规 2 3 5 5" xfId="11003"/>
    <cellStyle name="常规 2 3 5 6" xfId="11004"/>
    <cellStyle name="常规 2 3 6" xfId="11005"/>
    <cellStyle name="常规 2 3 6 2" xfId="11006"/>
    <cellStyle name="常规 2 3 6 3" xfId="11007"/>
    <cellStyle name="常规 2 3 6 4" xfId="11008"/>
    <cellStyle name="常规 2 3 7" xfId="11009"/>
    <cellStyle name="常规 2 3 7 2" xfId="11010"/>
    <cellStyle name="常规 2 3 7 3" xfId="11011"/>
    <cellStyle name="常规 2 3 8" xfId="11012"/>
    <cellStyle name="常规 2 3 9" xfId="11013"/>
    <cellStyle name="常规 2 4" xfId="11014"/>
    <cellStyle name="常规 2 4 2" xfId="11015"/>
    <cellStyle name="常规 2 4 2 2" xfId="11016"/>
    <cellStyle name="常规 2 4 2 2 2" xfId="11017"/>
    <cellStyle name="常规 2 4 2 3" xfId="11018"/>
    <cellStyle name="常规 2 4 2 4" xfId="11019"/>
    <cellStyle name="常规 2 4 2 5" xfId="11020"/>
    <cellStyle name="常规 2 4 3" xfId="11021"/>
    <cellStyle name="常规 2 4 3 2" xfId="11022"/>
    <cellStyle name="常规 2 4 3 2 2" xfId="11023"/>
    <cellStyle name="常规 2 4 3 2 3" xfId="11024"/>
    <cellStyle name="常规 2 4 3 2 4" xfId="11025"/>
    <cellStyle name="常规 2 4 3 3" xfId="11026"/>
    <cellStyle name="常规 2 4 3 3 2" xfId="11027"/>
    <cellStyle name="常规 2 4 3 3 3" xfId="11028"/>
    <cellStyle name="常规 2 4 3 4" xfId="11029"/>
    <cellStyle name="常规 2 4 3 5" xfId="11030"/>
    <cellStyle name="常规 2 4 3 6" xfId="11031"/>
    <cellStyle name="常规 2 4 4" xfId="11032"/>
    <cellStyle name="常规 2 4 4 2" xfId="11033"/>
    <cellStyle name="常规 2 4 4 3" xfId="11034"/>
    <cellStyle name="常规 2 4 4 4" xfId="11035"/>
    <cellStyle name="常规 2 4 5" xfId="11036"/>
    <cellStyle name="常规 2 4 5 2" xfId="11037"/>
    <cellStyle name="常规 2 4 5 3" xfId="11038"/>
    <cellStyle name="常规 2 4 6" xfId="11039"/>
    <cellStyle name="常规 2 4 7" xfId="11040"/>
    <cellStyle name="常规 2 4 8" xfId="11041"/>
    <cellStyle name="常规 2 5" xfId="11042"/>
    <cellStyle name="常规 2 5 2" xfId="11043"/>
    <cellStyle name="常规 2 5 2 2" xfId="11044"/>
    <cellStyle name="常规 2 5 2 3" xfId="11045"/>
    <cellStyle name="常规 2 5 2 4" xfId="11046"/>
    <cellStyle name="常规 2 5 3" xfId="11047"/>
    <cellStyle name="常规 2 5 3 2" xfId="11048"/>
    <cellStyle name="常规 2 5 3 3" xfId="11049"/>
    <cellStyle name="常规 2 5 4" xfId="11050"/>
    <cellStyle name="常规 2 5 5" xfId="11051"/>
    <cellStyle name="常规 2 5 6" xfId="11052"/>
    <cellStyle name="常规 2 6" xfId="11053"/>
    <cellStyle name="常规 2 6 2" xfId="11054"/>
    <cellStyle name="常规 2 6 2 2" xfId="11055"/>
    <cellStyle name="常规 2 6 2 2 2" xfId="11056"/>
    <cellStyle name="常规 2 6 2 2 3" xfId="11057"/>
    <cellStyle name="常规 2 6 2 3" xfId="11058"/>
    <cellStyle name="常规 2 6 2 4" xfId="11059"/>
    <cellStyle name="常规 2 6 2 5" xfId="11060"/>
    <cellStyle name="常规 2 6 3" xfId="11061"/>
    <cellStyle name="常规 2 6 3 2" xfId="11062"/>
    <cellStyle name="常规 2 6 3 3" xfId="11063"/>
    <cellStyle name="常规 2 6 4" xfId="11064"/>
    <cellStyle name="常规 2 6 5" xfId="11065"/>
    <cellStyle name="常规 2 6 6" xfId="11066"/>
    <cellStyle name="常规 2 7" xfId="11067"/>
    <cellStyle name="常规 2 7 2" xfId="11068"/>
    <cellStyle name="常规 2 7 3" xfId="11069"/>
    <cellStyle name="常规 2 7 4" xfId="11070"/>
    <cellStyle name="常规 2 8" xfId="11071"/>
    <cellStyle name="常规 2 8 2" xfId="11072"/>
    <cellStyle name="常规 2 8 3" xfId="11073"/>
    <cellStyle name="常规 2 9" xfId="11074"/>
    <cellStyle name="常规 2_AD_GUI" xfId="11075"/>
    <cellStyle name="常规 3" xfId="11076"/>
    <cellStyle name="常规 3 10" xfId="11077"/>
    <cellStyle name="常规 3 10 2" xfId="11078"/>
    <cellStyle name="常规 3 10 3" xfId="11079"/>
    <cellStyle name="常规 3 10 4" xfId="11080"/>
    <cellStyle name="常规 3 11" xfId="11081"/>
    <cellStyle name="常规 3 11 2" xfId="11082"/>
    <cellStyle name="常规 3 11 3" xfId="11083"/>
    <cellStyle name="常规 3 12" xfId="11084"/>
    <cellStyle name="常规 3 13" xfId="11085"/>
    <cellStyle name="常规 3 14" xfId="11086"/>
    <cellStyle name="常规 3 2" xfId="11087"/>
    <cellStyle name="常规 3 2 10" xfId="11088"/>
    <cellStyle name="常规 3 2 11" xfId="11089"/>
    <cellStyle name="常规 3 2 12" xfId="11090"/>
    <cellStyle name="常规 3 2 2" xfId="11091"/>
    <cellStyle name="常规 3 2 2 10" xfId="11092"/>
    <cellStyle name="常规 3 2 2 11" xfId="11093"/>
    <cellStyle name="常规 3 2 2 2" xfId="11094"/>
    <cellStyle name="常规 3 2 2 2 10" xfId="11095"/>
    <cellStyle name="常规 3 2 2 2 2" xfId="11096"/>
    <cellStyle name="常规 3 2 2 2 2 10" xfId="11097"/>
    <cellStyle name="常规 3 2 2 2 2 2" xfId="11098"/>
    <cellStyle name="常规 3 2 2 2 2 2 2" xfId="11099"/>
    <cellStyle name="常规 3 2 2 2 2 2 2 2" xfId="11100"/>
    <cellStyle name="常规 3 2 2 2 2 2 2 2 2" xfId="11101"/>
    <cellStyle name="常规 3 2 2 2 2 2 2 2 2 2" xfId="11102"/>
    <cellStyle name="常规 3 2 2 2 2 2 2 2 3" xfId="11103"/>
    <cellStyle name="常规 3 2 2 2 2 2 2 2 4" xfId="11104"/>
    <cellStyle name="常规 3 2 2 2 2 2 2 2 5" xfId="11105"/>
    <cellStyle name="常规 3 2 2 2 2 2 2 3" xfId="11106"/>
    <cellStyle name="常规 3 2 2 2 2 2 2 3 2" xfId="11107"/>
    <cellStyle name="常规 3 2 2 2 2 2 2 3 2 2" xfId="11108"/>
    <cellStyle name="常规 3 2 2 2 2 2 2 3 2 3" xfId="11109"/>
    <cellStyle name="常规 3 2 2 2 2 2 2 3 2 4" xfId="11110"/>
    <cellStyle name="常规 3 2 2 2 2 2 2 3 3" xfId="11111"/>
    <cellStyle name="常规 3 2 2 2 2 2 2 3 3 2" xfId="11112"/>
    <cellStyle name="常规 3 2 2 2 2 2 2 3 3 3" xfId="11113"/>
    <cellStyle name="常规 3 2 2 2 2 2 2 3 4" xfId="11114"/>
    <cellStyle name="常规 3 2 2 2 2 2 2 3 5" xfId="11115"/>
    <cellStyle name="常规 3 2 2 2 2 2 2 3 6" xfId="11116"/>
    <cellStyle name="常规 3 2 2 2 2 2 2 4" xfId="11117"/>
    <cellStyle name="常规 3 2 2 2 2 2 2 4 2" xfId="11118"/>
    <cellStyle name="常规 3 2 2 2 2 2 2 4 3" xfId="11119"/>
    <cellStyle name="常规 3 2 2 2 2 2 2 4 4" xfId="11120"/>
    <cellStyle name="常规 3 2 2 2 2 2 2 5" xfId="11121"/>
    <cellStyle name="常规 3 2 2 2 2 2 2 5 2" xfId="11122"/>
    <cellStyle name="常规 3 2 2 2 2 2 2 5 3" xfId="11123"/>
    <cellStyle name="常规 3 2 2 2 2 2 2 6" xfId="11124"/>
    <cellStyle name="常规 3 2 2 2 2 2 2 7" xfId="11125"/>
    <cellStyle name="常规 3 2 2 2 2 2 2 8" xfId="11126"/>
    <cellStyle name="常规 3 2 2 2 2 2 3" xfId="11127"/>
    <cellStyle name="常规 3 2 2 2 2 2 3 2" xfId="11128"/>
    <cellStyle name="常规 3 2 2 2 2 2 3 2 2" xfId="11129"/>
    <cellStyle name="常规 3 2 2 2 2 2 3 2 3" xfId="11130"/>
    <cellStyle name="常规 3 2 2 2 2 2 3 2 4" xfId="11131"/>
    <cellStyle name="常规 3 2 2 2 2 2 3 3" xfId="11132"/>
    <cellStyle name="常规 3 2 2 2 2 2 3 3 2" xfId="11133"/>
    <cellStyle name="常规 3 2 2 2 2 2 3 3 3" xfId="11134"/>
    <cellStyle name="常规 3 2 2 2 2 2 3 4" xfId="11135"/>
    <cellStyle name="常规 3 2 2 2 2 2 3 5" xfId="11136"/>
    <cellStyle name="常规 3 2 2 2 2 2 3 6" xfId="11137"/>
    <cellStyle name="常规 3 2 2 2 2 2 4" xfId="11138"/>
    <cellStyle name="常规 3 2 2 2 2 2 4 2" xfId="11139"/>
    <cellStyle name="常规 3 2 2 2 2 2 4 2 2" xfId="11140"/>
    <cellStyle name="常规 3 2 2 2 2 2 4 2 2 2" xfId="11141"/>
    <cellStyle name="常规 3 2 2 2 2 2 4 2 2 3" xfId="11142"/>
    <cellStyle name="常规 3 2 2 2 2 2 4 2 3" xfId="11143"/>
    <cellStyle name="常规 3 2 2 2 2 2 4 2 4" xfId="11144"/>
    <cellStyle name="常规 3 2 2 2 2 2 4 2 5" xfId="11145"/>
    <cellStyle name="常规 3 2 2 2 2 2 4 3" xfId="11146"/>
    <cellStyle name="常规 3 2 2 2 2 2 4 3 2" xfId="11147"/>
    <cellStyle name="常规 3 2 2 2 2 2 4 3 3" xfId="11148"/>
    <cellStyle name="常规 3 2 2 2 2 2 4 4" xfId="11149"/>
    <cellStyle name="常规 3 2 2 2 2 2 4 5" xfId="11150"/>
    <cellStyle name="常规 3 2 2 2 2 2 4 6" xfId="11151"/>
    <cellStyle name="常规 3 2 2 2 2 2 5" xfId="11152"/>
    <cellStyle name="常规 3 2 2 2 2 2 5 2" xfId="11153"/>
    <cellStyle name="常规 3 2 2 2 2 2 5 3" xfId="11154"/>
    <cellStyle name="常规 3 2 2 2 2 2 5 4" xfId="11155"/>
    <cellStyle name="常规 3 2 2 2 2 2 6" xfId="11156"/>
    <cellStyle name="常规 3 2 2 2 2 2 6 2" xfId="11157"/>
    <cellStyle name="常规 3 2 2 2 2 2 6 3" xfId="11158"/>
    <cellStyle name="常规 3 2 2 2 2 2 7" xfId="11159"/>
    <cellStyle name="常规 3 2 2 2 2 2 8" xfId="11160"/>
    <cellStyle name="常规 3 2 2 2 2 2 9" xfId="11161"/>
    <cellStyle name="常规 3 2 2 2 2 3" xfId="11162"/>
    <cellStyle name="常规 3 2 2 2 2 3 2" xfId="11163"/>
    <cellStyle name="常规 3 2 2 2 2 3 2 2" xfId="11164"/>
    <cellStyle name="常规 3 2 2 2 2 3 2 2 2" xfId="11165"/>
    <cellStyle name="常规 3 2 2 2 2 3 2 3" xfId="11166"/>
    <cellStyle name="常规 3 2 2 2 2 3 2 4" xfId="11167"/>
    <cellStyle name="常规 3 2 2 2 2 3 2 5" xfId="11168"/>
    <cellStyle name="常规 3 2 2 2 2 3 3" xfId="11169"/>
    <cellStyle name="常规 3 2 2 2 2 3 3 2" xfId="11170"/>
    <cellStyle name="常规 3 2 2 2 2 3 3 2 2" xfId="11171"/>
    <cellStyle name="常规 3 2 2 2 2 3 3 2 3" xfId="11172"/>
    <cellStyle name="常规 3 2 2 2 2 3 3 2 4" xfId="11173"/>
    <cellStyle name="常规 3 2 2 2 2 3 3 3" xfId="11174"/>
    <cellStyle name="常规 3 2 2 2 2 3 3 3 2" xfId="11175"/>
    <cellStyle name="常规 3 2 2 2 2 3 3 3 3" xfId="11176"/>
    <cellStyle name="常规 3 2 2 2 2 3 3 4" xfId="11177"/>
    <cellStyle name="常规 3 2 2 2 2 3 3 5" xfId="11178"/>
    <cellStyle name="常规 3 2 2 2 2 3 3 6" xfId="11179"/>
    <cellStyle name="常规 3 2 2 2 2 3 4" xfId="11180"/>
    <cellStyle name="常规 3 2 2 2 2 3 4 2" xfId="11181"/>
    <cellStyle name="常规 3 2 2 2 2 3 4 3" xfId="11182"/>
    <cellStyle name="常规 3 2 2 2 2 3 4 4" xfId="11183"/>
    <cellStyle name="常规 3 2 2 2 2 3 5" xfId="11184"/>
    <cellStyle name="常规 3 2 2 2 2 3 5 2" xfId="11185"/>
    <cellStyle name="常规 3 2 2 2 2 3 5 3" xfId="11186"/>
    <cellStyle name="常规 3 2 2 2 2 3 6" xfId="11187"/>
    <cellStyle name="常规 3 2 2 2 2 3 7" xfId="11188"/>
    <cellStyle name="常规 3 2 2 2 2 3 8" xfId="11189"/>
    <cellStyle name="常规 3 2 2 2 2 4" xfId="11190"/>
    <cellStyle name="常规 3 2 2 2 2 4 2" xfId="11191"/>
    <cellStyle name="常规 3 2 2 2 2 4 2 2" xfId="11192"/>
    <cellStyle name="常规 3 2 2 2 2 4 2 3" xfId="11193"/>
    <cellStyle name="常规 3 2 2 2 2 4 2 4" xfId="11194"/>
    <cellStyle name="常规 3 2 2 2 2 4 3" xfId="11195"/>
    <cellStyle name="常规 3 2 2 2 2 4 3 2" xfId="11196"/>
    <cellStyle name="常规 3 2 2 2 2 4 3 3" xfId="11197"/>
    <cellStyle name="常规 3 2 2 2 2 4 4" xfId="11198"/>
    <cellStyle name="常规 3 2 2 2 2 4 5" xfId="11199"/>
    <cellStyle name="常规 3 2 2 2 2 4 6" xfId="11200"/>
    <cellStyle name="常规 3 2 2 2 2 5" xfId="11201"/>
    <cellStyle name="常规 3 2 2 2 2 5 2" xfId="11202"/>
    <cellStyle name="常规 3 2 2 2 2 5 2 2" xfId="11203"/>
    <cellStyle name="常规 3 2 2 2 2 5 2 2 2" xfId="11204"/>
    <cellStyle name="常规 3 2 2 2 2 5 2 2 3" xfId="11205"/>
    <cellStyle name="常规 3 2 2 2 2 5 2 3" xfId="11206"/>
    <cellStyle name="常规 3 2 2 2 2 5 2 4" xfId="11207"/>
    <cellStyle name="常规 3 2 2 2 2 5 2 5" xfId="11208"/>
    <cellStyle name="常规 3 2 2 2 2 5 3" xfId="11209"/>
    <cellStyle name="常规 3 2 2 2 2 5 3 2" xfId="11210"/>
    <cellStyle name="常规 3 2 2 2 2 5 3 3" xfId="11211"/>
    <cellStyle name="常规 3 2 2 2 2 5 4" xfId="11212"/>
    <cellStyle name="常规 3 2 2 2 2 5 5" xfId="11213"/>
    <cellStyle name="常规 3 2 2 2 2 5 6" xfId="11214"/>
    <cellStyle name="常规 3 2 2 2 2 6" xfId="11215"/>
    <cellStyle name="常规 3 2 2 2 2 6 2" xfId="11216"/>
    <cellStyle name="常规 3 2 2 2 2 6 3" xfId="11217"/>
    <cellStyle name="常规 3 2 2 2 2 6 4" xfId="11218"/>
    <cellStyle name="常规 3 2 2 2 2 7" xfId="11219"/>
    <cellStyle name="常规 3 2 2 2 2 7 2" xfId="11220"/>
    <cellStyle name="常规 3 2 2 2 2 7 3" xfId="11221"/>
    <cellStyle name="常规 3 2 2 2 2 8" xfId="11222"/>
    <cellStyle name="常规 3 2 2 2 2 9" xfId="11223"/>
    <cellStyle name="常规 3 2 2 2 3" xfId="11224"/>
    <cellStyle name="常规 3 2 2 2 3 2" xfId="11225"/>
    <cellStyle name="常规 3 2 2 2 3 2 2" xfId="11226"/>
    <cellStyle name="常规 3 2 2 2 3 2 2 2" xfId="11227"/>
    <cellStyle name="常规 3 2 2 2 3 2 3" xfId="11228"/>
    <cellStyle name="常规 3 2 2 2 3 2 4" xfId="11229"/>
    <cellStyle name="常规 3 2 2 2 3 2 5" xfId="11230"/>
    <cellStyle name="常规 3 2 2 2 3 3" xfId="11231"/>
    <cellStyle name="常规 3 2 2 2 3 3 2" xfId="11232"/>
    <cellStyle name="常规 3 2 2 2 3 3 2 2" xfId="11233"/>
    <cellStyle name="常规 3 2 2 2 3 3 2 3" xfId="11234"/>
    <cellStyle name="常规 3 2 2 2 3 3 2 4" xfId="11235"/>
    <cellStyle name="常规 3 2 2 2 3 3 3" xfId="11236"/>
    <cellStyle name="常规 3 2 2 2 3 3 3 2" xfId="11237"/>
    <cellStyle name="常规 3 2 2 2 3 3 3 3" xfId="11238"/>
    <cellStyle name="常规 3 2 2 2 3 3 4" xfId="11239"/>
    <cellStyle name="常规 3 2 2 2 3 3 5" xfId="11240"/>
    <cellStyle name="常规 3 2 2 2 3 3 6" xfId="11241"/>
    <cellStyle name="常规 3 2 2 2 3 4" xfId="11242"/>
    <cellStyle name="常规 3 2 2 2 3 4 2" xfId="11243"/>
    <cellStyle name="常规 3 2 2 2 3 4 3" xfId="11244"/>
    <cellStyle name="常规 3 2 2 2 3 4 4" xfId="11245"/>
    <cellStyle name="常规 3 2 2 2 3 5" xfId="11246"/>
    <cellStyle name="常规 3 2 2 2 3 5 2" xfId="11247"/>
    <cellStyle name="常规 3 2 2 2 3 5 3" xfId="11248"/>
    <cellStyle name="常规 3 2 2 2 3 6" xfId="11249"/>
    <cellStyle name="常规 3 2 2 2 3 7" xfId="11250"/>
    <cellStyle name="常规 3 2 2 2 3 8" xfId="11251"/>
    <cellStyle name="常规 3 2 2 2 4" xfId="11252"/>
    <cellStyle name="常规 3 2 2 2 4 2" xfId="11253"/>
    <cellStyle name="常规 3 2 2 2 4 2 2" xfId="11254"/>
    <cellStyle name="常规 3 2 2 2 4 2 3" xfId="11255"/>
    <cellStyle name="常规 3 2 2 2 4 2 4" xfId="11256"/>
    <cellStyle name="常规 3 2 2 2 4 3" xfId="11257"/>
    <cellStyle name="常规 3 2 2 2 4 3 2" xfId="11258"/>
    <cellStyle name="常规 3 2 2 2 4 3 3" xfId="11259"/>
    <cellStyle name="常规 3 2 2 2 4 4" xfId="11260"/>
    <cellStyle name="常规 3 2 2 2 4 5" xfId="11261"/>
    <cellStyle name="常规 3 2 2 2 4 6" xfId="11262"/>
    <cellStyle name="常规 3 2 2 2 5" xfId="11263"/>
    <cellStyle name="常规 3 2 2 2 5 2" xfId="11264"/>
    <cellStyle name="常规 3 2 2 2 5 2 2" xfId="11265"/>
    <cellStyle name="常规 3 2 2 2 5 2 2 2" xfId="11266"/>
    <cellStyle name="常规 3 2 2 2 5 2 2 3" xfId="11267"/>
    <cellStyle name="常规 3 2 2 2 5 2 3" xfId="11268"/>
    <cellStyle name="常规 3 2 2 2 5 2 4" xfId="11269"/>
    <cellStyle name="常规 3 2 2 2 5 2 5" xfId="11270"/>
    <cellStyle name="常规 3 2 2 2 5 3" xfId="11271"/>
    <cellStyle name="常规 3 2 2 2 5 3 2" xfId="11272"/>
    <cellStyle name="常规 3 2 2 2 5 3 3" xfId="11273"/>
    <cellStyle name="常规 3 2 2 2 5 4" xfId="11274"/>
    <cellStyle name="常规 3 2 2 2 5 5" xfId="11275"/>
    <cellStyle name="常规 3 2 2 2 5 6" xfId="11276"/>
    <cellStyle name="常规 3 2 2 2 6" xfId="11277"/>
    <cellStyle name="常规 3 2 2 2 6 2" xfId="11278"/>
    <cellStyle name="常规 3 2 2 2 6 3" xfId="11279"/>
    <cellStyle name="常规 3 2 2 2 6 4" xfId="11280"/>
    <cellStyle name="常规 3 2 2 2 7" xfId="11281"/>
    <cellStyle name="常规 3 2 2 2 7 2" xfId="11282"/>
    <cellStyle name="常规 3 2 2 2 7 3" xfId="11283"/>
    <cellStyle name="常规 3 2 2 2 8" xfId="11284"/>
    <cellStyle name="常规 3 2 2 2 9" xfId="11285"/>
    <cellStyle name="常规 3 2 2 3" xfId="11286"/>
    <cellStyle name="常规 3 2 2 3 10" xfId="11287"/>
    <cellStyle name="常规 3 2 2 3 2" xfId="11288"/>
    <cellStyle name="常规 3 2 2 3 2 2" xfId="11289"/>
    <cellStyle name="常规 3 2 2 3 2 2 2" xfId="11290"/>
    <cellStyle name="常规 3 2 2 3 2 2 2 2" xfId="11291"/>
    <cellStyle name="常规 3 2 2 3 2 2 2 2 2" xfId="11292"/>
    <cellStyle name="常规 3 2 2 3 2 2 2 3" xfId="11293"/>
    <cellStyle name="常规 3 2 2 3 2 2 2 4" xfId="11294"/>
    <cellStyle name="常规 3 2 2 3 2 2 2 5" xfId="11295"/>
    <cellStyle name="常规 3 2 2 3 2 2 3" xfId="11296"/>
    <cellStyle name="常规 3 2 2 3 2 2 3 2" xfId="11297"/>
    <cellStyle name="常规 3 2 2 3 2 2 3 2 2" xfId="11298"/>
    <cellStyle name="常规 3 2 2 3 2 2 3 2 3" xfId="11299"/>
    <cellStyle name="常规 3 2 2 3 2 2 3 2 4" xfId="11300"/>
    <cellStyle name="常规 3 2 2 3 2 2 3 3" xfId="11301"/>
    <cellStyle name="常规 3 2 2 3 2 2 3 3 2" xfId="11302"/>
    <cellStyle name="常规 3 2 2 3 2 2 3 3 3" xfId="11303"/>
    <cellStyle name="常规 3 2 2 3 2 2 3 4" xfId="11304"/>
    <cellStyle name="常规 3 2 2 3 2 2 3 5" xfId="11305"/>
    <cellStyle name="常规 3 2 2 3 2 2 3 6" xfId="11306"/>
    <cellStyle name="常规 3 2 2 3 2 2 4" xfId="11307"/>
    <cellStyle name="常规 3 2 2 3 2 2 4 2" xfId="11308"/>
    <cellStyle name="常规 3 2 2 3 2 2 4 3" xfId="11309"/>
    <cellStyle name="常规 3 2 2 3 2 2 4 4" xfId="11310"/>
    <cellStyle name="常规 3 2 2 3 2 2 5" xfId="11311"/>
    <cellStyle name="常规 3 2 2 3 2 2 5 2" xfId="11312"/>
    <cellStyle name="常规 3 2 2 3 2 2 5 3" xfId="11313"/>
    <cellStyle name="常规 3 2 2 3 2 2 6" xfId="11314"/>
    <cellStyle name="常规 3 2 2 3 2 2 7" xfId="11315"/>
    <cellStyle name="常规 3 2 2 3 2 2 8" xfId="11316"/>
    <cellStyle name="常规 3 2 2 3 2 3" xfId="11317"/>
    <cellStyle name="常规 3 2 2 3 2 3 2" xfId="11318"/>
    <cellStyle name="常规 3 2 2 3 2 3 2 2" xfId="11319"/>
    <cellStyle name="常规 3 2 2 3 2 3 2 3" xfId="11320"/>
    <cellStyle name="常规 3 2 2 3 2 3 2 4" xfId="11321"/>
    <cellStyle name="常规 3 2 2 3 2 3 3" xfId="11322"/>
    <cellStyle name="常规 3 2 2 3 2 3 3 2" xfId="11323"/>
    <cellStyle name="常规 3 2 2 3 2 3 3 3" xfId="11324"/>
    <cellStyle name="常规 3 2 2 3 2 3 4" xfId="11325"/>
    <cellStyle name="常规 3 2 2 3 2 3 5" xfId="11326"/>
    <cellStyle name="常规 3 2 2 3 2 3 6" xfId="11327"/>
    <cellStyle name="常规 3 2 2 3 2 4" xfId="11328"/>
    <cellStyle name="常规 3 2 2 3 2 4 2" xfId="11329"/>
    <cellStyle name="常规 3 2 2 3 2 4 2 2" xfId="11330"/>
    <cellStyle name="常规 3 2 2 3 2 4 2 2 2" xfId="11331"/>
    <cellStyle name="常规 3 2 2 3 2 4 2 2 3" xfId="11332"/>
    <cellStyle name="常规 3 2 2 3 2 4 2 3" xfId="11333"/>
    <cellStyle name="常规 3 2 2 3 2 4 2 4" xfId="11334"/>
    <cellStyle name="常规 3 2 2 3 2 4 2 5" xfId="11335"/>
    <cellStyle name="常规 3 2 2 3 2 4 3" xfId="11336"/>
    <cellStyle name="常规 3 2 2 3 2 4 3 2" xfId="11337"/>
    <cellStyle name="常规 3 2 2 3 2 4 3 3" xfId="11338"/>
    <cellStyle name="常规 3 2 2 3 2 4 4" xfId="11339"/>
    <cellStyle name="常规 3 2 2 3 2 4 5" xfId="11340"/>
    <cellStyle name="常规 3 2 2 3 2 4 6" xfId="11341"/>
    <cellStyle name="常规 3 2 2 3 2 5" xfId="11342"/>
    <cellStyle name="常规 3 2 2 3 2 5 2" xfId="11343"/>
    <cellStyle name="常规 3 2 2 3 2 5 3" xfId="11344"/>
    <cellStyle name="常规 3 2 2 3 2 5 4" xfId="11345"/>
    <cellStyle name="常规 3 2 2 3 2 6" xfId="11346"/>
    <cellStyle name="常规 3 2 2 3 2 6 2" xfId="11347"/>
    <cellStyle name="常规 3 2 2 3 2 6 3" xfId="11348"/>
    <cellStyle name="常规 3 2 2 3 2 7" xfId="11349"/>
    <cellStyle name="常规 3 2 2 3 2 8" xfId="11350"/>
    <cellStyle name="常规 3 2 2 3 2 9" xfId="11351"/>
    <cellStyle name="常规 3 2 2 3 3" xfId="11352"/>
    <cellStyle name="常规 3 2 2 3 3 2" xfId="11353"/>
    <cellStyle name="常规 3 2 2 3 3 2 2" xfId="11354"/>
    <cellStyle name="常规 3 2 2 3 3 2 2 2" xfId="11355"/>
    <cellStyle name="常规 3 2 2 3 3 2 3" xfId="11356"/>
    <cellStyle name="常规 3 2 2 3 3 2 4" xfId="11357"/>
    <cellStyle name="常规 3 2 2 3 3 2 5" xfId="11358"/>
    <cellStyle name="常规 3 2 2 3 3 3" xfId="11359"/>
    <cellStyle name="常规 3 2 2 3 3 3 2" xfId="11360"/>
    <cellStyle name="常规 3 2 2 3 3 3 2 2" xfId="11361"/>
    <cellStyle name="常规 3 2 2 3 3 3 2 3" xfId="11362"/>
    <cellStyle name="常规 3 2 2 3 3 3 2 4" xfId="11363"/>
    <cellStyle name="常规 3 2 2 3 3 3 3" xfId="11364"/>
    <cellStyle name="常规 3 2 2 3 3 3 3 2" xfId="11365"/>
    <cellStyle name="常规 3 2 2 3 3 3 3 3" xfId="11366"/>
    <cellStyle name="常规 3 2 2 3 3 3 4" xfId="11367"/>
    <cellStyle name="常规 3 2 2 3 3 3 5" xfId="11368"/>
    <cellStyle name="常规 3 2 2 3 3 3 6" xfId="11369"/>
    <cellStyle name="常规 3 2 2 3 3 4" xfId="11370"/>
    <cellStyle name="常规 3 2 2 3 3 4 2" xfId="11371"/>
    <cellStyle name="常规 3 2 2 3 3 4 3" xfId="11372"/>
    <cellStyle name="常规 3 2 2 3 3 4 4" xfId="11373"/>
    <cellStyle name="常规 3 2 2 3 3 5" xfId="11374"/>
    <cellStyle name="常规 3 2 2 3 3 5 2" xfId="11375"/>
    <cellStyle name="常规 3 2 2 3 3 5 3" xfId="11376"/>
    <cellStyle name="常规 3 2 2 3 3 6" xfId="11377"/>
    <cellStyle name="常规 3 2 2 3 3 7" xfId="11378"/>
    <cellStyle name="常规 3 2 2 3 3 8" xfId="11379"/>
    <cellStyle name="常规 3 2 2 3 4" xfId="11380"/>
    <cellStyle name="常规 3 2 2 3 4 2" xfId="11381"/>
    <cellStyle name="常规 3 2 2 3 4 2 2" xfId="11382"/>
    <cellStyle name="常规 3 2 2 3 4 2 3" xfId="11383"/>
    <cellStyle name="常规 3 2 2 3 4 2 4" xfId="11384"/>
    <cellStyle name="常规 3 2 2 3 4 3" xfId="11385"/>
    <cellStyle name="常规 3 2 2 3 4 3 2" xfId="11386"/>
    <cellStyle name="常规 3 2 2 3 4 3 3" xfId="11387"/>
    <cellStyle name="常规 3 2 2 3 4 4" xfId="11388"/>
    <cellStyle name="常规 3 2 2 3 4 5" xfId="11389"/>
    <cellStyle name="常规 3 2 2 3 4 6" xfId="11390"/>
    <cellStyle name="常规 3 2 2 3 5" xfId="11391"/>
    <cellStyle name="常规 3 2 2 3 5 2" xfId="11392"/>
    <cellStyle name="常规 3 2 2 3 5 2 2" xfId="11393"/>
    <cellStyle name="常规 3 2 2 3 5 2 2 2" xfId="11394"/>
    <cellStyle name="常规 3 2 2 3 5 2 2 3" xfId="11395"/>
    <cellStyle name="常规 3 2 2 3 5 2 3" xfId="11396"/>
    <cellStyle name="常规 3 2 2 3 5 2 4" xfId="11397"/>
    <cellStyle name="常规 3 2 2 3 5 2 5" xfId="11398"/>
    <cellStyle name="常规 3 2 2 3 5 3" xfId="11399"/>
    <cellStyle name="常规 3 2 2 3 5 3 2" xfId="11400"/>
    <cellStyle name="常规 3 2 2 3 5 3 3" xfId="11401"/>
    <cellStyle name="常规 3 2 2 3 5 4" xfId="11402"/>
    <cellStyle name="常规 3 2 2 3 5 5" xfId="11403"/>
    <cellStyle name="常规 3 2 2 3 5 6" xfId="11404"/>
    <cellStyle name="常规 3 2 2 3 6" xfId="11405"/>
    <cellStyle name="常规 3 2 2 3 6 2" xfId="11406"/>
    <cellStyle name="常规 3 2 2 3 6 3" xfId="11407"/>
    <cellStyle name="常规 3 2 2 3 6 4" xfId="11408"/>
    <cellStyle name="常规 3 2 2 3 7" xfId="11409"/>
    <cellStyle name="常规 3 2 2 3 7 2" xfId="11410"/>
    <cellStyle name="常规 3 2 2 3 7 3" xfId="11411"/>
    <cellStyle name="常规 3 2 2 3 8" xfId="11412"/>
    <cellStyle name="常规 3 2 2 3 9" xfId="11413"/>
    <cellStyle name="常规 3 2 2 4" xfId="11414"/>
    <cellStyle name="常规 3 2 2 4 2" xfId="11415"/>
    <cellStyle name="常规 3 2 2 4 2 2" xfId="11416"/>
    <cellStyle name="常规 3 2 2 4 2 2 2" xfId="11417"/>
    <cellStyle name="常规 3 2 2 4 2 3" xfId="11418"/>
    <cellStyle name="常规 3 2 2 4 2 4" xfId="11419"/>
    <cellStyle name="常规 3 2 2 4 2 5" xfId="11420"/>
    <cellStyle name="常规 3 2 2 4 3" xfId="11421"/>
    <cellStyle name="常规 3 2 2 4 3 2" xfId="11422"/>
    <cellStyle name="常规 3 2 2 4 3 2 2" xfId="11423"/>
    <cellStyle name="常规 3 2 2 4 3 2 3" xfId="11424"/>
    <cellStyle name="常规 3 2 2 4 3 2 4" xfId="11425"/>
    <cellStyle name="常规 3 2 2 4 3 3" xfId="11426"/>
    <cellStyle name="常规 3 2 2 4 3 3 2" xfId="11427"/>
    <cellStyle name="常规 3 2 2 4 3 3 3" xfId="11428"/>
    <cellStyle name="常规 3 2 2 4 3 4" xfId="11429"/>
    <cellStyle name="常规 3 2 2 4 3 5" xfId="11430"/>
    <cellStyle name="常规 3 2 2 4 3 6" xfId="11431"/>
    <cellStyle name="常规 3 2 2 4 4" xfId="11432"/>
    <cellStyle name="常规 3 2 2 4 4 2" xfId="11433"/>
    <cellStyle name="常规 3 2 2 4 4 3" xfId="11434"/>
    <cellStyle name="常规 3 2 2 4 4 4" xfId="11435"/>
    <cellStyle name="常规 3 2 2 4 5" xfId="11436"/>
    <cellStyle name="常规 3 2 2 4 5 2" xfId="11437"/>
    <cellStyle name="常规 3 2 2 4 5 3" xfId="11438"/>
    <cellStyle name="常规 3 2 2 4 6" xfId="11439"/>
    <cellStyle name="常规 3 2 2 4 7" xfId="11440"/>
    <cellStyle name="常规 3 2 2 4 8" xfId="11441"/>
    <cellStyle name="常规 3 2 2 5" xfId="11442"/>
    <cellStyle name="常规 3 2 2 5 2" xfId="11443"/>
    <cellStyle name="常规 3 2 2 5 2 2" xfId="11444"/>
    <cellStyle name="常规 3 2 2 5 2 3" xfId="11445"/>
    <cellStyle name="常规 3 2 2 5 2 4" xfId="11446"/>
    <cellStyle name="常规 3 2 2 5 3" xfId="11447"/>
    <cellStyle name="常规 3 2 2 5 3 2" xfId="11448"/>
    <cellStyle name="常规 3 2 2 5 3 3" xfId="11449"/>
    <cellStyle name="常规 3 2 2 5 4" xfId="11450"/>
    <cellStyle name="常规 3 2 2 5 5" xfId="11451"/>
    <cellStyle name="常规 3 2 2 5 6" xfId="11452"/>
    <cellStyle name="常规 3 2 2 6" xfId="11453"/>
    <cellStyle name="常规 3 2 2 6 2" xfId="11454"/>
    <cellStyle name="常规 3 2 2 6 2 2" xfId="11455"/>
    <cellStyle name="常规 3 2 2 6 2 2 2" xfId="11456"/>
    <cellStyle name="常规 3 2 2 6 2 2 3" xfId="11457"/>
    <cellStyle name="常规 3 2 2 6 2 3" xfId="11458"/>
    <cellStyle name="常规 3 2 2 6 2 4" xfId="11459"/>
    <cellStyle name="常规 3 2 2 6 2 5" xfId="11460"/>
    <cellStyle name="常规 3 2 2 6 3" xfId="11461"/>
    <cellStyle name="常规 3 2 2 6 3 2" xfId="11462"/>
    <cellStyle name="常规 3 2 2 6 3 3" xfId="11463"/>
    <cellStyle name="常规 3 2 2 6 4" xfId="11464"/>
    <cellStyle name="常规 3 2 2 6 5" xfId="11465"/>
    <cellStyle name="常规 3 2 2 6 6" xfId="11466"/>
    <cellStyle name="常规 3 2 2 7" xfId="11467"/>
    <cellStyle name="常规 3 2 2 7 2" xfId="11468"/>
    <cellStyle name="常规 3 2 2 7 3" xfId="11469"/>
    <cellStyle name="常规 3 2 2 7 4" xfId="11470"/>
    <cellStyle name="常规 3 2 2 8" xfId="11471"/>
    <cellStyle name="常规 3 2 2 8 2" xfId="11472"/>
    <cellStyle name="常规 3 2 2 8 3" xfId="11473"/>
    <cellStyle name="常规 3 2 2 9" xfId="11474"/>
    <cellStyle name="常规 3 2 3" xfId="11475"/>
    <cellStyle name="常规 3 2 3 10" xfId="11476"/>
    <cellStyle name="常规 3 2 3 2" xfId="11477"/>
    <cellStyle name="常规 3 2 3 2 2" xfId="11478"/>
    <cellStyle name="常规 3 2 3 2 2 2" xfId="11479"/>
    <cellStyle name="常规 3 2 3 2 2 2 2" xfId="11480"/>
    <cellStyle name="常规 3 2 3 2 2 2 2 2" xfId="11481"/>
    <cellStyle name="常规 3 2 3 2 2 2 3" xfId="11482"/>
    <cellStyle name="常规 3 2 3 2 2 2 4" xfId="11483"/>
    <cellStyle name="常规 3 2 3 2 2 2 5" xfId="11484"/>
    <cellStyle name="常规 3 2 3 2 2 3" xfId="11485"/>
    <cellStyle name="常规 3 2 3 2 2 3 2" xfId="11486"/>
    <cellStyle name="常规 3 2 3 2 2 3 2 2" xfId="11487"/>
    <cellStyle name="常规 3 2 3 2 2 3 2 3" xfId="11488"/>
    <cellStyle name="常规 3 2 3 2 2 3 2 4" xfId="11489"/>
    <cellStyle name="常规 3 2 3 2 2 3 3" xfId="11490"/>
    <cellStyle name="常规 3 2 3 2 2 3 3 2" xfId="11491"/>
    <cellStyle name="常规 3 2 3 2 2 3 3 3" xfId="11492"/>
    <cellStyle name="常规 3 2 3 2 2 3 4" xfId="11493"/>
    <cellStyle name="常规 3 2 3 2 2 3 5" xfId="11494"/>
    <cellStyle name="常规 3 2 3 2 2 3 6" xfId="11495"/>
    <cellStyle name="常规 3 2 3 2 2 4" xfId="11496"/>
    <cellStyle name="常规 3 2 3 2 2 4 2" xfId="11497"/>
    <cellStyle name="常规 3 2 3 2 2 4 3" xfId="11498"/>
    <cellStyle name="常规 3 2 3 2 2 4 4" xfId="11499"/>
    <cellStyle name="常规 3 2 3 2 2 5" xfId="11500"/>
    <cellStyle name="常规 3 2 3 2 2 5 2" xfId="11501"/>
    <cellStyle name="常规 3 2 3 2 2 5 3" xfId="11502"/>
    <cellStyle name="常规 3 2 3 2 2 6" xfId="11503"/>
    <cellStyle name="常规 3 2 3 2 2 7" xfId="11504"/>
    <cellStyle name="常规 3 2 3 2 2 8" xfId="11505"/>
    <cellStyle name="常规 3 2 3 2 3" xfId="11506"/>
    <cellStyle name="常规 3 2 3 2 3 2" xfId="11507"/>
    <cellStyle name="常规 3 2 3 2 3 2 2" xfId="11508"/>
    <cellStyle name="常规 3 2 3 2 3 2 3" xfId="11509"/>
    <cellStyle name="常规 3 2 3 2 3 2 4" xfId="11510"/>
    <cellStyle name="常规 3 2 3 2 3 3" xfId="11511"/>
    <cellStyle name="常规 3 2 3 2 3 3 2" xfId="11512"/>
    <cellStyle name="常规 3 2 3 2 3 3 3" xfId="11513"/>
    <cellStyle name="常规 3 2 3 2 3 4" xfId="11514"/>
    <cellStyle name="常规 3 2 3 2 3 5" xfId="11515"/>
    <cellStyle name="常规 3 2 3 2 3 6" xfId="11516"/>
    <cellStyle name="常规 3 2 3 2 4" xfId="11517"/>
    <cellStyle name="常规 3 2 3 2 4 2" xfId="11518"/>
    <cellStyle name="常规 3 2 3 2 4 2 2" xfId="11519"/>
    <cellStyle name="常规 3 2 3 2 4 2 2 2" xfId="11520"/>
    <cellStyle name="常规 3 2 3 2 4 2 2 3" xfId="11521"/>
    <cellStyle name="常规 3 2 3 2 4 2 3" xfId="11522"/>
    <cellStyle name="常规 3 2 3 2 4 2 4" xfId="11523"/>
    <cellStyle name="常规 3 2 3 2 4 2 5" xfId="11524"/>
    <cellStyle name="常规 3 2 3 2 4 3" xfId="11525"/>
    <cellStyle name="常规 3 2 3 2 4 3 2" xfId="11526"/>
    <cellStyle name="常规 3 2 3 2 4 3 3" xfId="11527"/>
    <cellStyle name="常规 3 2 3 2 4 4" xfId="11528"/>
    <cellStyle name="常规 3 2 3 2 4 5" xfId="11529"/>
    <cellStyle name="常规 3 2 3 2 4 6" xfId="11530"/>
    <cellStyle name="常规 3 2 3 2 5" xfId="11531"/>
    <cellStyle name="常规 3 2 3 2 5 2" xfId="11532"/>
    <cellStyle name="常规 3 2 3 2 5 3" xfId="11533"/>
    <cellStyle name="常规 3 2 3 2 5 4" xfId="11534"/>
    <cellStyle name="常规 3 2 3 2 6" xfId="11535"/>
    <cellStyle name="常规 3 2 3 2 6 2" xfId="11536"/>
    <cellStyle name="常规 3 2 3 2 6 3" xfId="11537"/>
    <cellStyle name="常规 3 2 3 2 7" xfId="11538"/>
    <cellStyle name="常规 3 2 3 2 8" xfId="11539"/>
    <cellStyle name="常规 3 2 3 2 9" xfId="11540"/>
    <cellStyle name="常规 3 2 3 3" xfId="11541"/>
    <cellStyle name="常规 3 2 3 3 2" xfId="11542"/>
    <cellStyle name="常规 3 2 3 3 2 2" xfId="11543"/>
    <cellStyle name="常规 3 2 3 3 2 2 2" xfId="11544"/>
    <cellStyle name="常规 3 2 3 3 2 3" xfId="11545"/>
    <cellStyle name="常规 3 2 3 3 2 4" xfId="11546"/>
    <cellStyle name="常规 3 2 3 3 2 5" xfId="11547"/>
    <cellStyle name="常规 3 2 3 3 3" xfId="11548"/>
    <cellStyle name="常规 3 2 3 3 3 2" xfId="11549"/>
    <cellStyle name="常规 3 2 3 3 3 2 2" xfId="11550"/>
    <cellStyle name="常规 3 2 3 3 3 2 3" xfId="11551"/>
    <cellStyle name="常规 3 2 3 3 3 2 4" xfId="11552"/>
    <cellStyle name="常规 3 2 3 3 3 3" xfId="11553"/>
    <cellStyle name="常规 3 2 3 3 3 3 2" xfId="11554"/>
    <cellStyle name="常规 3 2 3 3 3 3 3" xfId="11555"/>
    <cellStyle name="常规 3 2 3 3 3 4" xfId="11556"/>
    <cellStyle name="常规 3 2 3 3 3 5" xfId="11557"/>
    <cellStyle name="常规 3 2 3 3 3 6" xfId="11558"/>
    <cellStyle name="常规 3 2 3 3 4" xfId="11559"/>
    <cellStyle name="常规 3 2 3 3 4 2" xfId="11560"/>
    <cellStyle name="常规 3 2 3 3 4 3" xfId="11561"/>
    <cellStyle name="常规 3 2 3 3 4 4" xfId="11562"/>
    <cellStyle name="常规 3 2 3 3 5" xfId="11563"/>
    <cellStyle name="常规 3 2 3 3 5 2" xfId="11564"/>
    <cellStyle name="常规 3 2 3 3 5 3" xfId="11565"/>
    <cellStyle name="常规 3 2 3 3 6" xfId="11566"/>
    <cellStyle name="常规 3 2 3 3 7" xfId="11567"/>
    <cellStyle name="常规 3 2 3 3 8" xfId="11568"/>
    <cellStyle name="常规 3 2 3 4" xfId="11569"/>
    <cellStyle name="常规 3 2 3 4 2" xfId="11570"/>
    <cellStyle name="常规 3 2 3 4 2 2" xfId="11571"/>
    <cellStyle name="常规 3 2 3 4 2 3" xfId="11572"/>
    <cellStyle name="常规 3 2 3 4 2 4" xfId="11573"/>
    <cellStyle name="常规 3 2 3 4 3" xfId="11574"/>
    <cellStyle name="常规 3 2 3 4 3 2" xfId="11575"/>
    <cellStyle name="常规 3 2 3 4 3 3" xfId="11576"/>
    <cellStyle name="常规 3 2 3 4 4" xfId="11577"/>
    <cellStyle name="常规 3 2 3 4 5" xfId="11578"/>
    <cellStyle name="常规 3 2 3 4 6" xfId="11579"/>
    <cellStyle name="常规 3 2 3 5" xfId="11580"/>
    <cellStyle name="常规 3 2 3 5 2" xfId="11581"/>
    <cellStyle name="常规 3 2 3 5 2 2" xfId="11582"/>
    <cellStyle name="常规 3 2 3 5 2 2 2" xfId="11583"/>
    <cellStyle name="常规 3 2 3 5 2 2 3" xfId="11584"/>
    <cellStyle name="常规 3 2 3 5 2 3" xfId="11585"/>
    <cellStyle name="常规 3 2 3 5 2 4" xfId="11586"/>
    <cellStyle name="常规 3 2 3 5 2 5" xfId="11587"/>
    <cellStyle name="常规 3 2 3 5 3" xfId="11588"/>
    <cellStyle name="常规 3 2 3 5 3 2" xfId="11589"/>
    <cellStyle name="常规 3 2 3 5 3 3" xfId="11590"/>
    <cellStyle name="常规 3 2 3 5 4" xfId="11591"/>
    <cellStyle name="常规 3 2 3 5 5" xfId="11592"/>
    <cellStyle name="常规 3 2 3 5 6" xfId="11593"/>
    <cellStyle name="常规 3 2 3 6" xfId="11594"/>
    <cellStyle name="常规 3 2 3 6 2" xfId="11595"/>
    <cellStyle name="常规 3 2 3 6 3" xfId="11596"/>
    <cellStyle name="常规 3 2 3 6 4" xfId="11597"/>
    <cellStyle name="常规 3 2 3 7" xfId="11598"/>
    <cellStyle name="常规 3 2 3 7 2" xfId="11599"/>
    <cellStyle name="常规 3 2 3 7 3" xfId="11600"/>
    <cellStyle name="常规 3 2 3 8" xfId="11601"/>
    <cellStyle name="常规 3 2 3 9" xfId="11602"/>
    <cellStyle name="常规 3 2 4" xfId="11603"/>
    <cellStyle name="常规 3 2 4 2" xfId="11604"/>
    <cellStyle name="常规 3 2 4 2 2" xfId="11605"/>
    <cellStyle name="常规 3 2 4 2 2 2" xfId="11606"/>
    <cellStyle name="常规 3 2 4 2 2 2 2" xfId="11607"/>
    <cellStyle name="常规 3 2 4 2 2 3" xfId="11608"/>
    <cellStyle name="常规 3 2 4 2 2 4" xfId="11609"/>
    <cellStyle name="常规 3 2 4 2 2 5" xfId="11610"/>
    <cellStyle name="常规 3 2 4 2 3" xfId="11611"/>
    <cellStyle name="常规 3 2 4 2 3 2" xfId="11612"/>
    <cellStyle name="常规 3 2 4 2 3 2 2" xfId="11613"/>
    <cellStyle name="常规 3 2 4 2 3 2 3" xfId="11614"/>
    <cellStyle name="常规 3 2 4 2 3 2 4" xfId="11615"/>
    <cellStyle name="常规 3 2 4 2 3 3" xfId="11616"/>
    <cellStyle name="常规 3 2 4 2 3 3 2" xfId="11617"/>
    <cellStyle name="常规 3 2 4 2 3 3 3" xfId="11618"/>
    <cellStyle name="常规 3 2 4 2 3 4" xfId="11619"/>
    <cellStyle name="常规 3 2 4 2 3 5" xfId="11620"/>
    <cellStyle name="常规 3 2 4 2 3 6" xfId="11621"/>
    <cellStyle name="常规 3 2 4 2 4" xfId="11622"/>
    <cellStyle name="常规 3 2 4 2 4 2" xfId="11623"/>
    <cellStyle name="常规 3 2 4 2 4 3" xfId="11624"/>
    <cellStyle name="常规 3 2 4 2 4 4" xfId="11625"/>
    <cellStyle name="常规 3 2 4 2 5" xfId="11626"/>
    <cellStyle name="常规 3 2 4 2 5 2" xfId="11627"/>
    <cellStyle name="常规 3 2 4 2 5 3" xfId="11628"/>
    <cellStyle name="常规 3 2 4 2 6" xfId="11629"/>
    <cellStyle name="常规 3 2 4 2 7" xfId="11630"/>
    <cellStyle name="常规 3 2 4 2 8" xfId="11631"/>
    <cellStyle name="常规 3 2 4 3" xfId="11632"/>
    <cellStyle name="常规 3 2 4 3 2" xfId="11633"/>
    <cellStyle name="常规 3 2 4 3 2 2" xfId="11634"/>
    <cellStyle name="常规 3 2 4 3 2 3" xfId="11635"/>
    <cellStyle name="常规 3 2 4 3 2 4" xfId="11636"/>
    <cellStyle name="常规 3 2 4 3 3" xfId="11637"/>
    <cellStyle name="常规 3 2 4 3 3 2" xfId="11638"/>
    <cellStyle name="常规 3 2 4 3 3 3" xfId="11639"/>
    <cellStyle name="常规 3 2 4 3 4" xfId="11640"/>
    <cellStyle name="常规 3 2 4 3 5" xfId="11641"/>
    <cellStyle name="常规 3 2 4 3 6" xfId="11642"/>
    <cellStyle name="常规 3 2 4 4" xfId="11643"/>
    <cellStyle name="常规 3 2 4 4 2" xfId="11644"/>
    <cellStyle name="常规 3 2 4 4 2 2" xfId="11645"/>
    <cellStyle name="常规 3 2 4 4 2 2 2" xfId="11646"/>
    <cellStyle name="常规 3 2 4 4 2 2 3" xfId="11647"/>
    <cellStyle name="常规 3 2 4 4 2 3" xfId="11648"/>
    <cellStyle name="常规 3 2 4 4 2 4" xfId="11649"/>
    <cellStyle name="常规 3 2 4 4 2 5" xfId="11650"/>
    <cellStyle name="常规 3 2 4 4 3" xfId="11651"/>
    <cellStyle name="常规 3 2 4 4 3 2" xfId="11652"/>
    <cellStyle name="常规 3 2 4 4 3 3" xfId="11653"/>
    <cellStyle name="常规 3 2 4 4 4" xfId="11654"/>
    <cellStyle name="常规 3 2 4 4 5" xfId="11655"/>
    <cellStyle name="常规 3 2 4 4 6" xfId="11656"/>
    <cellStyle name="常规 3 2 4 5" xfId="11657"/>
    <cellStyle name="常规 3 2 4 5 2" xfId="11658"/>
    <cellStyle name="常规 3 2 4 5 3" xfId="11659"/>
    <cellStyle name="常规 3 2 4 5 4" xfId="11660"/>
    <cellStyle name="常规 3 2 4 6" xfId="11661"/>
    <cellStyle name="常规 3 2 4 6 2" xfId="11662"/>
    <cellStyle name="常规 3 2 4 6 3" xfId="11663"/>
    <cellStyle name="常规 3 2 4 7" xfId="11664"/>
    <cellStyle name="常规 3 2 4 8" xfId="11665"/>
    <cellStyle name="常规 3 2 4 9" xfId="11666"/>
    <cellStyle name="常规 3 2 5" xfId="11667"/>
    <cellStyle name="常规 3 2 5 2" xfId="11668"/>
    <cellStyle name="常规 3 2 5 2 2" xfId="11669"/>
    <cellStyle name="常规 3 2 5 2 2 2" xfId="11670"/>
    <cellStyle name="常规 3 2 5 2 3" xfId="11671"/>
    <cellStyle name="常规 3 2 5 2 4" xfId="11672"/>
    <cellStyle name="常规 3 2 5 2 5" xfId="11673"/>
    <cellStyle name="常规 3 2 5 3" xfId="11674"/>
    <cellStyle name="常规 3 2 5 3 2" xfId="11675"/>
    <cellStyle name="常规 3 2 5 3 2 2" xfId="11676"/>
    <cellStyle name="常规 3 2 5 3 2 3" xfId="11677"/>
    <cellStyle name="常规 3 2 5 3 2 4" xfId="11678"/>
    <cellStyle name="常规 3 2 5 3 3" xfId="11679"/>
    <cellStyle name="常规 3 2 5 3 3 2" xfId="11680"/>
    <cellStyle name="常规 3 2 5 3 3 3" xfId="11681"/>
    <cellStyle name="常规 3 2 5 3 4" xfId="11682"/>
    <cellStyle name="常规 3 2 5 3 5" xfId="11683"/>
    <cellStyle name="常规 3 2 5 3 6" xfId="11684"/>
    <cellStyle name="常规 3 2 5 4" xfId="11685"/>
    <cellStyle name="常规 3 2 5 4 2" xfId="11686"/>
    <cellStyle name="常规 3 2 5 4 3" xfId="11687"/>
    <cellStyle name="常规 3 2 5 4 4" xfId="11688"/>
    <cellStyle name="常规 3 2 5 5" xfId="11689"/>
    <cellStyle name="常规 3 2 5 5 2" xfId="11690"/>
    <cellStyle name="常规 3 2 5 5 3" xfId="11691"/>
    <cellStyle name="常规 3 2 5 6" xfId="11692"/>
    <cellStyle name="常规 3 2 5 7" xfId="11693"/>
    <cellStyle name="常规 3 2 5 8" xfId="11694"/>
    <cellStyle name="常规 3 2 6" xfId="11695"/>
    <cellStyle name="常规 3 2 6 2" xfId="11696"/>
    <cellStyle name="常规 3 2 6 2 2" xfId="11697"/>
    <cellStyle name="常规 3 2 6 2 3" xfId="11698"/>
    <cellStyle name="常规 3 2 6 2 4" xfId="11699"/>
    <cellStyle name="常规 3 2 6 3" xfId="11700"/>
    <cellStyle name="常规 3 2 6 3 2" xfId="11701"/>
    <cellStyle name="常规 3 2 6 3 3" xfId="11702"/>
    <cellStyle name="常规 3 2 6 4" xfId="11703"/>
    <cellStyle name="常规 3 2 6 5" xfId="11704"/>
    <cellStyle name="常规 3 2 6 6" xfId="11705"/>
    <cellStyle name="常规 3 2 7" xfId="11706"/>
    <cellStyle name="常规 3 2 7 2" xfId="11707"/>
    <cellStyle name="常规 3 2 7 2 2" xfId="11708"/>
    <cellStyle name="常规 3 2 7 2 2 2" xfId="11709"/>
    <cellStyle name="常规 3 2 7 2 2 3" xfId="11710"/>
    <cellStyle name="常规 3 2 7 2 3" xfId="11711"/>
    <cellStyle name="常规 3 2 7 2 4" xfId="11712"/>
    <cellStyle name="常规 3 2 7 2 5" xfId="11713"/>
    <cellStyle name="常规 3 2 7 3" xfId="11714"/>
    <cellStyle name="常规 3 2 7 3 2" xfId="11715"/>
    <cellStyle name="常规 3 2 7 3 3" xfId="11716"/>
    <cellStyle name="常规 3 2 7 4" xfId="11717"/>
    <cellStyle name="常规 3 2 7 5" xfId="11718"/>
    <cellStyle name="常规 3 2 7 6" xfId="11719"/>
    <cellStyle name="常规 3 2 8" xfId="11720"/>
    <cellStyle name="常规 3 2 8 2" xfId="11721"/>
    <cellStyle name="常规 3 2 8 3" xfId="11722"/>
    <cellStyle name="常规 3 2 8 4" xfId="11723"/>
    <cellStyle name="常规 3 2 9" xfId="11724"/>
    <cellStyle name="常规 3 2 9 2" xfId="11725"/>
    <cellStyle name="常规 3 2 9 3" xfId="11726"/>
    <cellStyle name="常规 3 3" xfId="11727"/>
    <cellStyle name="常规 3 3 2" xfId="11728"/>
    <cellStyle name="常规 3 3 2 2" xfId="11729"/>
    <cellStyle name="常规 3 3 2 2 2" xfId="11730"/>
    <cellStyle name="常规 3 3 2 2 2 2" xfId="11731"/>
    <cellStyle name="常规 3 3 2 2 3" xfId="11732"/>
    <cellStyle name="常规 3 3 2 2 4" xfId="11733"/>
    <cellStyle name="常规 3 3 2 2 5" xfId="11734"/>
    <cellStyle name="常规 3 3 2 3" xfId="11735"/>
    <cellStyle name="常规 3 3 2 3 2" xfId="11736"/>
    <cellStyle name="常规 3 3 2 3 2 2" xfId="11737"/>
    <cellStyle name="常规 3 3 2 3 2 3" xfId="11738"/>
    <cellStyle name="常规 3 3 2 3 2 4" xfId="11739"/>
    <cellStyle name="常规 3 3 2 3 3" xfId="11740"/>
    <cellStyle name="常规 3 3 2 3 3 2" xfId="11741"/>
    <cellStyle name="常规 3 3 2 3 3 3" xfId="11742"/>
    <cellStyle name="常规 3 3 2 3 4" xfId="11743"/>
    <cellStyle name="常规 3 3 2 3 5" xfId="11744"/>
    <cellStyle name="常规 3 3 2 3 6" xfId="11745"/>
    <cellStyle name="常规 3 3 2 4" xfId="11746"/>
    <cellStyle name="常规 3 3 2 4 2" xfId="11747"/>
    <cellStyle name="常规 3 3 2 4 3" xfId="11748"/>
    <cellStyle name="常规 3 3 2 4 4" xfId="11749"/>
    <cellStyle name="常规 3 3 2 5" xfId="11750"/>
    <cellStyle name="常规 3 3 2 5 2" xfId="11751"/>
    <cellStyle name="常规 3 3 2 5 3" xfId="11752"/>
    <cellStyle name="常规 3 3 2 6" xfId="11753"/>
    <cellStyle name="常规 3 3 2 7" xfId="11754"/>
    <cellStyle name="常规 3 3 2 8" xfId="11755"/>
    <cellStyle name="常规 3 3 3" xfId="11756"/>
    <cellStyle name="常规 3 3 3 2" xfId="11757"/>
    <cellStyle name="常规 3 3 3 2 2" xfId="11758"/>
    <cellStyle name="常规 3 3 3 2 3" xfId="11759"/>
    <cellStyle name="常规 3 3 3 2 4" xfId="11760"/>
    <cellStyle name="常规 3 3 3 3" xfId="11761"/>
    <cellStyle name="常规 3 3 3 3 2" xfId="11762"/>
    <cellStyle name="常规 3 3 3 3 3" xfId="11763"/>
    <cellStyle name="常规 3 3 3 4" xfId="11764"/>
    <cellStyle name="常规 3 3 3 5" xfId="11765"/>
    <cellStyle name="常规 3 3 3 6" xfId="11766"/>
    <cellStyle name="常规 3 3 4" xfId="11767"/>
    <cellStyle name="常规 3 3 4 2" xfId="11768"/>
    <cellStyle name="常规 3 3 4 2 2" xfId="11769"/>
    <cellStyle name="常规 3 3 4 2 2 2" xfId="11770"/>
    <cellStyle name="常规 3 3 4 2 2 3" xfId="11771"/>
    <cellStyle name="常规 3 3 4 2 3" xfId="11772"/>
    <cellStyle name="常规 3 3 4 2 4" xfId="11773"/>
    <cellStyle name="常规 3 3 4 2 5" xfId="11774"/>
    <cellStyle name="常规 3 3 4 3" xfId="11775"/>
    <cellStyle name="常规 3 3 4 3 2" xfId="11776"/>
    <cellStyle name="常规 3 3 4 3 3" xfId="11777"/>
    <cellStyle name="常规 3 3 4 4" xfId="11778"/>
    <cellStyle name="常规 3 3 4 5" xfId="11779"/>
    <cellStyle name="常规 3 3 4 6" xfId="11780"/>
    <cellStyle name="常规 3 3 5" xfId="11781"/>
    <cellStyle name="常规 3 3 5 2" xfId="11782"/>
    <cellStyle name="常规 3 3 5 3" xfId="11783"/>
    <cellStyle name="常规 3 3 5 4" xfId="11784"/>
    <cellStyle name="常规 3 3 6" xfId="11785"/>
    <cellStyle name="常规 3 3 6 2" xfId="11786"/>
    <cellStyle name="常规 3 3 6 3" xfId="11787"/>
    <cellStyle name="常规 3 3 7" xfId="11788"/>
    <cellStyle name="常规 3 3 8" xfId="11789"/>
    <cellStyle name="常规 3 3 9" xfId="11790"/>
    <cellStyle name="常规 3 4" xfId="11791"/>
    <cellStyle name="常规 3 4 2" xfId="11792"/>
    <cellStyle name="常规 3 4 2 2" xfId="11793"/>
    <cellStyle name="常规 3 4 2 2 2" xfId="11794"/>
    <cellStyle name="常规 3 4 2 2 2 2" xfId="11795"/>
    <cellStyle name="常规 3 4 2 2 3" xfId="11796"/>
    <cellStyle name="常规 3 4 2 2 4" xfId="11797"/>
    <cellStyle name="常规 3 4 2 2 5" xfId="11798"/>
    <cellStyle name="常规 3 4 2 3" xfId="11799"/>
    <cellStyle name="常规 3 4 2 3 2" xfId="11800"/>
    <cellStyle name="常规 3 4 2 3 2 2" xfId="11801"/>
    <cellStyle name="常规 3 4 2 3 2 3" xfId="11802"/>
    <cellStyle name="常规 3 4 2 3 2 4" xfId="11803"/>
    <cellStyle name="常规 3 4 2 3 3" xfId="11804"/>
    <cellStyle name="常规 3 4 2 3 3 2" xfId="11805"/>
    <cellStyle name="常规 3 4 2 3 3 3" xfId="11806"/>
    <cellStyle name="常规 3 4 2 3 4" xfId="11807"/>
    <cellStyle name="常规 3 4 2 3 5" xfId="11808"/>
    <cellStyle name="常规 3 4 2 3 6" xfId="11809"/>
    <cellStyle name="常规 3 4 2 4" xfId="11810"/>
    <cellStyle name="常规 3 4 2 4 2" xfId="11811"/>
    <cellStyle name="常规 3 4 2 4 3" xfId="11812"/>
    <cellStyle name="常规 3 4 2 4 4" xfId="11813"/>
    <cellStyle name="常规 3 4 2 5" xfId="11814"/>
    <cellStyle name="常规 3 4 2 5 2" xfId="11815"/>
    <cellStyle name="常规 3 4 2 5 3" xfId="11816"/>
    <cellStyle name="常规 3 4 2 6" xfId="11817"/>
    <cellStyle name="常规 3 4 2 7" xfId="11818"/>
    <cellStyle name="常规 3 4 2 8" xfId="11819"/>
    <cellStyle name="常规 3 4 3" xfId="11820"/>
    <cellStyle name="常规 3 4 3 2" xfId="11821"/>
    <cellStyle name="常规 3 4 3 2 2" xfId="11822"/>
    <cellStyle name="常规 3 4 3 2 3" xfId="11823"/>
    <cellStyle name="常规 3 4 3 2 4" xfId="11824"/>
    <cellStyle name="常规 3 4 3 3" xfId="11825"/>
    <cellStyle name="常规 3 4 3 3 2" xfId="11826"/>
    <cellStyle name="常规 3 4 3 3 3" xfId="11827"/>
    <cellStyle name="常规 3 4 3 4" xfId="11828"/>
    <cellStyle name="常规 3 4 3 5" xfId="11829"/>
    <cellStyle name="常规 3 4 3 6" xfId="11830"/>
    <cellStyle name="常规 3 4 4" xfId="11831"/>
    <cellStyle name="常规 3 4 4 2" xfId="11832"/>
    <cellStyle name="常规 3 4 4 2 2" xfId="11833"/>
    <cellStyle name="常规 3 4 4 2 2 2" xfId="11834"/>
    <cellStyle name="常规 3 4 4 2 2 3" xfId="11835"/>
    <cellStyle name="常规 3 4 4 2 3" xfId="11836"/>
    <cellStyle name="常规 3 4 4 2 4" xfId="11837"/>
    <cellStyle name="常规 3 4 4 2 5" xfId="11838"/>
    <cellStyle name="常规 3 4 4 3" xfId="11839"/>
    <cellStyle name="常规 3 4 4 3 2" xfId="11840"/>
    <cellStyle name="常规 3 4 4 3 3" xfId="11841"/>
    <cellStyle name="常规 3 4 4 4" xfId="11842"/>
    <cellStyle name="常规 3 4 4 5" xfId="11843"/>
    <cellStyle name="常规 3 4 4 6" xfId="11844"/>
    <cellStyle name="常规 3 4 5" xfId="11845"/>
    <cellStyle name="常规 3 4 5 2" xfId="11846"/>
    <cellStyle name="常规 3 4 5 3" xfId="11847"/>
    <cellStyle name="常规 3 4 5 4" xfId="11848"/>
    <cellStyle name="常规 3 4 6" xfId="11849"/>
    <cellStyle name="常规 3 4 6 2" xfId="11850"/>
    <cellStyle name="常规 3 4 6 3" xfId="11851"/>
    <cellStyle name="常规 3 4 7" xfId="11852"/>
    <cellStyle name="常规 3 4 8" xfId="11853"/>
    <cellStyle name="常规 3 4 9" xfId="11854"/>
    <cellStyle name="常规 3 5" xfId="11855"/>
    <cellStyle name="常规 3 5 2" xfId="11856"/>
    <cellStyle name="常规 3 5 2 2" xfId="11857"/>
    <cellStyle name="常规 3 5 2 2 2" xfId="11858"/>
    <cellStyle name="常规 3 5 2 2 2 2" xfId="11859"/>
    <cellStyle name="常规 3 5 2 2 3" xfId="11860"/>
    <cellStyle name="常规 3 5 2 2 4" xfId="11861"/>
    <cellStyle name="常规 3 5 2 2 5" xfId="11862"/>
    <cellStyle name="常规 3 5 2 3" xfId="11863"/>
    <cellStyle name="常规 3 5 2 3 2" xfId="11864"/>
    <cellStyle name="常规 3 5 2 3 2 2" xfId="11865"/>
    <cellStyle name="常规 3 5 2 3 2 3" xfId="11866"/>
    <cellStyle name="常规 3 5 2 3 2 4" xfId="11867"/>
    <cellStyle name="常规 3 5 2 3 3" xfId="11868"/>
    <cellStyle name="常规 3 5 2 3 3 2" xfId="11869"/>
    <cellStyle name="常规 3 5 2 3 3 3" xfId="11870"/>
    <cellStyle name="常规 3 5 2 3 4" xfId="11871"/>
    <cellStyle name="常规 3 5 2 3 5" xfId="11872"/>
    <cellStyle name="常规 3 5 2 3 6" xfId="11873"/>
    <cellStyle name="常规 3 5 2 4" xfId="11874"/>
    <cellStyle name="常规 3 5 2 4 2" xfId="11875"/>
    <cellStyle name="常规 3 5 2 4 3" xfId="11876"/>
    <cellStyle name="常规 3 5 2 4 4" xfId="11877"/>
    <cellStyle name="常规 3 5 2 5" xfId="11878"/>
    <cellStyle name="常规 3 5 2 5 2" xfId="11879"/>
    <cellStyle name="常规 3 5 2 5 3" xfId="11880"/>
    <cellStyle name="常规 3 5 2 6" xfId="11881"/>
    <cellStyle name="常规 3 5 2 7" xfId="11882"/>
    <cellStyle name="常规 3 5 2 8" xfId="11883"/>
    <cellStyle name="常规 3 5 3" xfId="11884"/>
    <cellStyle name="常规 3 5 3 2" xfId="11885"/>
    <cellStyle name="常规 3 5 3 2 2" xfId="11886"/>
    <cellStyle name="常规 3 5 3 2 3" xfId="11887"/>
    <cellStyle name="常规 3 5 3 2 4" xfId="11888"/>
    <cellStyle name="常规 3 5 3 3" xfId="11889"/>
    <cellStyle name="常规 3 5 3 3 2" xfId="11890"/>
    <cellStyle name="常规 3 5 3 3 3" xfId="11891"/>
    <cellStyle name="常规 3 5 3 4" xfId="11892"/>
    <cellStyle name="常规 3 5 3 5" xfId="11893"/>
    <cellStyle name="常规 3 5 3 6" xfId="11894"/>
    <cellStyle name="常规 3 5 4" xfId="11895"/>
    <cellStyle name="常规 3 5 4 2" xfId="11896"/>
    <cellStyle name="常规 3 5 4 2 2" xfId="11897"/>
    <cellStyle name="常规 3 5 4 2 2 2" xfId="11898"/>
    <cellStyle name="常规 3 5 4 2 2 3" xfId="11899"/>
    <cellStyle name="常规 3 5 4 2 3" xfId="11900"/>
    <cellStyle name="常规 3 5 4 2 4" xfId="11901"/>
    <cellStyle name="常规 3 5 4 2 5" xfId="11902"/>
    <cellStyle name="常规 3 5 4 3" xfId="11903"/>
    <cellStyle name="常规 3 5 4 3 2" xfId="11904"/>
    <cellStyle name="常规 3 5 4 3 3" xfId="11905"/>
    <cellStyle name="常规 3 5 4 4" xfId="11906"/>
    <cellStyle name="常规 3 5 4 5" xfId="11907"/>
    <cellStyle name="常规 3 5 4 6" xfId="11908"/>
    <cellStyle name="常规 3 5 5" xfId="11909"/>
    <cellStyle name="常规 3 5 5 2" xfId="11910"/>
    <cellStyle name="常规 3 5 5 3" xfId="11911"/>
    <cellStyle name="常规 3 5 5 4" xfId="11912"/>
    <cellStyle name="常规 3 5 6" xfId="11913"/>
    <cellStyle name="常规 3 5 6 2" xfId="11914"/>
    <cellStyle name="常规 3 5 6 3" xfId="11915"/>
    <cellStyle name="常规 3 5 7" xfId="11916"/>
    <cellStyle name="常规 3 5 8" xfId="11917"/>
    <cellStyle name="常规 3 5 9" xfId="11918"/>
    <cellStyle name="常规 3 6" xfId="11919"/>
    <cellStyle name="常规 3 6 10" xfId="11920"/>
    <cellStyle name="常规 3 6 2" xfId="11921"/>
    <cellStyle name="常规 3 6 2 2" xfId="11922"/>
    <cellStyle name="常规 3 6 2 2 2" xfId="11923"/>
    <cellStyle name="常规 3 6 2 2 2 2" xfId="11924"/>
    <cellStyle name="常规 3 6 2 2 2 2 2" xfId="11925"/>
    <cellStyle name="常规 3 6 2 2 2 3" xfId="11926"/>
    <cellStyle name="常规 3 6 2 2 2 4" xfId="11927"/>
    <cellStyle name="常规 3 6 2 2 2 5" xfId="11928"/>
    <cellStyle name="常规 3 6 2 2 3" xfId="11929"/>
    <cellStyle name="常规 3 6 2 2 3 2" xfId="11930"/>
    <cellStyle name="常规 3 6 2 2 3 2 2" xfId="11931"/>
    <cellStyle name="常规 3 6 2 2 3 2 3" xfId="11932"/>
    <cellStyle name="常规 3 6 2 2 3 2 4" xfId="11933"/>
    <cellStyle name="常规 3 6 2 2 3 3" xfId="11934"/>
    <cellStyle name="常规 3 6 2 2 3 3 2" xfId="11935"/>
    <cellStyle name="常规 3 6 2 2 3 3 3" xfId="11936"/>
    <cellStyle name="常规 3 6 2 2 3 4" xfId="11937"/>
    <cellStyle name="常规 3 6 2 2 3 5" xfId="11938"/>
    <cellStyle name="常规 3 6 2 2 3 6" xfId="11939"/>
    <cellStyle name="常规 3 6 2 2 4" xfId="11940"/>
    <cellStyle name="常规 3 6 2 2 4 2" xfId="11941"/>
    <cellStyle name="常规 3 6 2 2 4 3" xfId="11942"/>
    <cellStyle name="常规 3 6 2 2 4 4" xfId="11943"/>
    <cellStyle name="常规 3 6 2 2 5" xfId="11944"/>
    <cellStyle name="常规 3 6 2 2 5 2" xfId="11945"/>
    <cellStyle name="常规 3 6 2 2 5 3" xfId="11946"/>
    <cellStyle name="常规 3 6 2 2 6" xfId="11947"/>
    <cellStyle name="常规 3 6 2 2 7" xfId="11948"/>
    <cellStyle name="常规 3 6 2 2 8" xfId="11949"/>
    <cellStyle name="常规 3 6 2 3" xfId="11950"/>
    <cellStyle name="常规 3 6 2 3 2" xfId="11951"/>
    <cellStyle name="常规 3 6 2 3 2 2" xfId="11952"/>
    <cellStyle name="常规 3 6 2 3 2 3" xfId="11953"/>
    <cellStyle name="常规 3 6 2 3 2 4" xfId="11954"/>
    <cellStyle name="常规 3 6 2 3 3" xfId="11955"/>
    <cellStyle name="常规 3 6 2 3 3 2" xfId="11956"/>
    <cellStyle name="常规 3 6 2 3 3 3" xfId="11957"/>
    <cellStyle name="常规 3 6 2 3 4" xfId="11958"/>
    <cellStyle name="常规 3 6 2 3 5" xfId="11959"/>
    <cellStyle name="常规 3 6 2 3 6" xfId="11960"/>
    <cellStyle name="常规 3 6 2 4" xfId="11961"/>
    <cellStyle name="常规 3 6 2 4 2" xfId="11962"/>
    <cellStyle name="常规 3 6 2 4 2 2" xfId="11963"/>
    <cellStyle name="常规 3 6 2 4 2 2 2" xfId="11964"/>
    <cellStyle name="常规 3 6 2 4 2 2 3" xfId="11965"/>
    <cellStyle name="常规 3 6 2 4 2 3" xfId="11966"/>
    <cellStyle name="常规 3 6 2 4 2 4" xfId="11967"/>
    <cellStyle name="常规 3 6 2 4 2 5" xfId="11968"/>
    <cellStyle name="常规 3 6 2 4 3" xfId="11969"/>
    <cellStyle name="常规 3 6 2 4 3 2" xfId="11970"/>
    <cellStyle name="常规 3 6 2 4 3 3" xfId="11971"/>
    <cellStyle name="常规 3 6 2 4 4" xfId="11972"/>
    <cellStyle name="常规 3 6 2 4 5" xfId="11973"/>
    <cellStyle name="常规 3 6 2 4 6" xfId="11974"/>
    <cellStyle name="常规 3 6 2 5" xfId="11975"/>
    <cellStyle name="常规 3 6 2 5 2" xfId="11976"/>
    <cellStyle name="常规 3 6 2 5 3" xfId="11977"/>
    <cellStyle name="常规 3 6 2 5 4" xfId="11978"/>
    <cellStyle name="常规 3 6 2 6" xfId="11979"/>
    <cellStyle name="常规 3 6 2 6 2" xfId="11980"/>
    <cellStyle name="常规 3 6 2 6 3" xfId="11981"/>
    <cellStyle name="常规 3 6 2 7" xfId="11982"/>
    <cellStyle name="常规 3 6 2 8" xfId="11983"/>
    <cellStyle name="常规 3 6 2 9" xfId="11984"/>
    <cellStyle name="常规 3 6 3" xfId="11985"/>
    <cellStyle name="常规 3 6 3 2" xfId="11986"/>
    <cellStyle name="常规 3 6 3 2 2" xfId="11987"/>
    <cellStyle name="常规 3 6 3 2 2 2" xfId="11988"/>
    <cellStyle name="常规 3 6 3 2 3" xfId="11989"/>
    <cellStyle name="常规 3 6 3 2 4" xfId="11990"/>
    <cellStyle name="常规 3 6 3 2 5" xfId="11991"/>
    <cellStyle name="常规 3 6 3 3" xfId="11992"/>
    <cellStyle name="常规 3 6 3 3 2" xfId="11993"/>
    <cellStyle name="常规 3 6 3 3 2 2" xfId="11994"/>
    <cellStyle name="常规 3 6 3 3 2 3" xfId="11995"/>
    <cellStyle name="常规 3 6 3 3 2 4" xfId="11996"/>
    <cellStyle name="常规 3 6 3 3 3" xfId="11997"/>
    <cellStyle name="常规 3 6 3 3 3 2" xfId="11998"/>
    <cellStyle name="常规 3 6 3 3 3 3" xfId="11999"/>
    <cellStyle name="常规 3 6 3 3 4" xfId="12000"/>
    <cellStyle name="常规 3 6 3 3 5" xfId="12001"/>
    <cellStyle name="常规 3 6 3 3 6" xfId="12002"/>
    <cellStyle name="常规 3 6 3 4" xfId="12003"/>
    <cellStyle name="常规 3 6 3 4 2" xfId="12004"/>
    <cellStyle name="常规 3 6 3 4 3" xfId="12005"/>
    <cellStyle name="常规 3 6 3 4 4" xfId="12006"/>
    <cellStyle name="常规 3 6 3 5" xfId="12007"/>
    <cellStyle name="常规 3 6 3 5 2" xfId="12008"/>
    <cellStyle name="常规 3 6 3 5 3" xfId="12009"/>
    <cellStyle name="常规 3 6 3 6" xfId="12010"/>
    <cellStyle name="常规 3 6 3 7" xfId="12011"/>
    <cellStyle name="常规 3 6 3 8" xfId="12012"/>
    <cellStyle name="常规 3 6 4" xfId="12013"/>
    <cellStyle name="常规 3 6 4 2" xfId="12014"/>
    <cellStyle name="常规 3 6 4 2 2" xfId="12015"/>
    <cellStyle name="常规 3 6 4 2 3" xfId="12016"/>
    <cellStyle name="常规 3 6 4 2 4" xfId="12017"/>
    <cellStyle name="常规 3 6 4 3" xfId="12018"/>
    <cellStyle name="常规 3 6 4 3 2" xfId="12019"/>
    <cellStyle name="常规 3 6 4 3 3" xfId="12020"/>
    <cellStyle name="常规 3 6 4 4" xfId="12021"/>
    <cellStyle name="常规 3 6 4 5" xfId="12022"/>
    <cellStyle name="常规 3 6 4 6" xfId="12023"/>
    <cellStyle name="常规 3 6 5" xfId="12024"/>
    <cellStyle name="常规 3 6 5 2" xfId="12025"/>
    <cellStyle name="常规 3 6 5 2 2" xfId="12026"/>
    <cellStyle name="常规 3 6 5 2 2 2" xfId="12027"/>
    <cellStyle name="常规 3 6 5 2 2 3" xfId="12028"/>
    <cellStyle name="常规 3 6 5 2 3" xfId="12029"/>
    <cellStyle name="常规 3 6 5 2 4" xfId="12030"/>
    <cellStyle name="常规 3 6 5 2 5" xfId="12031"/>
    <cellStyle name="常规 3 6 5 3" xfId="12032"/>
    <cellStyle name="常规 3 6 5 3 2" xfId="12033"/>
    <cellStyle name="常规 3 6 5 3 3" xfId="12034"/>
    <cellStyle name="常规 3 6 5 4" xfId="12035"/>
    <cellStyle name="常规 3 6 5 5" xfId="12036"/>
    <cellStyle name="常规 3 6 5 6" xfId="12037"/>
    <cellStyle name="常规 3 6 6" xfId="12038"/>
    <cellStyle name="常规 3 6 6 2" xfId="12039"/>
    <cellStyle name="常规 3 6 6 3" xfId="12040"/>
    <cellStyle name="常规 3 6 6 4" xfId="12041"/>
    <cellStyle name="常规 3 6 7" xfId="12042"/>
    <cellStyle name="常规 3 6 7 2" xfId="12043"/>
    <cellStyle name="常规 3 6 7 3" xfId="12044"/>
    <cellStyle name="常规 3 6 8" xfId="12045"/>
    <cellStyle name="常规 3 6 9" xfId="12046"/>
    <cellStyle name="常规 3 7" xfId="12047"/>
    <cellStyle name="常规 3 7 2" xfId="12048"/>
    <cellStyle name="常规 3 7 2 2" xfId="12049"/>
    <cellStyle name="常规 3 7 2 2 2" xfId="12050"/>
    <cellStyle name="常规 3 7 2 3" xfId="12051"/>
    <cellStyle name="常规 3 7 2 4" xfId="12052"/>
    <cellStyle name="常规 3 7 2 5" xfId="12053"/>
    <cellStyle name="常规 3 7 3" xfId="12054"/>
    <cellStyle name="常规 3 7 3 2" xfId="12055"/>
    <cellStyle name="常规 3 7 3 2 2" xfId="12056"/>
    <cellStyle name="常规 3 7 3 2 3" xfId="12057"/>
    <cellStyle name="常规 3 7 3 2 4" xfId="12058"/>
    <cellStyle name="常规 3 7 3 3" xfId="12059"/>
    <cellStyle name="常规 3 7 3 3 2" xfId="12060"/>
    <cellStyle name="常规 3 7 3 3 3" xfId="12061"/>
    <cellStyle name="常规 3 7 3 4" xfId="12062"/>
    <cellStyle name="常规 3 7 3 5" xfId="12063"/>
    <cellStyle name="常规 3 7 3 6" xfId="12064"/>
    <cellStyle name="常规 3 7 4" xfId="12065"/>
    <cellStyle name="常规 3 7 4 2" xfId="12066"/>
    <cellStyle name="常规 3 7 4 3" xfId="12067"/>
    <cellStyle name="常规 3 7 4 4" xfId="12068"/>
    <cellStyle name="常规 3 7 5" xfId="12069"/>
    <cellStyle name="常规 3 7 5 2" xfId="12070"/>
    <cellStyle name="常规 3 7 5 3" xfId="12071"/>
    <cellStyle name="常规 3 7 6" xfId="12072"/>
    <cellStyle name="常规 3 7 7" xfId="12073"/>
    <cellStyle name="常规 3 7 8" xfId="12074"/>
    <cellStyle name="常规 3 8" xfId="12075"/>
    <cellStyle name="常规 3 8 2" xfId="12076"/>
    <cellStyle name="常规 3 8 2 2" xfId="12077"/>
    <cellStyle name="常规 3 8 2 3" xfId="12078"/>
    <cellStyle name="常规 3 8 2 4" xfId="12079"/>
    <cellStyle name="常规 3 8 3" xfId="12080"/>
    <cellStyle name="常规 3 8 3 2" xfId="12081"/>
    <cellStyle name="常规 3 8 3 3" xfId="12082"/>
    <cellStyle name="常规 3 8 4" xfId="12083"/>
    <cellStyle name="常规 3 8 5" xfId="12084"/>
    <cellStyle name="常规 3 8 6" xfId="12085"/>
    <cellStyle name="常规 3 9" xfId="12086"/>
    <cellStyle name="常规 3 9 2" xfId="12087"/>
    <cellStyle name="常规 3 9 2 2" xfId="12088"/>
    <cellStyle name="常规 3 9 2 2 2" xfId="12089"/>
    <cellStyle name="常规 3 9 2 2 3" xfId="12090"/>
    <cellStyle name="常规 3 9 2 3" xfId="12091"/>
    <cellStyle name="常规 3 9 2 4" xfId="12092"/>
    <cellStyle name="常规 3 9 2 5" xfId="12093"/>
    <cellStyle name="常规 3 9 3" xfId="12094"/>
    <cellStyle name="常规 3 9 3 2" xfId="12095"/>
    <cellStyle name="常规 3 9 3 3" xfId="12096"/>
    <cellStyle name="常规 3 9 4" xfId="12097"/>
    <cellStyle name="常规 3 9 5" xfId="12098"/>
    <cellStyle name="常规 3 9 6" xfId="12099"/>
    <cellStyle name="常规 3_AD_GUI" xfId="12100"/>
    <cellStyle name="常规_CG_78K0RKx3-L_TestSpec&amp;Report" xfId="12101"/>
    <cellStyle name="標準 2 2" xfId="12102"/>
    <cellStyle name="標準 2 2 10" xfId="12103"/>
    <cellStyle name="標準 2 2 2" xfId="12104"/>
    <cellStyle name="標準 2 2 2 2" xfId="12105"/>
    <cellStyle name="標準 2 2 2 2 2" xfId="12106"/>
    <cellStyle name="標準 2 2 2 2 2 2" xfId="12107"/>
    <cellStyle name="標準 2 2 2 2 2 3" xfId="12108"/>
    <cellStyle name="標準 2 2 2 2 2 4" xfId="12109"/>
    <cellStyle name="標準 2 2 2 2 3" xfId="12110"/>
    <cellStyle name="標準 2 2 2 2 3 2" xfId="12111"/>
    <cellStyle name="標準 2 2 2 2 3 3" xfId="12112"/>
    <cellStyle name="標準 2 2 2 2 4" xfId="12113"/>
    <cellStyle name="標準 2 2 2 2 5" xfId="12114"/>
    <cellStyle name="標準 2 2 2 2 6" xfId="12115"/>
    <cellStyle name="標準 2 2 2 3" xfId="12116"/>
    <cellStyle name="標準 2 2 2 3 2" xfId="12117"/>
    <cellStyle name="標準 2 2 2 3 2 2" xfId="12118"/>
    <cellStyle name="標準 2 2 2 3 2 3" xfId="12119"/>
    <cellStyle name="標準 2 2 2 3 2 4" xfId="12120"/>
    <cellStyle name="標準 2 2 2 3 3" xfId="12121"/>
    <cellStyle name="標準 2 2 2 3 3 2" xfId="12122"/>
    <cellStyle name="標準 2 2 2 3 3 3" xfId="12123"/>
    <cellStyle name="標準 2 2 2 3 4" xfId="12124"/>
    <cellStyle name="標準 2 2 2 3 5" xfId="12125"/>
    <cellStyle name="標準 2 2 2 3 6" xfId="12126"/>
    <cellStyle name="標準 2 2 2 4" xfId="12127"/>
    <cellStyle name="標準 2 2 2 4 2" xfId="12128"/>
    <cellStyle name="標準 2 2 2 4 2 2" xfId="12129"/>
    <cellStyle name="標準 2 2 2 4 2 3" xfId="12130"/>
    <cellStyle name="標準 2 2 2 4 2 4" xfId="12131"/>
    <cellStyle name="標準 2 2 2 4 3" xfId="12132"/>
    <cellStyle name="標準 2 2 2 4 3 2" xfId="12133"/>
    <cellStyle name="標準 2 2 2 4 3 3" xfId="12134"/>
    <cellStyle name="標準 2 2 2 4 4" xfId="12135"/>
    <cellStyle name="標準 2 2 2 4 5" xfId="12136"/>
    <cellStyle name="標準 2 2 2 4 6" xfId="12137"/>
    <cellStyle name="標準 2 2 2 5" xfId="12138"/>
    <cellStyle name="標準 2 2 2 5 2" xfId="12139"/>
    <cellStyle name="標準 2 2 2 5 3" xfId="12140"/>
    <cellStyle name="標準 2 2 2 5 4" xfId="12141"/>
    <cellStyle name="標準 2 2 2 6" xfId="12142"/>
    <cellStyle name="標準 2 2 2 6 2" xfId="12143"/>
    <cellStyle name="標準 2 2 2 6 3" xfId="12144"/>
    <cellStyle name="標準 2 2 2 7" xfId="12145"/>
    <cellStyle name="標準 2 2 2 8" xfId="12146"/>
    <cellStyle name="標準 2 2 2 9" xfId="12147"/>
    <cellStyle name="標準 2 2 3" xfId="12148"/>
    <cellStyle name="標準 2 2 3 2" xfId="12149"/>
    <cellStyle name="標準 2 2 3 2 2" xfId="12150"/>
    <cellStyle name="標準 2 2 3 2 3" xfId="12151"/>
    <cellStyle name="標準 2 2 3 2 4" xfId="12152"/>
    <cellStyle name="標準 2 2 3 3" xfId="12153"/>
    <cellStyle name="標準 2 2 3 3 2" xfId="12154"/>
    <cellStyle name="標準 2 2 3 3 3" xfId="12155"/>
    <cellStyle name="標準 2 2 3 4" xfId="12156"/>
    <cellStyle name="標準 2 2 3 5" xfId="12157"/>
    <cellStyle name="標準 2 2 3 6" xfId="12158"/>
    <cellStyle name="標準 2 2 4" xfId="12159"/>
    <cellStyle name="標準 2 2 4 2" xfId="12160"/>
    <cellStyle name="標準 2 2 4 2 2" xfId="12161"/>
    <cellStyle name="標準 2 2 4 2 3" xfId="12162"/>
    <cellStyle name="標準 2 2 4 2 4" xfId="12163"/>
    <cellStyle name="標準 2 2 4 3" xfId="12164"/>
    <cellStyle name="標準 2 2 4 3 2" xfId="12165"/>
    <cellStyle name="標準 2 2 4 3 3" xfId="12166"/>
    <cellStyle name="標準 2 2 4 4" xfId="12167"/>
    <cellStyle name="標準 2 2 4 5" xfId="12168"/>
    <cellStyle name="標準 2 2 4 6" xfId="12169"/>
    <cellStyle name="標準 2 2 5" xfId="12170"/>
    <cellStyle name="標準 2 2 5 2" xfId="12171"/>
    <cellStyle name="標準 2 2 5 3" xfId="12172"/>
    <cellStyle name="標準 2 2 5 4" xfId="12173"/>
    <cellStyle name="標準 2 2 6" xfId="12174"/>
    <cellStyle name="標準 2 2 6 2" xfId="12175"/>
    <cellStyle name="標準 2 2 6 3" xfId="12176"/>
    <cellStyle name="標準 2 2 7" xfId="12177"/>
    <cellStyle name="標準 2 2 8" xfId="12178"/>
    <cellStyle name="標準 2 2 9" xfId="12179"/>
    <cellStyle name="標準 3" xfId="12180"/>
    <cellStyle name="標準 3 10" xfId="12181"/>
    <cellStyle name="標準 3 11" xfId="12182"/>
    <cellStyle name="標準 3 2" xfId="12183"/>
    <cellStyle name="標準 3 2 10" xfId="12184"/>
    <cellStyle name="標準 3 2 11" xfId="12185"/>
    <cellStyle name="標準 3 2 2" xfId="12186"/>
    <cellStyle name="標準 3 2 2 2" xfId="12187"/>
    <cellStyle name="標準 3 2 2 2 2" xfId="12188"/>
    <cellStyle name="標準 3 2 2 2 2 2" xfId="12189"/>
    <cellStyle name="標準 3 2 2 2 2 3" xfId="12190"/>
    <cellStyle name="標準 3 2 2 2 2 4" xfId="12191"/>
    <cellStyle name="標準 3 2 2 2 3" xfId="12192"/>
    <cellStyle name="標準 3 2 2 2 3 2" xfId="12193"/>
    <cellStyle name="標準 3 2 2 2 3 3" xfId="12194"/>
    <cellStyle name="標準 3 2 2 2 4" xfId="12195"/>
    <cellStyle name="標準 3 2 2 2 5" xfId="12196"/>
    <cellStyle name="標準 3 2 2 2 6" xfId="12197"/>
    <cellStyle name="標準 3 2 2 3" xfId="12198"/>
    <cellStyle name="標準 3 2 2 3 2" xfId="12199"/>
    <cellStyle name="標準 3 2 2 3 2 2" xfId="12200"/>
    <cellStyle name="標準 3 2 2 3 2 3" xfId="12201"/>
    <cellStyle name="標準 3 2 2 3 2 4" xfId="12202"/>
    <cellStyle name="標準 3 2 2 3 3" xfId="12203"/>
    <cellStyle name="標準 3 2 2 3 3 2" xfId="12204"/>
    <cellStyle name="標準 3 2 2 3 3 3" xfId="12205"/>
    <cellStyle name="標準 3 2 2 3 4" xfId="12206"/>
    <cellStyle name="標準 3 2 2 3 5" xfId="12207"/>
    <cellStyle name="標準 3 2 2 3 6" xfId="12208"/>
    <cellStyle name="標準 3 2 2 4" xfId="12209"/>
    <cellStyle name="標準 3 2 2 4 2" xfId="12210"/>
    <cellStyle name="標準 3 2 2 4 2 2" xfId="12211"/>
    <cellStyle name="標準 3 2 2 4 2 3" xfId="12212"/>
    <cellStyle name="標準 3 2 2 4 2 4" xfId="12213"/>
    <cellStyle name="標準 3 2 2 4 3" xfId="12214"/>
    <cellStyle name="標準 3 2 2 4 3 2" xfId="12215"/>
    <cellStyle name="標準 3 2 2 4 3 3" xfId="12216"/>
    <cellStyle name="標準 3 2 2 4 4" xfId="12217"/>
    <cellStyle name="標準 3 2 2 4 5" xfId="12218"/>
    <cellStyle name="標準 3 2 2 4 6" xfId="12219"/>
    <cellStyle name="標準 3 2 2 5" xfId="12220"/>
    <cellStyle name="標準 3 2 2 5 2" xfId="12221"/>
    <cellStyle name="標準 3 2 2 5 3" xfId="12222"/>
    <cellStyle name="標準 3 2 2 5 4" xfId="12223"/>
    <cellStyle name="標準 3 2 2 6" xfId="12224"/>
    <cellStyle name="標準 3 2 2 6 2" xfId="12225"/>
    <cellStyle name="標準 3 2 2 6 3" xfId="12226"/>
    <cellStyle name="標準 3 2 2 7" xfId="12227"/>
    <cellStyle name="標準 3 2 2 8" xfId="12228"/>
    <cellStyle name="標準 3 2 2 9" xfId="12229"/>
    <cellStyle name="標準 3 2 3" xfId="12230"/>
    <cellStyle name="標準 3 2 3 2" xfId="12231"/>
    <cellStyle name="標準 3 2 3 2 2" xfId="12232"/>
    <cellStyle name="標準 3 2 3 2 3" xfId="12233"/>
    <cellStyle name="標準 3 2 3 2 4" xfId="12234"/>
    <cellStyle name="標準 3 2 3 3" xfId="12235"/>
    <cellStyle name="標準 3 2 3 3 2" xfId="12236"/>
    <cellStyle name="標準 3 2 3 3 3" xfId="12237"/>
    <cellStyle name="標準 3 2 3 4" xfId="12238"/>
    <cellStyle name="標準 3 2 3 5" xfId="12239"/>
    <cellStyle name="標準 3 2 3 6" xfId="12240"/>
    <cellStyle name="標準 3 2 4" xfId="12241"/>
    <cellStyle name="標準 3 2 4 2" xfId="12242"/>
    <cellStyle name="標準 3 2 4 2 2" xfId="12243"/>
    <cellStyle name="標準 3 2 4 2 3" xfId="12244"/>
    <cellStyle name="標準 3 2 4 2 4" xfId="12245"/>
    <cellStyle name="標準 3 2 4 3" xfId="12246"/>
    <cellStyle name="標準 3 2 4 3 2" xfId="12247"/>
    <cellStyle name="標準 3 2 4 3 3" xfId="12248"/>
    <cellStyle name="標準 3 2 4 4" xfId="12249"/>
    <cellStyle name="標準 3 2 4 5" xfId="12250"/>
    <cellStyle name="標準 3 2 4 6" xfId="12251"/>
    <cellStyle name="標準 3 2 5" xfId="12252"/>
    <cellStyle name="標準 3 2 5 2" xfId="12253"/>
    <cellStyle name="標準 3 2 5 2 2" xfId="12254"/>
    <cellStyle name="標準 3 2 5 2 3" xfId="12255"/>
    <cellStyle name="標準 3 2 5 2 4" xfId="12256"/>
    <cellStyle name="標準 3 2 5 3" xfId="12257"/>
    <cellStyle name="標準 3 2 5 3 2" xfId="12258"/>
    <cellStyle name="標準 3 2 5 3 3" xfId="12259"/>
    <cellStyle name="標準 3 2 5 4" xfId="12260"/>
    <cellStyle name="標準 3 2 5 5" xfId="12261"/>
    <cellStyle name="標準 3 2 5 6" xfId="12262"/>
    <cellStyle name="標準 3 2 6" xfId="12263"/>
    <cellStyle name="標準 3 2 6 2" xfId="12264"/>
    <cellStyle name="標準 3 2 6 3" xfId="12265"/>
    <cellStyle name="標準 3 2 6 4" xfId="12266"/>
    <cellStyle name="標準 3 2 7" xfId="12267"/>
    <cellStyle name="標準 3 2 7 2" xfId="12268"/>
    <cellStyle name="標準 3 2 7 3" xfId="12269"/>
    <cellStyle name="標準 3 2 8" xfId="12270"/>
    <cellStyle name="標準 3 2 9" xfId="12271"/>
    <cellStyle name="標準 3 3" xfId="12272"/>
    <cellStyle name="標準 3 3 2" xfId="12273"/>
    <cellStyle name="標準 3 3 2 2" xfId="12274"/>
    <cellStyle name="標準 3 3 2 2 2" xfId="12275"/>
    <cellStyle name="標準 3 3 2 2 3" xfId="12276"/>
    <cellStyle name="標準 3 3 2 2 4" xfId="12277"/>
    <cellStyle name="標準 3 3 2 3" xfId="12278"/>
    <cellStyle name="標準 3 3 2 3 2" xfId="12279"/>
    <cellStyle name="標準 3 3 2 3 3" xfId="12280"/>
    <cellStyle name="標準 3 3 2 4" xfId="12281"/>
    <cellStyle name="標準 3 3 2 5" xfId="12282"/>
    <cellStyle name="標準 3 3 2 6" xfId="12283"/>
    <cellStyle name="標準 3 3 3" xfId="12284"/>
    <cellStyle name="標準 3 3 3 2" xfId="12285"/>
    <cellStyle name="標準 3 3 3 2 2" xfId="12286"/>
    <cellStyle name="標準 3 3 3 2 3" xfId="12287"/>
    <cellStyle name="標準 3 3 3 2 4" xfId="12288"/>
    <cellStyle name="標準 3 3 3 3" xfId="12289"/>
    <cellStyle name="標準 3 3 3 3 2" xfId="12290"/>
    <cellStyle name="標準 3 3 3 3 3" xfId="12291"/>
    <cellStyle name="標準 3 3 3 4" xfId="12292"/>
    <cellStyle name="標準 3 3 3 5" xfId="12293"/>
    <cellStyle name="標準 3 3 3 6" xfId="12294"/>
    <cellStyle name="標準 3 3 4" xfId="12295"/>
    <cellStyle name="標準 3 3 4 2" xfId="12296"/>
    <cellStyle name="標準 3 3 4 2 2" xfId="12297"/>
    <cellStyle name="標準 3 3 4 2 3" xfId="12298"/>
    <cellStyle name="標準 3 3 4 2 4" xfId="12299"/>
    <cellStyle name="標準 3 3 4 3" xfId="12300"/>
    <cellStyle name="標準 3 3 4 3 2" xfId="12301"/>
    <cellStyle name="標準 3 3 4 3 3" xfId="12302"/>
    <cellStyle name="標準 3 3 4 4" xfId="12303"/>
    <cellStyle name="標準 3 3 4 5" xfId="12304"/>
    <cellStyle name="標準 3 3 4 6" xfId="12305"/>
    <cellStyle name="標準 3 3 5" xfId="12306"/>
    <cellStyle name="標準 3 3 5 2" xfId="12307"/>
    <cellStyle name="標準 3 3 5 3" xfId="12308"/>
    <cellStyle name="標準 3 3 5 4" xfId="12309"/>
    <cellStyle name="標準 3 3 6" xfId="12310"/>
    <cellStyle name="標準 3 3 6 2" xfId="12311"/>
    <cellStyle name="標準 3 3 6 3" xfId="12312"/>
    <cellStyle name="標準 3 3 7" xfId="12313"/>
    <cellStyle name="標準 3 3 8" xfId="12314"/>
    <cellStyle name="標準 3 3 9" xfId="12315"/>
    <cellStyle name="標準 3 4" xfId="12316"/>
    <cellStyle name="標準 3 4 2" xfId="12317"/>
    <cellStyle name="標準 3 4 2 2" xfId="12318"/>
    <cellStyle name="標準 3 4 2 3" xfId="12319"/>
    <cellStyle name="標準 3 4 2 4" xfId="12320"/>
    <cellStyle name="標準 3 4 3" xfId="12321"/>
    <cellStyle name="標準 3 4 3 2" xfId="12322"/>
    <cellStyle name="標準 3 4 3 3" xfId="12323"/>
    <cellStyle name="標準 3 4 4" xfId="12324"/>
    <cellStyle name="標準 3 4 5" xfId="12325"/>
    <cellStyle name="標準 3 4 6" xfId="12326"/>
    <cellStyle name="標準 3 5" xfId="12327"/>
    <cellStyle name="標準 3 5 2" xfId="12328"/>
    <cellStyle name="標準 3 5 2 2" xfId="12329"/>
    <cellStyle name="標準 3 5 2 3" xfId="12330"/>
    <cellStyle name="標準 3 5 2 4" xfId="12331"/>
    <cellStyle name="標準 3 5 3" xfId="12332"/>
    <cellStyle name="標準 3 5 3 2" xfId="12333"/>
    <cellStyle name="標準 3 5 3 3" xfId="12334"/>
    <cellStyle name="標準 3 5 4" xfId="12335"/>
    <cellStyle name="標準 3 5 5" xfId="12336"/>
    <cellStyle name="標準 3 5 6" xfId="12337"/>
    <cellStyle name="標準 3 6" xfId="12338"/>
    <cellStyle name="標準 3 6 2" xfId="12339"/>
    <cellStyle name="標準 3 6 3" xfId="12340"/>
    <cellStyle name="標準 3 6 4" xfId="12341"/>
    <cellStyle name="標準 3 7" xfId="12342"/>
    <cellStyle name="標準 3 7 2" xfId="12343"/>
    <cellStyle name="標準 3 7 3" xfId="12344"/>
    <cellStyle name="標準 3 8" xfId="12345"/>
    <cellStyle name="標準 3 9" xfId="12346"/>
    <cellStyle name="超链接 2" xfId="12347"/>
    <cellStyle name="超链接 2 2" xfId="12348"/>
    <cellStyle name="超链接 2 2 2" xfId="12349"/>
    <cellStyle name="超链接 2 2 2 2" xfId="12350"/>
    <cellStyle name="超链接 2 2 2 2 2" xfId="12351"/>
    <cellStyle name="超链接 2 2 2 3" xfId="12352"/>
    <cellStyle name="超链接 2 2 2 4" xfId="12353"/>
    <cellStyle name="超链接 2 2 2 5" xfId="12354"/>
    <cellStyle name="超链接 2 2 3" xfId="12355"/>
    <cellStyle name="超链接 2 2 3 2" xfId="12356"/>
    <cellStyle name="超链接 2 2 3 2 2" xfId="12357"/>
    <cellStyle name="超链接 2 2 3 2 3" xfId="12358"/>
    <cellStyle name="超链接 2 2 3 2 4" xfId="12359"/>
    <cellStyle name="超链接 2 2 3 3" xfId="12360"/>
    <cellStyle name="超链接 2 2 3 3 2" xfId="12361"/>
    <cellStyle name="超链接 2 2 3 3 3" xfId="12362"/>
    <cellStyle name="超链接 2 2 3 4" xfId="12363"/>
    <cellStyle name="超链接 2 2 3 5" xfId="12364"/>
    <cellStyle name="超链接 2 2 3 6" xfId="12365"/>
    <cellStyle name="超链接 2 2 4" xfId="12366"/>
    <cellStyle name="超链接 2 2 4 2" xfId="12367"/>
    <cellStyle name="超链接 2 2 4 3" xfId="12368"/>
    <cellStyle name="超链接 2 2 4 4" xfId="12369"/>
    <cellStyle name="超链接 2 2 5" xfId="12370"/>
    <cellStyle name="超链接 2 2 5 2" xfId="12371"/>
    <cellStyle name="超链接 2 2 5 3" xfId="12372"/>
    <cellStyle name="超链接 2 2 6" xfId="12373"/>
    <cellStyle name="超链接 2 2 7" xfId="12374"/>
    <cellStyle name="超链接 2 2 8" xfId="12375"/>
    <cellStyle name="超链接 2 3" xfId="12376"/>
    <cellStyle name="超链接 2 3 2" xfId="12377"/>
    <cellStyle name="超链接 2 3 2 2" xfId="12378"/>
    <cellStyle name="超链接 2 3 2 3" xfId="12379"/>
    <cellStyle name="超链接 2 3 2 4" xfId="12380"/>
    <cellStyle name="超链接 2 3 3" xfId="12381"/>
    <cellStyle name="超链接 2 3 3 2" xfId="12382"/>
    <cellStyle name="超链接 2 3 3 3" xfId="12383"/>
    <cellStyle name="超链接 2 3 4" xfId="12384"/>
    <cellStyle name="超链接 2 3 5" xfId="12385"/>
    <cellStyle name="超链接 2 3 6" xfId="12386"/>
    <cellStyle name="超链接 2 4" xfId="12387"/>
    <cellStyle name="超链接 2 4 2" xfId="12388"/>
    <cellStyle name="超链接 2 4 2 2" xfId="12389"/>
    <cellStyle name="超链接 2 4 2 2 2" xfId="12390"/>
    <cellStyle name="超链接 2 4 2 2 3" xfId="12391"/>
    <cellStyle name="超链接 2 4 2 3" xfId="12392"/>
    <cellStyle name="超链接 2 4 2 4" xfId="12393"/>
    <cellStyle name="超链接 2 4 2 5" xfId="12394"/>
    <cellStyle name="超链接 2 4 3" xfId="12395"/>
    <cellStyle name="超链接 2 4 3 2" xfId="12396"/>
    <cellStyle name="超链接 2 4 3 3" xfId="12397"/>
    <cellStyle name="超链接 2 4 4" xfId="12398"/>
    <cellStyle name="超链接 2 4 5" xfId="12399"/>
    <cellStyle name="超链接 2 4 6" xfId="12400"/>
    <cellStyle name="超链接 2 5" xfId="12401"/>
    <cellStyle name="超链接 2 5 2" xfId="12402"/>
    <cellStyle name="超链接 2 5 3" xfId="12403"/>
    <cellStyle name="超链接 2 5 4" xfId="12404"/>
    <cellStyle name="超链接 2 6" xfId="12405"/>
    <cellStyle name="超链接 2 6 2" xfId="12406"/>
    <cellStyle name="超链接 2 6 3" xfId="12407"/>
    <cellStyle name="超链接 2 7" xfId="12408"/>
    <cellStyle name="超链接 2 8" xfId="12409"/>
    <cellStyle name="超链接 2 9" xfId="12410"/>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tableStyleElement type="wholeTable" dxfId="1"/>
      <tableStyleElement type="headerRow" dxfId="0"/>
    </tableStyle>
  </tableStyles>
  <colors>
    <mruColors>
      <color rgb="FF0000FF"/>
      <color rgb="FFCCFFCC"/>
      <color rgb="FF060ABA"/>
      <color rgb="FFFFFFCC"/>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R33"/>
  <sheetViews>
    <sheetView tabSelected="1" zoomScaleNormal="100" workbookViewId="0">
      <selection activeCell="P16" sqref="O16:P16"/>
    </sheetView>
  </sheetViews>
  <sheetFormatPr defaultColWidth="9.140625" defaultRowHeight="15" outlineLevelRow="1"/>
  <cols>
    <col min="1" max="1" width="2.7109375" style="12" customWidth="1"/>
    <col min="2" max="2" width="10.42578125" style="37" customWidth="1"/>
    <col min="3" max="3" width="34.5703125" style="12" customWidth="1"/>
    <col min="4" max="4" width="70.5703125" style="12" bestFit="1" customWidth="1"/>
    <col min="5" max="5" width="32.42578125" style="12" customWidth="1"/>
    <col min="6" max="6" width="10.28515625" style="12" bestFit="1" customWidth="1"/>
    <col min="7" max="8" width="10.28515625" style="12" customWidth="1"/>
    <col min="9" max="9" width="16.140625" style="12" bestFit="1" customWidth="1"/>
    <col min="10" max="10" width="8" style="12" customWidth="1"/>
    <col min="11" max="11" width="10.85546875" style="12" customWidth="1"/>
    <col min="12" max="12" width="11.7109375" style="12" bestFit="1" customWidth="1"/>
    <col min="13" max="13" width="8.85546875" style="12" bestFit="1" customWidth="1"/>
    <col min="14" max="14" width="12.5703125" style="11" customWidth="1"/>
    <col min="15" max="15" width="13.5703125" style="12" bestFit="1" customWidth="1"/>
    <col min="16" max="16" width="10.7109375" style="12" bestFit="1" customWidth="1"/>
    <col min="17" max="17" width="12.5703125" style="12" bestFit="1" customWidth="1"/>
    <col min="18" max="18" width="7.7109375" style="12" bestFit="1" customWidth="1"/>
    <col min="19" max="19" width="14.42578125" style="12" customWidth="1"/>
    <col min="20" max="22" width="11.42578125" style="12" customWidth="1"/>
    <col min="23" max="23" width="14.42578125" style="12" customWidth="1"/>
    <col min="24" max="26" width="11.42578125" style="12" customWidth="1"/>
    <col min="27" max="27" width="14.42578125" style="12" customWidth="1"/>
    <col min="28" max="30" width="11.42578125" style="12" customWidth="1"/>
    <col min="31" max="31" width="14.42578125" style="12" customWidth="1"/>
    <col min="32" max="34" width="11.42578125" style="12" customWidth="1"/>
    <col min="35" max="35" width="16" style="11" bestFit="1" customWidth="1"/>
    <col min="36" max="36" width="16.7109375" style="11" customWidth="1"/>
    <col min="37" max="38" width="9.140625" style="12"/>
    <col min="39" max="39" width="14.140625" style="63" customWidth="1"/>
    <col min="40" max="40" width="18.5703125" style="63" customWidth="1"/>
    <col min="41" max="41" width="11" style="63" bestFit="1" customWidth="1"/>
    <col min="42" max="42" width="12.140625" style="63" bestFit="1" customWidth="1"/>
    <col min="43" max="43" width="11.5703125" style="63"/>
    <col min="44" max="44" width="10.5703125" style="63" bestFit="1" customWidth="1"/>
    <col min="45" max="16384" width="9.140625" style="12"/>
  </cols>
  <sheetData>
    <row r="1" spans="1:44" s="52" customFormat="1" ht="15.75" outlineLevel="1" thickBot="1">
      <c r="A1" s="57" t="s">
        <v>24</v>
      </c>
      <c r="B1" s="57"/>
      <c r="C1" s="51">
        <f>COUNTA($D$15:$D$1000)-COUNTIF($K$15:$K$1000,"-")</f>
        <v>11</v>
      </c>
      <c r="D1" s="73" t="s">
        <v>179</v>
      </c>
      <c r="E1" s="74">
        <f>COUNTIF($L$15:$L$1000,D1)</f>
        <v>0</v>
      </c>
      <c r="F1" s="51"/>
      <c r="G1" s="51"/>
      <c r="H1" s="51"/>
      <c r="I1" s="51"/>
      <c r="J1" s="51"/>
      <c r="K1" s="53"/>
      <c r="L1" s="51"/>
      <c r="M1" s="51"/>
      <c r="N1" s="51"/>
      <c r="O1" s="75" t="s">
        <v>177</v>
      </c>
      <c r="P1" s="75">
        <f>COUNTIFS(Q15:Q1000,"*RVC*")</f>
        <v>0</v>
      </c>
      <c r="Q1" s="75" t="s">
        <v>25</v>
      </c>
      <c r="R1" s="75">
        <f>COUNTIFS(Q15:Q1000,"*GCS*")</f>
        <v>11</v>
      </c>
      <c r="S1" s="75" t="s">
        <v>177</v>
      </c>
      <c r="T1" s="75">
        <f>COUNTIFS(U15:U1000,"*RVC*")</f>
        <v>0</v>
      </c>
      <c r="U1" s="75" t="s">
        <v>25</v>
      </c>
      <c r="V1" s="75">
        <f>COUNTIFS(U15:U1000,"*GCS*")</f>
        <v>11</v>
      </c>
      <c r="W1" s="75" t="s">
        <v>177</v>
      </c>
      <c r="X1" s="75">
        <f>COUNTIFS(Y15:Y1000,"*RVC*")</f>
        <v>0</v>
      </c>
      <c r="Y1" s="75" t="s">
        <v>25</v>
      </c>
      <c r="Z1" s="75">
        <f>COUNTIFS(Y15:Y1000,"*GCS*")</f>
        <v>0</v>
      </c>
      <c r="AA1" s="75" t="s">
        <v>177</v>
      </c>
      <c r="AB1" s="75">
        <f>COUNTIFS(AC15:AC1000,"*RVC*")</f>
        <v>0</v>
      </c>
      <c r="AC1" s="75" t="s">
        <v>25</v>
      </c>
      <c r="AD1" s="75">
        <f>COUNTIFS(AC15:AC1000,"*GCS*")</f>
        <v>0</v>
      </c>
      <c r="AE1" s="75" t="s">
        <v>177</v>
      </c>
      <c r="AF1" s="75">
        <f>COUNTIFS(AG15:AG1000,"*RVC*")</f>
        <v>0</v>
      </c>
      <c r="AG1" s="75" t="s">
        <v>25</v>
      </c>
      <c r="AH1" s="75">
        <f>COUNTIFS(AG15:AG1000,"*GCS*")</f>
        <v>0</v>
      </c>
      <c r="AI1" s="51"/>
      <c r="AJ1" s="76"/>
    </row>
    <row r="2" spans="1:44" s="70" customFormat="1" ht="16.5" customHeight="1" outlineLevel="1">
      <c r="A2" s="77"/>
      <c r="B2" s="77" t="s">
        <v>10</v>
      </c>
      <c r="C2" s="69">
        <f>SUM(COUNTIF($L$15:$L$1000,{"*Ju*","*RCP*"}))</f>
        <v>0</v>
      </c>
      <c r="D2" s="31" t="s">
        <v>180</v>
      </c>
      <c r="E2" s="32">
        <f>COUNTIF($L$15:$L$1000,D2)</f>
        <v>0</v>
      </c>
      <c r="F2" s="69"/>
      <c r="G2" s="69"/>
      <c r="H2" s="69"/>
      <c r="I2" s="69"/>
      <c r="J2" s="69"/>
      <c r="L2" s="78"/>
      <c r="M2" s="69"/>
      <c r="N2" s="69"/>
      <c r="O2" s="79"/>
      <c r="P2" s="80" t="s">
        <v>23</v>
      </c>
      <c r="Q2" s="80" t="s">
        <v>10</v>
      </c>
      <c r="R2" s="81" t="s">
        <v>22</v>
      </c>
      <c r="S2" s="79"/>
      <c r="T2" s="80" t="s">
        <v>23</v>
      </c>
      <c r="U2" s="80" t="s">
        <v>10</v>
      </c>
      <c r="V2" s="81" t="s">
        <v>22</v>
      </c>
      <c r="W2" s="79"/>
      <c r="X2" s="80" t="s">
        <v>23</v>
      </c>
      <c r="Y2" s="80" t="s">
        <v>10</v>
      </c>
      <c r="Z2" s="81" t="s">
        <v>22</v>
      </c>
      <c r="AA2" s="79"/>
      <c r="AB2" s="80" t="s">
        <v>23</v>
      </c>
      <c r="AC2" s="80" t="s">
        <v>10</v>
      </c>
      <c r="AD2" s="81" t="s">
        <v>22</v>
      </c>
      <c r="AE2" s="79"/>
      <c r="AF2" s="80" t="s">
        <v>23</v>
      </c>
      <c r="AG2" s="80" t="s">
        <v>10</v>
      </c>
      <c r="AH2" s="81" t="s">
        <v>22</v>
      </c>
      <c r="AI2" s="44" t="s">
        <v>186</v>
      </c>
      <c r="AJ2" s="45" t="s">
        <v>8</v>
      </c>
      <c r="AK2" s="44" t="s">
        <v>187</v>
      </c>
      <c r="AM2" s="82" t="s">
        <v>201</v>
      </c>
      <c r="AN2" s="83" t="e">
        <f>#REF!</f>
        <v>#REF!</v>
      </c>
      <c r="AO2" s="44" t="s">
        <v>202</v>
      </c>
      <c r="AP2" s="44" t="s">
        <v>203</v>
      </c>
      <c r="AQ2" s="44" t="s">
        <v>204</v>
      </c>
      <c r="AR2" s="44" t="s">
        <v>195</v>
      </c>
    </row>
    <row r="3" spans="1:44" s="70" customFormat="1" ht="16.5" customHeight="1" outlineLevel="1">
      <c r="A3" s="77"/>
      <c r="B3" s="77" t="s">
        <v>22</v>
      </c>
      <c r="C3" s="69">
        <f>C1-C2</f>
        <v>11</v>
      </c>
      <c r="D3" s="84"/>
      <c r="E3" s="72"/>
      <c r="F3" s="85"/>
      <c r="G3" s="85"/>
      <c r="H3" s="66" t="s">
        <v>195</v>
      </c>
      <c r="I3" s="67" t="s">
        <v>196</v>
      </c>
      <c r="J3" s="68" t="s">
        <v>186</v>
      </c>
      <c r="L3" s="86"/>
      <c r="M3" s="87" t="s">
        <v>177</v>
      </c>
      <c r="N3" s="87">
        <f>COUNTIFS($N$15:$N$1000,"*RVC*")</f>
        <v>0</v>
      </c>
      <c r="O3" s="88" t="s">
        <v>21</v>
      </c>
      <c r="P3" s="89">
        <f>SUM(Q3:R3)</f>
        <v>11</v>
      </c>
      <c r="Q3" s="90">
        <f>SUM(Q4:Q5)</f>
        <v>0</v>
      </c>
      <c r="R3" s="91">
        <f>SUM(R4:R5)</f>
        <v>11</v>
      </c>
      <c r="S3" s="88" t="s">
        <v>21</v>
      </c>
      <c r="T3" s="89">
        <f>SUM(U3:V3)</f>
        <v>11</v>
      </c>
      <c r="U3" s="90">
        <f>SUM(U4:U5)</f>
        <v>0</v>
      </c>
      <c r="V3" s="91">
        <f>SUM(V4:V5)</f>
        <v>11</v>
      </c>
      <c r="W3" s="88" t="s">
        <v>21</v>
      </c>
      <c r="X3" s="89">
        <f>SUM(Y3:Z3)</f>
        <v>0</v>
      </c>
      <c r="Y3" s="90">
        <f>SUM(Y4:Y5)</f>
        <v>0</v>
      </c>
      <c r="Z3" s="91">
        <f>SUM(Z4:Z5)</f>
        <v>0</v>
      </c>
      <c r="AA3" s="88" t="s">
        <v>21</v>
      </c>
      <c r="AB3" s="89">
        <f>SUM(AC3:AD3)</f>
        <v>0</v>
      </c>
      <c r="AC3" s="90">
        <f>SUM(AC4:AC5)</f>
        <v>0</v>
      </c>
      <c r="AD3" s="91">
        <f>SUM(AD4:AD5)</f>
        <v>0</v>
      </c>
      <c r="AE3" s="88" t="s">
        <v>21</v>
      </c>
      <c r="AF3" s="89">
        <f>SUM(AG3:AH3)</f>
        <v>0</v>
      </c>
      <c r="AG3" s="90">
        <f>SUM(AG4:AG5)</f>
        <v>0</v>
      </c>
      <c r="AH3" s="92">
        <f>SUM(AH4:AH5)</f>
        <v>0</v>
      </c>
      <c r="AI3" s="46" t="e">
        <f ca="1">SUMIFS($AI$15:$AI$1500,$L$15:$L$1500,"*Manual*", INDIRECT(VLOOKUP($AN$2,$AM$3:$AN$7,2,FALSE)),"*"&amp;AJ3&amp;"*")</f>
        <v>#REF!</v>
      </c>
      <c r="AJ3" s="46" t="s">
        <v>188</v>
      </c>
      <c r="AK3" s="47" t="e">
        <f ca="1">COUNTIFS($L$15:$L$1500, "*Manual*", INDIRECT(VLOOKUP($AN$2,$AM$3:$AN$7,2,FALSE)),  "*"&amp;AJ3&amp;"*")</f>
        <v>#REF!</v>
      </c>
      <c r="AM3" s="65">
        <v>1</v>
      </c>
      <c r="AN3" s="65" t="s">
        <v>205</v>
      </c>
      <c r="AO3" s="65">
        <f ca="1">SUMIFS($AI$15:$AI$1500,$L$15:$L$1500,"*Manual*", INDIRECT(AN3),"&lt;&gt;"&amp;"")</f>
        <v>0</v>
      </c>
      <c r="AP3" s="65">
        <f ca="1">COUNTIFS($L$15:$L$1500,"*Manual*",INDIRECT(AN3),"&lt;&gt;"&amp;"")</f>
        <v>11</v>
      </c>
      <c r="AQ3" s="65">
        <f ca="1">IFERROR(AO3/AP3,0)</f>
        <v>0</v>
      </c>
      <c r="AR3" s="65" t="str">
        <f ca="1">IF(AQ3&gt;0,IF(AQ3&gt;=14,"D",IF(AQ3&gt;=8,"N","E")),"NOT-YET")</f>
        <v>NOT-YET</v>
      </c>
    </row>
    <row r="4" spans="1:44" s="70" customFormat="1" ht="16.5" customHeight="1" outlineLevel="1">
      <c r="C4" s="69"/>
      <c r="D4" s="84"/>
      <c r="E4" s="72"/>
      <c r="H4" s="69" t="s">
        <v>197</v>
      </c>
      <c r="I4" s="70" t="e">
        <f ca="1">COUNTIFS($L$15:$L$1500,"*Manual*",INDIRECT(VLOOKUP($AN$2,$AM$3:$AN$7,2,FALSE)),  "&lt;&gt;"&amp;"", $AI$15:$AI$1500,"*"&amp;H4&amp;"*")</f>
        <v>#REF!</v>
      </c>
      <c r="J4" s="71" t="e">
        <f ca="1">SUMIFS($AI$15:$AI$1500,$L$15:$L$1500,"*Manual*", INDIRECT(VLOOKUP($AN$2,$AM$3:$AN$7,2,FALSE)),"&lt;&gt;"&amp;"",$AJ$15:$AJ$1500,"*"&amp;H4&amp;"*")</f>
        <v>#REF!</v>
      </c>
      <c r="M4" s="87" t="s">
        <v>25</v>
      </c>
      <c r="N4" s="87">
        <f>COUNTIFS($N$15:$N$1000,"*GCS*")</f>
        <v>11</v>
      </c>
      <c r="O4" s="93" t="s">
        <v>0</v>
      </c>
      <c r="P4" s="94">
        <f>COUNTIF(O$15:O$1000,O4)</f>
        <v>11</v>
      </c>
      <c r="Q4" s="90">
        <f>SUM(COUNTIFS(Q$15:Q$2500,{"*Ju*","*RCP*"},O$15:O$2500,O4))</f>
        <v>0</v>
      </c>
      <c r="R4" s="95">
        <f>P4-Q4</f>
        <v>11</v>
      </c>
      <c r="S4" s="93" t="s">
        <v>0</v>
      </c>
      <c r="T4" s="94">
        <f>COUNTIF(S$15:S$1000,S4)</f>
        <v>11</v>
      </c>
      <c r="U4" s="90">
        <f>SUM(COUNTIFS(U$15:U$2500,{"*Ju*","*RCP*"},S$15:S$2500,S4))</f>
        <v>0</v>
      </c>
      <c r="V4" s="95">
        <f>T4-U4</f>
        <v>11</v>
      </c>
      <c r="W4" s="93" t="s">
        <v>0</v>
      </c>
      <c r="X4" s="94">
        <f>COUNTIF(W$15:W$1000,W4)</f>
        <v>0</v>
      </c>
      <c r="Y4" s="90">
        <f>SUM(COUNTIFS(Y$15:Y$2500,{"*Ju*","*RCP*"},W$15:W$2500,W4))</f>
        <v>0</v>
      </c>
      <c r="Z4" s="95">
        <f>X4-Y4</f>
        <v>0</v>
      </c>
      <c r="AA4" s="93" t="s">
        <v>0</v>
      </c>
      <c r="AB4" s="94">
        <f>COUNTIF(AA$15:AA$1000,AA4)</f>
        <v>0</v>
      </c>
      <c r="AC4" s="90">
        <f>SUM(COUNTIFS(AC$15:AC$2500,{"*Ju*","*RCP*"},AA$15:AA$2500,AA4))</f>
        <v>0</v>
      </c>
      <c r="AD4" s="95">
        <f>AB4-AC4</f>
        <v>0</v>
      </c>
      <c r="AE4" s="93" t="s">
        <v>0</v>
      </c>
      <c r="AF4" s="94">
        <f>COUNTIF(AE$15:AE$1000,AE4)</f>
        <v>0</v>
      </c>
      <c r="AG4" s="90">
        <f>SUM(COUNTIFS(AG$15:AG$2500,{"*Ju*","*RCP*"},AE$15:AE$2500,AE4))</f>
        <v>0</v>
      </c>
      <c r="AH4" s="96">
        <f>AF4-AG4</f>
        <v>0</v>
      </c>
      <c r="AI4" s="46" t="e">
        <f t="shared" ref="AI4:AI8" ca="1" si="0">SUMIFS($AI$15:$AI$1500,$L$15:$L$1500,"*Manual*", INDIRECT(VLOOKUP($AN$2,$AM$3:$AN$7,2,FALSE)),"*"&amp;AJ4&amp;"*")</f>
        <v>#REF!</v>
      </c>
      <c r="AJ4" s="46" t="s">
        <v>189</v>
      </c>
      <c r="AK4" s="47" t="e">
        <f t="shared" ref="AK4:AK9" ca="1" si="1">COUNTIFS($L$15:$L$1500, "*Manual*", INDIRECT(VLOOKUP($AN$2,$AM$3:$AN$7,2,FALSE)),  "*"&amp;AJ4&amp;"*")</f>
        <v>#REF!</v>
      </c>
      <c r="AM4" s="65">
        <v>2</v>
      </c>
      <c r="AN4" s="65" t="s">
        <v>206</v>
      </c>
      <c r="AO4" s="65">
        <f t="shared" ref="AO4:AO7" ca="1" si="2">SUMIFS($AI$15:$AI$1500,$L$15:$L$1500,"*Manual*", INDIRECT(AN4),"&lt;&gt;"&amp;"")</f>
        <v>0</v>
      </c>
      <c r="AP4" s="65">
        <f t="shared" ref="AP4:AP7" ca="1" si="3">COUNTIFS($L$15:$L$1500,"*Manual*",INDIRECT(AN4),"&lt;&gt;"&amp;"")</f>
        <v>11</v>
      </c>
      <c r="AQ4" s="65">
        <f t="shared" ref="AQ4:AQ7" ca="1" si="4">IFERROR(AO4/AP4,0)</f>
        <v>0</v>
      </c>
      <c r="AR4" s="65" t="str">
        <f t="shared" ref="AR4:AR7" ca="1" si="5">IF(AQ4&gt;0,IF(AQ4&gt;=14,"D",IF(AQ4&gt;=8,"N","E")),"NOT-YET")</f>
        <v>NOT-YET</v>
      </c>
    </row>
    <row r="5" spans="1:44" s="70" customFormat="1" ht="16.5" customHeight="1" outlineLevel="1">
      <c r="C5" s="69"/>
      <c r="D5" s="84"/>
      <c r="E5" s="72"/>
      <c r="H5" s="69" t="s">
        <v>198</v>
      </c>
      <c r="I5" s="70" t="e">
        <f t="shared" ref="I5:I6" ca="1" si="6">COUNTIFS($L$15:$L$1500,"*Manual*",INDIRECT(VLOOKUP($AN$2,$AM$3:$AN$7,2,FALSE)),  "&lt;&gt;"&amp;"", $AI$15:$AI$1500,"*"&amp;H5&amp;"*")</f>
        <v>#REF!</v>
      </c>
      <c r="J5" s="71" t="e">
        <f t="shared" ref="J5:J6" ca="1" si="7">SUMIFS($AI$15:$AI$1500,$L$15:$L$1500,"*Manual*", INDIRECT(VLOOKUP($AN$2,$AM$3:$AN$7,2,FALSE)),"&lt;&gt;"&amp;"",$AJ$15:$AJ$1500,"*"&amp;H5&amp;"*")</f>
        <v>#REF!</v>
      </c>
      <c r="K5" s="72"/>
      <c r="M5" s="33" t="s">
        <v>0</v>
      </c>
      <c r="N5" s="33">
        <f>COUNTIFS($M$15:$M$1000,"*Pass*")</f>
        <v>11</v>
      </c>
      <c r="O5" s="97" t="s">
        <v>20</v>
      </c>
      <c r="P5" s="98">
        <f>SUM(P6:P9)</f>
        <v>0</v>
      </c>
      <c r="Q5" s="90">
        <f>SUM(Q6:Q9)</f>
        <v>0</v>
      </c>
      <c r="R5" s="95">
        <f>SUM(R6:R9)</f>
        <v>0</v>
      </c>
      <c r="S5" s="97" t="s">
        <v>20</v>
      </c>
      <c r="T5" s="98">
        <f>SUM(T6:T9)</f>
        <v>0</v>
      </c>
      <c r="U5" s="90">
        <f>SUM(U6:U9)</f>
        <v>0</v>
      </c>
      <c r="V5" s="95">
        <f>SUM(V6:V9)</f>
        <v>0</v>
      </c>
      <c r="W5" s="97" t="s">
        <v>20</v>
      </c>
      <c r="X5" s="98">
        <f>SUM(X6:X9)</f>
        <v>0</v>
      </c>
      <c r="Y5" s="90">
        <f>SUM(Y6:Y9)</f>
        <v>0</v>
      </c>
      <c r="Z5" s="95">
        <f>SUM(Z6:Z9)</f>
        <v>0</v>
      </c>
      <c r="AA5" s="97" t="s">
        <v>20</v>
      </c>
      <c r="AB5" s="98">
        <f>SUM(AB6:AB9)</f>
        <v>0</v>
      </c>
      <c r="AC5" s="90">
        <f>SUM(AC6:AC9)</f>
        <v>0</v>
      </c>
      <c r="AD5" s="95">
        <f>SUM(AD6:AD9)</f>
        <v>0</v>
      </c>
      <c r="AE5" s="97" t="s">
        <v>20</v>
      </c>
      <c r="AF5" s="98">
        <f>SUM(AF6:AF9)</f>
        <v>0</v>
      </c>
      <c r="AG5" s="90">
        <f>SUM(AG6:AG9)</f>
        <v>0</v>
      </c>
      <c r="AH5" s="96">
        <f>SUM(AH6:AH9)</f>
        <v>0</v>
      </c>
      <c r="AI5" s="46" t="e">
        <f t="shared" ca="1" si="0"/>
        <v>#REF!</v>
      </c>
      <c r="AJ5" s="46" t="s">
        <v>190</v>
      </c>
      <c r="AK5" s="47" t="e">
        <f t="shared" ca="1" si="1"/>
        <v>#REF!</v>
      </c>
      <c r="AM5" s="65">
        <v>3</v>
      </c>
      <c r="AN5" s="65" t="s">
        <v>207</v>
      </c>
      <c r="AO5" s="65">
        <f t="shared" ca="1" si="2"/>
        <v>0</v>
      </c>
      <c r="AP5" s="65">
        <f t="shared" ca="1" si="3"/>
        <v>0</v>
      </c>
      <c r="AQ5" s="65">
        <f t="shared" ca="1" si="4"/>
        <v>0</v>
      </c>
      <c r="AR5" s="65" t="str">
        <f t="shared" ca="1" si="5"/>
        <v>NOT-YET</v>
      </c>
    </row>
    <row r="6" spans="1:44" s="70" customFormat="1" ht="16.5" customHeight="1" outlineLevel="1">
      <c r="A6" s="99" t="s">
        <v>181</v>
      </c>
      <c r="C6" s="69">
        <f>COUNTIF($K$15:$K$1000,"5.3")</f>
        <v>0</v>
      </c>
      <c r="D6" s="69"/>
      <c r="E6" s="84"/>
      <c r="H6" s="69" t="s">
        <v>199</v>
      </c>
      <c r="I6" s="70" t="e">
        <f t="shared" ca="1" si="6"/>
        <v>#REF!</v>
      </c>
      <c r="J6" s="71" t="e">
        <f t="shared" ca="1" si="7"/>
        <v>#REF!</v>
      </c>
      <c r="K6" s="72"/>
      <c r="M6" s="33" t="s">
        <v>20</v>
      </c>
      <c r="N6" s="33">
        <f>COUNTIFS($M$15:$M$1000,"*Fail*")</f>
        <v>0</v>
      </c>
      <c r="O6" s="97" t="s">
        <v>19</v>
      </c>
      <c r="P6" s="98">
        <f>COUNTIF(O$15:O$1000,"*"&amp;O6&amp;"*")</f>
        <v>0</v>
      </c>
      <c r="Q6" s="90">
        <f>SUM(COUNTIFS(Q$15:Q$2500,{"*Ju*","*RCP*"},O$15:O$2500,O6))</f>
        <v>0</v>
      </c>
      <c r="R6" s="95">
        <f>P6-Q6</f>
        <v>0</v>
      </c>
      <c r="S6" s="97" t="s">
        <v>19</v>
      </c>
      <c r="T6" s="98">
        <f>COUNTIF(S$15:S$1000,"*"&amp;S6&amp;"*")</f>
        <v>0</v>
      </c>
      <c r="U6" s="90">
        <f>SUM(COUNTIFS(U$15:U$2500,{"*Ju*","*RCP*"},S$15:S$2500,S6))</f>
        <v>0</v>
      </c>
      <c r="V6" s="95">
        <f>T6-U6</f>
        <v>0</v>
      </c>
      <c r="W6" s="97" t="s">
        <v>19</v>
      </c>
      <c r="X6" s="98">
        <f>COUNTIF(W$15:W$1000,"*"&amp;W6&amp;"*")</f>
        <v>0</v>
      </c>
      <c r="Y6" s="90">
        <f>SUM(COUNTIFS(Y$15:Y$2500,{"*Ju*","*RCP*"},W$15:W$2500,W6))</f>
        <v>0</v>
      </c>
      <c r="Z6" s="95">
        <f>X6-Y6</f>
        <v>0</v>
      </c>
      <c r="AA6" s="97" t="s">
        <v>19</v>
      </c>
      <c r="AB6" s="98">
        <f>COUNTIF(AA$15:AA$1000,"*"&amp;AA6&amp;"*")</f>
        <v>0</v>
      </c>
      <c r="AC6" s="90">
        <f>SUM(COUNTIFS(AC$15:AC$2500,{"*Ju*","*RCP*"},AA$15:AA$2500,AA6))</f>
        <v>0</v>
      </c>
      <c r="AD6" s="95">
        <f>AB6-AC6</f>
        <v>0</v>
      </c>
      <c r="AE6" s="97" t="s">
        <v>19</v>
      </c>
      <c r="AF6" s="98">
        <f>COUNTIF(AE$15:AE$1000,"*"&amp;AE6&amp;"*")</f>
        <v>0</v>
      </c>
      <c r="AG6" s="90">
        <f>SUM(COUNTIFS(AG$15:AG$2500,{"*Ju*","*RCP*"},AE$15:AE$2500,AE6))</f>
        <v>0</v>
      </c>
      <c r="AH6" s="96">
        <f>AF6-AG6</f>
        <v>0</v>
      </c>
      <c r="AI6" s="46" t="e">
        <f t="shared" ca="1" si="0"/>
        <v>#REF!</v>
      </c>
      <c r="AJ6" s="46" t="s">
        <v>191</v>
      </c>
      <c r="AK6" s="47" t="e">
        <f t="shared" ca="1" si="1"/>
        <v>#REF!</v>
      </c>
      <c r="AM6" s="65">
        <v>4</v>
      </c>
      <c r="AN6" s="65" t="s">
        <v>208</v>
      </c>
      <c r="AO6" s="65">
        <f t="shared" ca="1" si="2"/>
        <v>0</v>
      </c>
      <c r="AP6" s="65">
        <f t="shared" ca="1" si="3"/>
        <v>0</v>
      </c>
      <c r="AQ6" s="65">
        <f ca="1">IFERROR(AO6/AP6,0)</f>
        <v>0</v>
      </c>
      <c r="AR6" s="65" t="str">
        <f t="shared" ca="1" si="5"/>
        <v>NOT-YET</v>
      </c>
    </row>
    <row r="7" spans="1:44" s="70" customFormat="1" ht="16.5" customHeight="1" outlineLevel="1">
      <c r="C7" s="69"/>
      <c r="D7" s="69"/>
      <c r="E7" s="84"/>
      <c r="H7" s="69"/>
      <c r="I7" s="72"/>
      <c r="K7" s="72"/>
      <c r="M7" s="33" t="s">
        <v>182</v>
      </c>
      <c r="N7" s="33">
        <f>COUNTIFS($M$15:$M$1000,"*Skip*")</f>
        <v>0</v>
      </c>
      <c r="O7" s="97" t="s">
        <v>6</v>
      </c>
      <c r="P7" s="98">
        <f>COUNTIF(O$15:O$1000,"*"&amp;O7&amp;"*")</f>
        <v>0</v>
      </c>
      <c r="Q7" s="90">
        <f>SUM(COUNTIFS(Q$15:Q$2500,{"*Ju*","*RCP*"},O$15:O$2500,O7))</f>
        <v>0</v>
      </c>
      <c r="R7" s="95">
        <f>P7-Q7</f>
        <v>0</v>
      </c>
      <c r="S7" s="97" t="s">
        <v>6</v>
      </c>
      <c r="T7" s="98">
        <f>COUNTIF(S$15:S$1000,"*"&amp;S7&amp;"*")</f>
        <v>0</v>
      </c>
      <c r="U7" s="90">
        <f>SUM(COUNTIFS(U$15:U$2500,{"*Ju*","*RCP*"},S$15:S$2500,S7))</f>
        <v>0</v>
      </c>
      <c r="V7" s="95">
        <f>T7-U7</f>
        <v>0</v>
      </c>
      <c r="W7" s="97" t="s">
        <v>6</v>
      </c>
      <c r="X7" s="98">
        <f>COUNTIF(W$15:W$1000,"*"&amp;W7&amp;"*")</f>
        <v>0</v>
      </c>
      <c r="Y7" s="90">
        <f>SUM(COUNTIFS(Y$15:Y$2500,{"*Ju*","*RCP*"},W$15:W$2500,W7))</f>
        <v>0</v>
      </c>
      <c r="Z7" s="95">
        <f>X7-Y7</f>
        <v>0</v>
      </c>
      <c r="AA7" s="97" t="s">
        <v>6</v>
      </c>
      <c r="AB7" s="98">
        <f>COUNTIF(AA$15:AA$1000,"*"&amp;AA7&amp;"*")</f>
        <v>0</v>
      </c>
      <c r="AC7" s="90">
        <f>SUM(COUNTIFS(AC$15:AC$2500,{"*Ju*","*RCP*"},AA$15:AA$2500,AA7))</f>
        <v>0</v>
      </c>
      <c r="AD7" s="95">
        <f>AB7-AC7</f>
        <v>0</v>
      </c>
      <c r="AE7" s="97" t="s">
        <v>6</v>
      </c>
      <c r="AF7" s="98">
        <f>COUNTIF(AE$15:AE$1000,"*"&amp;AE7&amp;"*")</f>
        <v>0</v>
      </c>
      <c r="AG7" s="90">
        <f>SUM(COUNTIFS(AG$15:AG$2500,{"*Ju*","*RCP*"},AE$15:AE$2500,AE7))</f>
        <v>0</v>
      </c>
      <c r="AH7" s="96">
        <f>AF7-AG7</f>
        <v>0</v>
      </c>
      <c r="AI7" s="46" t="e">
        <f t="shared" ca="1" si="0"/>
        <v>#REF!</v>
      </c>
      <c r="AJ7" s="46" t="s">
        <v>192</v>
      </c>
      <c r="AK7" s="47" t="e">
        <f t="shared" ca="1" si="1"/>
        <v>#REF!</v>
      </c>
      <c r="AM7" s="65">
        <v>5</v>
      </c>
      <c r="AN7" s="65" t="s">
        <v>209</v>
      </c>
      <c r="AO7" s="65">
        <f t="shared" ca="1" si="2"/>
        <v>0</v>
      </c>
      <c r="AP7" s="65">
        <f t="shared" ca="1" si="3"/>
        <v>0</v>
      </c>
      <c r="AQ7" s="65">
        <f t="shared" ca="1" si="4"/>
        <v>0</v>
      </c>
      <c r="AR7" s="65" t="str">
        <f t="shared" ca="1" si="5"/>
        <v>NOT-YET</v>
      </c>
    </row>
    <row r="8" spans="1:44" s="70" customFormat="1" ht="16.5" customHeight="1" outlineLevel="1">
      <c r="C8" s="69"/>
      <c r="D8" s="69"/>
      <c r="E8" s="84"/>
      <c r="H8" s="48" t="s">
        <v>200</v>
      </c>
      <c r="I8" s="70" t="e">
        <f ca="1">COUNTIFS($L$15:$L$1500,"*Manual*",INDIRECT(VLOOKUP($AN$2,$AM$3:$AN$7,2,FALSE)),  "&lt;&gt;"&amp;"", $AI$15:$AI$1500,"&gt;=60")</f>
        <v>#REF!</v>
      </c>
      <c r="J8" s="71" t="e">
        <f ca="1">SUMIFS($AI$15:$AI$1500,$L$15:$L$1500,"*Manual*", INDIRECT(VLOOKUP($AN$2,$AM$3:$AN$7,2,FALSE)),"&lt;&gt;"&amp;"",$AI$15:$AI$1500,"&gt;=60")</f>
        <v>#REF!</v>
      </c>
      <c r="K8" s="72"/>
      <c r="O8" s="97" t="s">
        <v>18</v>
      </c>
      <c r="P8" s="98">
        <f>COUNTIF(O$15:O$1000,"*"&amp;O8&amp;"*")</f>
        <v>0</v>
      </c>
      <c r="Q8" s="90">
        <f>SUM(COUNTIFS(Q$15:Q$2500,{"*Ju*","*RCP*"},O$15:O$2500,O8))</f>
        <v>0</v>
      </c>
      <c r="R8" s="95">
        <f>P8-Q8</f>
        <v>0</v>
      </c>
      <c r="S8" s="97" t="s">
        <v>18</v>
      </c>
      <c r="T8" s="98">
        <f>COUNTIF(S$15:S$1000,"*"&amp;S8&amp;"*")</f>
        <v>0</v>
      </c>
      <c r="U8" s="90">
        <f>SUM(COUNTIFS(U$15:U$2500,{"*Ju*","*RCP*"},S$15:S$2500,S8))</f>
        <v>0</v>
      </c>
      <c r="V8" s="95">
        <f>T8-U8</f>
        <v>0</v>
      </c>
      <c r="W8" s="97" t="s">
        <v>18</v>
      </c>
      <c r="X8" s="98">
        <f>COUNTIF(W$15:W$1000,"*"&amp;W8&amp;"*")</f>
        <v>0</v>
      </c>
      <c r="Y8" s="90">
        <f>SUM(COUNTIFS(Y$15:Y$2500,{"*Ju*","*RCP*"},W$15:W$2500,W8))</f>
        <v>0</v>
      </c>
      <c r="Z8" s="95">
        <f>X8-Y8</f>
        <v>0</v>
      </c>
      <c r="AA8" s="97" t="s">
        <v>18</v>
      </c>
      <c r="AB8" s="98">
        <f>COUNTIF(AA$15:AA$1000,"*"&amp;AA8&amp;"*")</f>
        <v>0</v>
      </c>
      <c r="AC8" s="90">
        <f>SUM(COUNTIFS(AC$15:AC$2500,{"*Ju*","*RCP*"},AA$15:AA$2500,AA8))</f>
        <v>0</v>
      </c>
      <c r="AD8" s="95">
        <f>AB8-AC8</f>
        <v>0</v>
      </c>
      <c r="AE8" s="97" t="s">
        <v>18</v>
      </c>
      <c r="AF8" s="98">
        <f>COUNTIF(AE$15:AE$1000,"*"&amp;AE8&amp;"*")</f>
        <v>0</v>
      </c>
      <c r="AG8" s="90">
        <f>SUM(COUNTIFS(AG$15:AG$2500,{"*Ju*","*RCP*"},AE$15:AE$2500,AE8))</f>
        <v>0</v>
      </c>
      <c r="AH8" s="96">
        <f>AF8-AG8</f>
        <v>0</v>
      </c>
      <c r="AI8" s="46" t="e">
        <f t="shared" ca="1" si="0"/>
        <v>#REF!</v>
      </c>
      <c r="AJ8" s="46" t="s">
        <v>213</v>
      </c>
      <c r="AK8" s="47" t="e">
        <f t="shared" ca="1" si="1"/>
        <v>#REF!</v>
      </c>
      <c r="AO8" s="100"/>
    </row>
    <row r="9" spans="1:44" s="70" customFormat="1" ht="16.5" customHeight="1" outlineLevel="1">
      <c r="C9" s="69"/>
      <c r="D9" s="69"/>
      <c r="E9" s="84"/>
      <c r="I9" s="85"/>
      <c r="J9" s="69"/>
      <c r="K9" s="72"/>
      <c r="O9" s="97" t="s">
        <v>1</v>
      </c>
      <c r="P9" s="98">
        <f>COUNTIF(O$15:O$1000,"*"&amp;O9&amp;"*")</f>
        <v>0</v>
      </c>
      <c r="Q9" s="90">
        <f>SUM(COUNTIFS(Q$15:Q$2500,{"*Ju*","*RCP*"},O$15:O$2500,O9))</f>
        <v>0</v>
      </c>
      <c r="R9" s="95">
        <f>P9-Q9</f>
        <v>0</v>
      </c>
      <c r="S9" s="97" t="s">
        <v>1</v>
      </c>
      <c r="T9" s="98">
        <f>COUNTIF(S$15:S$1000,"*"&amp;S9&amp;"*")</f>
        <v>0</v>
      </c>
      <c r="U9" s="90">
        <f>SUM(COUNTIFS(U$15:U$2500,{"*Ju*","*RCP*"},S$15:S$2500,S9))</f>
        <v>0</v>
      </c>
      <c r="V9" s="95">
        <f>T9-U9</f>
        <v>0</v>
      </c>
      <c r="W9" s="97" t="s">
        <v>1</v>
      </c>
      <c r="X9" s="98">
        <f>COUNTIF(W$15:W$1000,"*"&amp;W9&amp;"*")</f>
        <v>0</v>
      </c>
      <c r="Y9" s="90">
        <f>SUM(COUNTIFS(Y$15:Y$2500,{"*Ju*","*RCP*"},W$15:W$2500,W9))</f>
        <v>0</v>
      </c>
      <c r="Z9" s="95">
        <f>X9-Y9</f>
        <v>0</v>
      </c>
      <c r="AA9" s="97" t="s">
        <v>1</v>
      </c>
      <c r="AB9" s="98">
        <f>COUNTIF(AA$15:AA$1000,"*"&amp;AA9&amp;"*")</f>
        <v>0</v>
      </c>
      <c r="AC9" s="90">
        <f>SUM(COUNTIFS(AC$15:AC$2500,{"*Ju*","*RCP*"},AA$15:AA$2500,AA9))</f>
        <v>0</v>
      </c>
      <c r="AD9" s="95">
        <f>AB9-AC9</f>
        <v>0</v>
      </c>
      <c r="AE9" s="97" t="s">
        <v>1</v>
      </c>
      <c r="AF9" s="98">
        <f>COUNTIF(AE$15:AE$1000,"*"&amp;AE9&amp;"*")</f>
        <v>0</v>
      </c>
      <c r="AG9" s="90">
        <f>SUM(COUNTIFS(AG$15:AG$2500,{"*Ju*","*RCP*"},AE$15:AE$2500,AE9))</f>
        <v>0</v>
      </c>
      <c r="AH9" s="96">
        <f>AF9-AG9</f>
        <v>0</v>
      </c>
      <c r="AI9" s="46" t="e">
        <f ca="1">SUMIFS($AI$15:$AI$1500,$L$15:$L$1500,"*Manual*", INDIRECT(VLOOKUP($AN$2,$AM$3:$AN$7,2,FALSE)),"*"&amp;AJ9&amp;"*")</f>
        <v>#REF!</v>
      </c>
      <c r="AJ9" s="46" t="s">
        <v>214</v>
      </c>
      <c r="AK9" s="47" t="e">
        <f t="shared" ca="1" si="1"/>
        <v>#REF!</v>
      </c>
      <c r="AM9" s="101"/>
      <c r="AN9" s="101"/>
    </row>
    <row r="10" spans="1:44" s="70" customFormat="1" ht="16.5" customHeight="1" outlineLevel="1" thickBot="1">
      <c r="C10" s="69"/>
      <c r="D10" s="69"/>
      <c r="E10" s="84"/>
      <c r="I10" s="85"/>
      <c r="J10" s="69"/>
      <c r="K10" s="72"/>
      <c r="O10" s="102" t="s">
        <v>215</v>
      </c>
      <c r="P10" s="103">
        <f>COUNTIF(O$15:O$1000,"*"&amp;O10&amp;"*")</f>
        <v>0</v>
      </c>
      <c r="Q10" s="90">
        <f>SUM(COUNTIFS(Q$15:Q$2500,{"*Ju*","*RCP*"},O$15:O$2500,O10))</f>
        <v>0</v>
      </c>
      <c r="R10" s="104">
        <f>P10-Q10</f>
        <v>0</v>
      </c>
      <c r="S10" s="102" t="s">
        <v>215</v>
      </c>
      <c r="T10" s="103">
        <f>COUNTIF(S$15:S$1000,"*"&amp;S10&amp;"*")</f>
        <v>0</v>
      </c>
      <c r="U10" s="90">
        <f>SUM(COUNTIFS(U$15:U$2500,{"*Ju*","*RCP*"},S$15:S$2500,S10))</f>
        <v>0</v>
      </c>
      <c r="V10" s="104">
        <f>T10-U10</f>
        <v>0</v>
      </c>
      <c r="W10" s="102" t="s">
        <v>215</v>
      </c>
      <c r="X10" s="103">
        <f>COUNTIF(W$15:W$1000,"*"&amp;W10&amp;"*")</f>
        <v>0</v>
      </c>
      <c r="Y10" s="90">
        <f>SUM(COUNTIFS(Y$15:Y$2500,{"*Ju*","*RCP*"},W$15:W$2500,W10))</f>
        <v>0</v>
      </c>
      <c r="Z10" s="104">
        <f>X10-Y10</f>
        <v>0</v>
      </c>
      <c r="AA10" s="102" t="s">
        <v>215</v>
      </c>
      <c r="AB10" s="103">
        <f>COUNTIF(AA$15:AA$1000,"*"&amp;AA10&amp;"*")</f>
        <v>0</v>
      </c>
      <c r="AC10" s="90">
        <f>SUM(COUNTIFS(AC$15:AC$2500,{"*Ju*","*RCP*"},AA$15:AA$2500,AA10))</f>
        <v>0</v>
      </c>
      <c r="AD10" s="104">
        <f>AB10-AC10</f>
        <v>0</v>
      </c>
      <c r="AE10" s="102" t="s">
        <v>215</v>
      </c>
      <c r="AF10" s="103">
        <f>COUNTIF(AE$15:AE$1000,"*"&amp;AE10&amp;"*")</f>
        <v>0</v>
      </c>
      <c r="AG10" s="90">
        <f>SUM(COUNTIFS(AG$15:AG$2500,{"*Ju*","*RCP*"},AE$15:AE$2500,AE10))</f>
        <v>0</v>
      </c>
      <c r="AH10" s="105">
        <f>AF10-AG10</f>
        <v>0</v>
      </c>
      <c r="AI10" s="106" t="e">
        <f ca="1">SUM(AI3:AI9)</f>
        <v>#REF!</v>
      </c>
      <c r="AJ10" s="113">
        <f ca="1" xml:space="preserve"> IFERROR($AG$10/$AI$10,0)</f>
        <v>0</v>
      </c>
      <c r="AK10" s="107" t="e">
        <f ca="1">SUM(AK3:AK9)</f>
        <v>#REF!</v>
      </c>
      <c r="AM10" s="71"/>
      <c r="AN10" s="71"/>
    </row>
    <row r="11" spans="1:44" s="52" customFormat="1" outlineLevel="1">
      <c r="A11" s="57"/>
      <c r="B11" s="57"/>
      <c r="C11" s="51"/>
      <c r="D11" s="51"/>
      <c r="E11" s="108"/>
      <c r="F11" s="109"/>
      <c r="G11" s="109"/>
      <c r="H11" s="109"/>
      <c r="I11" s="109"/>
      <c r="J11" s="51"/>
      <c r="K11" s="53"/>
      <c r="L11" s="109"/>
      <c r="M11" s="109"/>
      <c r="N11" s="109"/>
      <c r="O11" s="119">
        <v>1</v>
      </c>
      <c r="P11" s="119"/>
      <c r="Q11" s="119"/>
      <c r="R11" s="119"/>
      <c r="S11" s="119">
        <v>2</v>
      </c>
      <c r="T11" s="119"/>
      <c r="U11" s="119"/>
      <c r="V11" s="119"/>
      <c r="W11" s="119">
        <v>3</v>
      </c>
      <c r="X11" s="119"/>
      <c r="Y11" s="119"/>
      <c r="Z11" s="119"/>
      <c r="AA11" s="119">
        <v>4</v>
      </c>
      <c r="AB11" s="119"/>
      <c r="AC11" s="119"/>
      <c r="AD11" s="119"/>
      <c r="AE11" s="119">
        <v>5</v>
      </c>
      <c r="AF11" s="119"/>
      <c r="AG11" s="119"/>
      <c r="AH11" s="119"/>
      <c r="AI11" s="120" t="s">
        <v>212</v>
      </c>
      <c r="AJ11" s="121"/>
      <c r="AM11" s="116" t="s">
        <v>210</v>
      </c>
      <c r="AN11" s="117"/>
    </row>
    <row r="12" spans="1:44" s="52" customFormat="1" outlineLevel="1">
      <c r="C12" s="51"/>
      <c r="D12" s="51"/>
      <c r="E12" s="51"/>
      <c r="I12" s="109"/>
      <c r="O12" s="118" t="e">
        <f>#REF!</f>
        <v>#REF!</v>
      </c>
      <c r="P12" s="118"/>
      <c r="Q12" s="118"/>
      <c r="R12" s="118"/>
      <c r="S12" s="118" t="e">
        <f>#REF!</f>
        <v>#REF!</v>
      </c>
      <c r="T12" s="118"/>
      <c r="U12" s="118"/>
      <c r="V12" s="118"/>
      <c r="W12" s="118" t="e">
        <f>#REF!</f>
        <v>#REF!</v>
      </c>
      <c r="X12" s="118"/>
      <c r="Y12" s="118"/>
      <c r="Z12" s="118"/>
      <c r="AA12" s="118" t="e">
        <f>#REF!</f>
        <v>#REF!</v>
      </c>
      <c r="AB12" s="118"/>
      <c r="AC12" s="118"/>
      <c r="AD12" s="118"/>
      <c r="AE12" s="118" t="e">
        <f>#REF!</f>
        <v>#REF!</v>
      </c>
      <c r="AF12" s="118"/>
      <c r="AG12" s="118"/>
      <c r="AH12" s="118"/>
      <c r="AI12" s="54">
        <f>SUM(AI15:AI1500)</f>
        <v>0</v>
      </c>
      <c r="AJ12" s="54" t="str">
        <f ca="1">IF($AJ$10&gt;0,IF($AJ$10&gt;=14,"D",IF($AJ$10&gt;=8,"N","E")),"NOT-YET")</f>
        <v>NOT-YET</v>
      </c>
      <c r="AK12" s="3"/>
      <c r="AL12" s="3"/>
      <c r="AM12" s="54">
        <f>SUM($AM$15:$AM$1500)</f>
        <v>75</v>
      </c>
      <c r="AN12" s="54" t="str">
        <f>IF(AM12&gt;0,IF($AN$14&gt;=14,"D",IF($AN$14&gt;=8,"N","E")),"NOT-YET")</f>
        <v>E</v>
      </c>
    </row>
    <row r="13" spans="1:44" s="3" customFormat="1" ht="51" customHeight="1">
      <c r="A13" s="4"/>
      <c r="B13" s="5" t="s">
        <v>16</v>
      </c>
      <c r="C13" s="6" t="s">
        <v>15</v>
      </c>
      <c r="D13" s="5" t="s">
        <v>14</v>
      </c>
      <c r="E13" s="6" t="s">
        <v>13</v>
      </c>
      <c r="F13" s="110" t="s">
        <v>172</v>
      </c>
      <c r="G13" s="122" t="s">
        <v>218</v>
      </c>
      <c r="H13" s="123"/>
      <c r="I13" s="6" t="s">
        <v>11</v>
      </c>
      <c r="J13" s="7" t="s">
        <v>12</v>
      </c>
      <c r="K13" s="7" t="s">
        <v>173</v>
      </c>
      <c r="L13" s="8" t="s">
        <v>10</v>
      </c>
      <c r="M13" s="124" t="s">
        <v>216</v>
      </c>
      <c r="N13" s="124"/>
      <c r="O13" s="6" t="s">
        <v>9</v>
      </c>
      <c r="P13" s="9" t="s">
        <v>4</v>
      </c>
      <c r="Q13" s="6" t="s">
        <v>8</v>
      </c>
      <c r="R13" s="6" t="s">
        <v>7</v>
      </c>
      <c r="S13" s="6" t="s">
        <v>9</v>
      </c>
      <c r="T13" s="9" t="s">
        <v>4</v>
      </c>
      <c r="U13" s="6" t="s">
        <v>8</v>
      </c>
      <c r="V13" s="6" t="s">
        <v>7</v>
      </c>
      <c r="W13" s="6" t="s">
        <v>9</v>
      </c>
      <c r="X13" s="9" t="s">
        <v>4</v>
      </c>
      <c r="Y13" s="6" t="s">
        <v>8</v>
      </c>
      <c r="Z13" s="6" t="s">
        <v>7</v>
      </c>
      <c r="AA13" s="6" t="s">
        <v>9</v>
      </c>
      <c r="AB13" s="9" t="s">
        <v>4</v>
      </c>
      <c r="AC13" s="6" t="s">
        <v>8</v>
      </c>
      <c r="AD13" s="6" t="s">
        <v>7</v>
      </c>
      <c r="AE13" s="6" t="s">
        <v>9</v>
      </c>
      <c r="AF13" s="9" t="s">
        <v>4</v>
      </c>
      <c r="AG13" s="6" t="s">
        <v>8</v>
      </c>
      <c r="AH13" s="6" t="s">
        <v>7</v>
      </c>
      <c r="AI13" s="6" t="s">
        <v>183</v>
      </c>
      <c r="AJ13" s="6" t="s">
        <v>17</v>
      </c>
      <c r="AM13" s="55" t="s">
        <v>183</v>
      </c>
      <c r="AN13" s="56" t="s">
        <v>17</v>
      </c>
      <c r="AO13" s="57"/>
      <c r="AP13" s="57"/>
      <c r="AQ13" s="57"/>
      <c r="AR13" s="57"/>
    </row>
    <row r="14" spans="1:44" s="3" customFormat="1" ht="45">
      <c r="A14" s="4"/>
      <c r="B14" s="5"/>
      <c r="C14" s="6"/>
      <c r="D14" s="5"/>
      <c r="E14" s="6"/>
      <c r="F14" s="110"/>
      <c r="G14" s="49" t="s">
        <v>219</v>
      </c>
      <c r="H14" s="50" t="s">
        <v>217</v>
      </c>
      <c r="I14" s="6"/>
      <c r="J14" s="7"/>
      <c r="K14" s="7"/>
      <c r="L14" s="8"/>
      <c r="M14" s="110" t="s">
        <v>9</v>
      </c>
      <c r="N14" s="110" t="s">
        <v>176</v>
      </c>
      <c r="O14" s="6"/>
      <c r="P14" s="9"/>
      <c r="Q14" s="6"/>
      <c r="R14" s="6"/>
      <c r="S14" s="6"/>
      <c r="T14" s="9"/>
      <c r="U14" s="6"/>
      <c r="V14" s="6"/>
      <c r="W14" s="6"/>
      <c r="X14" s="9"/>
      <c r="Y14" s="6"/>
      <c r="Z14" s="6"/>
      <c r="AA14" s="6"/>
      <c r="AB14" s="9"/>
      <c r="AC14" s="6"/>
      <c r="AD14" s="6"/>
      <c r="AE14" s="6"/>
      <c r="AF14" s="9"/>
      <c r="AG14" s="6"/>
      <c r="AH14" s="6"/>
      <c r="AI14" s="6"/>
      <c r="AJ14" s="6"/>
      <c r="AM14" s="58" t="s">
        <v>211</v>
      </c>
      <c r="AN14" s="59">
        <f>IFERROR($AM$12/COUNTIF($AM$15:$AM$1500, "&gt;0"),0)</f>
        <v>6.8181818181818183</v>
      </c>
      <c r="AO14" s="57"/>
      <c r="AP14" s="57"/>
      <c r="AQ14" s="57"/>
      <c r="AR14" s="57"/>
    </row>
    <row r="15" spans="1:44" ht="90">
      <c r="A15" s="10"/>
      <c r="B15" s="34">
        <v>1</v>
      </c>
      <c r="C15" s="24" t="s">
        <v>69</v>
      </c>
      <c r="D15" s="24"/>
      <c r="E15" s="24"/>
      <c r="F15" s="24"/>
      <c r="G15" s="24"/>
      <c r="H15" s="24"/>
      <c r="I15" s="24"/>
      <c r="J15" s="24"/>
      <c r="K15" s="24"/>
      <c r="L15" s="13"/>
      <c r="M15" s="24"/>
      <c r="N15" s="23"/>
      <c r="O15" s="23"/>
      <c r="P15" s="14"/>
      <c r="Q15" s="13"/>
      <c r="R15" s="23"/>
      <c r="S15" s="23"/>
      <c r="T15" s="14"/>
      <c r="U15" s="13"/>
      <c r="V15" s="13"/>
      <c r="W15" s="23"/>
      <c r="X15" s="14"/>
      <c r="Y15" s="13"/>
      <c r="Z15" s="23"/>
      <c r="AA15" s="26"/>
      <c r="AB15" s="14"/>
      <c r="AC15" s="13"/>
      <c r="AD15" s="26"/>
      <c r="AE15" s="26"/>
      <c r="AF15" s="14"/>
      <c r="AG15" s="13"/>
      <c r="AH15" s="26"/>
      <c r="AI15" s="20"/>
      <c r="AJ15" s="64" t="str">
        <f t="shared" ref="AJ15" si="8">IF(AI15&gt;0, IF(AI15&gt;=14,"D",IF(AI15&gt;=8,"N","E")),"")</f>
        <v/>
      </c>
      <c r="AM15" s="60"/>
      <c r="AN15" s="61" t="str">
        <f>IF(AM15&gt;0, IF(AM15&gt;=14,"D",IF(AM15&gt;=8,"N","E")),"")</f>
        <v/>
      </c>
      <c r="AO15" s="62"/>
      <c r="AP15" s="62"/>
      <c r="AQ15" s="62"/>
      <c r="AR15" s="62"/>
    </row>
    <row r="16" spans="1:44">
      <c r="A16" s="10"/>
      <c r="B16" s="35">
        <v>2</v>
      </c>
      <c r="C16" s="15" t="s">
        <v>68</v>
      </c>
      <c r="D16" s="15"/>
      <c r="E16" s="15"/>
      <c r="F16" s="15"/>
      <c r="G16" s="15"/>
      <c r="H16" s="15"/>
      <c r="I16" s="15"/>
      <c r="J16" s="15"/>
      <c r="K16" s="15"/>
      <c r="L16" s="15"/>
      <c r="M16" s="15"/>
      <c r="N16" s="15"/>
      <c r="O16" s="15"/>
      <c r="P16" s="16"/>
      <c r="Q16" s="15"/>
      <c r="R16" s="15"/>
      <c r="S16" s="15"/>
      <c r="T16" s="16"/>
      <c r="U16" s="15"/>
      <c r="V16" s="15"/>
      <c r="W16" s="15"/>
      <c r="X16" s="16"/>
      <c r="Y16" s="15"/>
      <c r="Z16" s="15"/>
      <c r="AA16" s="15"/>
      <c r="AB16" s="16"/>
      <c r="AC16" s="15"/>
      <c r="AD16" s="15"/>
      <c r="AE16" s="15"/>
      <c r="AF16" s="16"/>
      <c r="AG16" s="15"/>
      <c r="AH16" s="15"/>
      <c r="AI16" s="20"/>
      <c r="AJ16" s="64" t="str">
        <f t="shared" ref="AJ16:AJ33" si="9">IF(AI16&gt;0, IF(AI16&gt;=14,"D",IF(AI16&gt;=8,"N","E")),"")</f>
        <v/>
      </c>
      <c r="AM16" s="60"/>
      <c r="AN16" s="61" t="str">
        <f t="shared" ref="AN16:AN33" si="10">IF(AM16&gt;0, IF(AM16&gt;=14,"D",IF(AM16&gt;=8,"N","E")),"")</f>
        <v/>
      </c>
      <c r="AO16" s="62"/>
      <c r="AP16" s="62"/>
      <c r="AQ16" s="62"/>
      <c r="AR16" s="62"/>
    </row>
    <row r="17" spans="1:44" ht="75">
      <c r="A17" s="10"/>
      <c r="B17" s="34">
        <v>3</v>
      </c>
      <c r="C17" s="24" t="s">
        <v>67</v>
      </c>
      <c r="D17" s="114" t="s">
        <v>66</v>
      </c>
      <c r="E17" s="115" t="s">
        <v>65</v>
      </c>
      <c r="F17" s="24" t="s">
        <v>26</v>
      </c>
      <c r="G17" s="1" t="s">
        <v>194</v>
      </c>
      <c r="H17" s="1" t="s">
        <v>193</v>
      </c>
      <c r="I17" s="24"/>
      <c r="J17" s="24" t="s">
        <v>174</v>
      </c>
      <c r="K17" s="24" t="s">
        <v>175</v>
      </c>
      <c r="L17" s="13" t="s">
        <v>3</v>
      </c>
      <c r="M17" s="24" t="s">
        <v>0</v>
      </c>
      <c r="N17" s="23" t="s">
        <v>2</v>
      </c>
      <c r="O17" s="23" t="s">
        <v>0</v>
      </c>
      <c r="P17" s="14">
        <v>42782</v>
      </c>
      <c r="Q17" s="13" t="s">
        <v>222</v>
      </c>
      <c r="R17" s="23"/>
      <c r="S17" s="26" t="s">
        <v>0</v>
      </c>
      <c r="T17" s="14">
        <v>42782</v>
      </c>
      <c r="U17" s="13" t="s">
        <v>2</v>
      </c>
      <c r="V17" s="13"/>
      <c r="W17" s="23"/>
      <c r="X17" s="14"/>
      <c r="Y17" s="13"/>
      <c r="Z17" s="23"/>
      <c r="AA17" s="26"/>
      <c r="AB17" s="14"/>
      <c r="AC17" s="13"/>
      <c r="AD17" s="26"/>
      <c r="AE17" s="26"/>
      <c r="AF17" s="14"/>
      <c r="AG17" s="13"/>
      <c r="AH17" s="26"/>
      <c r="AI17" s="20"/>
      <c r="AJ17" s="64" t="str">
        <f t="shared" si="9"/>
        <v/>
      </c>
      <c r="AM17" s="60">
        <v>2</v>
      </c>
      <c r="AN17" s="61" t="str">
        <f t="shared" si="10"/>
        <v>E</v>
      </c>
      <c r="AO17" s="62"/>
      <c r="AP17" s="62"/>
      <c r="AQ17" s="62"/>
      <c r="AR17" s="62"/>
    </row>
    <row r="18" spans="1:44" ht="255">
      <c r="A18" s="10"/>
      <c r="B18" s="34">
        <v>4</v>
      </c>
      <c r="C18" s="27" t="s">
        <v>64</v>
      </c>
      <c r="D18" s="114" t="s">
        <v>63</v>
      </c>
      <c r="E18" s="42" t="s">
        <v>62</v>
      </c>
      <c r="F18" s="24" t="s">
        <v>26</v>
      </c>
      <c r="G18" s="1" t="s">
        <v>194</v>
      </c>
      <c r="H18" s="1" t="s">
        <v>193</v>
      </c>
      <c r="I18" s="24"/>
      <c r="J18" s="24" t="s">
        <v>174</v>
      </c>
      <c r="K18" s="24" t="s">
        <v>175</v>
      </c>
      <c r="L18" s="13" t="s">
        <v>3</v>
      </c>
      <c r="M18" s="24" t="s">
        <v>0</v>
      </c>
      <c r="N18" s="23" t="s">
        <v>2</v>
      </c>
      <c r="O18" s="26" t="s">
        <v>0</v>
      </c>
      <c r="P18" s="14">
        <v>42782</v>
      </c>
      <c r="Q18" s="13" t="s">
        <v>222</v>
      </c>
      <c r="R18" s="23"/>
      <c r="S18" s="26" t="s">
        <v>0</v>
      </c>
      <c r="T18" s="14">
        <v>42782</v>
      </c>
      <c r="U18" s="13" t="s">
        <v>2</v>
      </c>
      <c r="V18" s="13"/>
      <c r="W18" s="23"/>
      <c r="X18" s="14"/>
      <c r="Y18" s="13"/>
      <c r="Z18" s="23"/>
      <c r="AA18" s="26"/>
      <c r="AB18" s="14"/>
      <c r="AC18" s="13"/>
      <c r="AD18" s="26"/>
      <c r="AE18" s="26"/>
      <c r="AF18" s="14"/>
      <c r="AG18" s="13"/>
      <c r="AH18" s="26"/>
      <c r="AI18" s="20"/>
      <c r="AJ18" s="64" t="str">
        <f t="shared" si="9"/>
        <v/>
      </c>
      <c r="AM18" s="60">
        <v>5</v>
      </c>
      <c r="AN18" s="61" t="str">
        <f t="shared" si="10"/>
        <v>E</v>
      </c>
      <c r="AO18" s="62"/>
      <c r="AP18" s="62"/>
      <c r="AQ18" s="62"/>
      <c r="AR18" s="62"/>
    </row>
    <row r="19" spans="1:44" ht="45">
      <c r="A19" s="10"/>
      <c r="B19" s="34">
        <v>13</v>
      </c>
      <c r="C19" s="24" t="s">
        <v>61</v>
      </c>
      <c r="D19" s="114" t="s">
        <v>60</v>
      </c>
      <c r="E19" s="115" t="s">
        <v>59</v>
      </c>
      <c r="F19" s="24" t="s">
        <v>26</v>
      </c>
      <c r="G19" s="1" t="s">
        <v>194</v>
      </c>
      <c r="H19" s="1" t="s">
        <v>193</v>
      </c>
      <c r="I19" s="24"/>
      <c r="J19" s="24" t="s">
        <v>174</v>
      </c>
      <c r="K19" s="24" t="s">
        <v>175</v>
      </c>
      <c r="L19" s="13" t="s">
        <v>3</v>
      </c>
      <c r="M19" s="24" t="s">
        <v>0</v>
      </c>
      <c r="N19" s="23" t="s">
        <v>2</v>
      </c>
      <c r="O19" s="26" t="s">
        <v>0</v>
      </c>
      <c r="P19" s="14">
        <v>42782</v>
      </c>
      <c r="Q19" s="13" t="s">
        <v>222</v>
      </c>
      <c r="R19" s="23"/>
      <c r="S19" s="26" t="s">
        <v>0</v>
      </c>
      <c r="T19" s="14">
        <v>42782</v>
      </c>
      <c r="U19" s="13" t="s">
        <v>2</v>
      </c>
      <c r="V19" s="13"/>
      <c r="W19" s="23"/>
      <c r="X19" s="14"/>
      <c r="Y19" s="13"/>
      <c r="Z19" s="23"/>
      <c r="AA19" s="26"/>
      <c r="AB19" s="14"/>
      <c r="AC19" s="13"/>
      <c r="AD19" s="26"/>
      <c r="AE19" s="26"/>
      <c r="AF19" s="14"/>
      <c r="AG19" s="13"/>
      <c r="AH19" s="26"/>
      <c r="AI19" s="20"/>
      <c r="AJ19" s="64" t="str">
        <f t="shared" si="9"/>
        <v/>
      </c>
      <c r="AM19" s="60">
        <v>3</v>
      </c>
      <c r="AN19" s="61" t="str">
        <f t="shared" si="10"/>
        <v>E</v>
      </c>
      <c r="AO19" s="62"/>
      <c r="AP19" s="62"/>
      <c r="AQ19" s="62"/>
      <c r="AR19" s="62"/>
    </row>
    <row r="20" spans="1:44" ht="405">
      <c r="A20" s="10"/>
      <c r="B20" s="34">
        <v>19</v>
      </c>
      <c r="C20" s="24" t="s">
        <v>58</v>
      </c>
      <c r="D20" s="114" t="s">
        <v>184</v>
      </c>
      <c r="E20" s="115" t="s">
        <v>57</v>
      </c>
      <c r="F20" s="24" t="s">
        <v>26</v>
      </c>
      <c r="G20" s="1" t="s">
        <v>194</v>
      </c>
      <c r="H20" s="1" t="s">
        <v>193</v>
      </c>
      <c r="I20" s="30" t="s">
        <v>185</v>
      </c>
      <c r="J20" s="24" t="s">
        <v>174</v>
      </c>
      <c r="K20" s="24" t="s">
        <v>175</v>
      </c>
      <c r="L20" s="13" t="s">
        <v>3</v>
      </c>
      <c r="M20" s="24" t="s">
        <v>0</v>
      </c>
      <c r="N20" s="23" t="s">
        <v>2</v>
      </c>
      <c r="O20" s="26" t="s">
        <v>0</v>
      </c>
      <c r="P20" s="14">
        <v>42782</v>
      </c>
      <c r="Q20" s="13" t="s">
        <v>222</v>
      </c>
      <c r="R20" s="13"/>
      <c r="S20" s="26" t="s">
        <v>0</v>
      </c>
      <c r="T20" s="14">
        <v>42782</v>
      </c>
      <c r="U20" s="13" t="s">
        <v>2</v>
      </c>
      <c r="V20" s="13"/>
      <c r="W20" s="23"/>
      <c r="X20" s="14"/>
      <c r="Y20" s="13"/>
      <c r="Z20" s="23"/>
      <c r="AA20" s="26"/>
      <c r="AB20" s="14"/>
      <c r="AC20" s="13"/>
      <c r="AD20" s="26"/>
      <c r="AE20" s="26"/>
      <c r="AF20" s="14"/>
      <c r="AG20" s="13"/>
      <c r="AH20" s="26"/>
      <c r="AI20" s="20"/>
      <c r="AJ20" s="64" t="str">
        <f t="shared" si="9"/>
        <v/>
      </c>
      <c r="AM20" s="60">
        <v>15</v>
      </c>
      <c r="AN20" s="61" t="str">
        <f t="shared" si="10"/>
        <v>D</v>
      </c>
      <c r="AO20" s="62"/>
      <c r="AP20" s="62"/>
      <c r="AQ20" s="62"/>
      <c r="AR20" s="62"/>
    </row>
    <row r="21" spans="1:44" ht="160.5" customHeight="1">
      <c r="A21" s="10"/>
      <c r="B21" s="34">
        <v>14</v>
      </c>
      <c r="C21" s="24" t="s">
        <v>56</v>
      </c>
      <c r="D21" s="114" t="s">
        <v>55</v>
      </c>
      <c r="E21" s="115" t="s">
        <v>54</v>
      </c>
      <c r="F21" s="24" t="s">
        <v>26</v>
      </c>
      <c r="G21" s="1" t="s">
        <v>194</v>
      </c>
      <c r="H21" s="1" t="s">
        <v>193</v>
      </c>
      <c r="I21" s="24"/>
      <c r="J21" s="24" t="s">
        <v>174</v>
      </c>
      <c r="K21" s="24" t="s">
        <v>175</v>
      </c>
      <c r="L21" s="13" t="s">
        <v>3</v>
      </c>
      <c r="M21" s="24" t="s">
        <v>0</v>
      </c>
      <c r="N21" s="23" t="s">
        <v>2</v>
      </c>
      <c r="O21" s="26" t="s">
        <v>0</v>
      </c>
      <c r="P21" s="14">
        <v>42782</v>
      </c>
      <c r="Q21" s="13" t="s">
        <v>222</v>
      </c>
      <c r="R21" s="23"/>
      <c r="S21" s="26" t="s">
        <v>0</v>
      </c>
      <c r="T21" s="14">
        <v>42782</v>
      </c>
      <c r="U21" s="13" t="s">
        <v>2</v>
      </c>
      <c r="V21" s="17"/>
      <c r="W21" s="23"/>
      <c r="X21" s="14"/>
      <c r="Y21" s="13"/>
      <c r="Z21" s="23"/>
      <c r="AA21" s="26"/>
      <c r="AB21" s="14"/>
      <c r="AC21" s="13"/>
      <c r="AD21" s="26"/>
      <c r="AE21" s="26"/>
      <c r="AF21" s="14"/>
      <c r="AG21" s="13"/>
      <c r="AH21" s="26"/>
      <c r="AI21" s="20"/>
      <c r="AJ21" s="64" t="str">
        <f t="shared" si="9"/>
        <v/>
      </c>
      <c r="AM21" s="60">
        <v>5</v>
      </c>
      <c r="AN21" s="61" t="str">
        <f t="shared" si="10"/>
        <v>E</v>
      </c>
      <c r="AO21" s="62"/>
      <c r="AP21" s="62"/>
      <c r="AQ21" s="62"/>
      <c r="AR21" s="62"/>
    </row>
    <row r="22" spans="1:44" ht="255">
      <c r="A22" s="10"/>
      <c r="B22" s="34">
        <v>15</v>
      </c>
      <c r="C22" s="115" t="s">
        <v>53</v>
      </c>
      <c r="D22" s="114" t="s">
        <v>52</v>
      </c>
      <c r="E22" s="115" t="s">
        <v>51</v>
      </c>
      <c r="F22" s="24" t="s">
        <v>26</v>
      </c>
      <c r="G22" s="1" t="s">
        <v>194</v>
      </c>
      <c r="H22" s="1" t="s">
        <v>193</v>
      </c>
      <c r="I22" s="115" t="s">
        <v>50</v>
      </c>
      <c r="J22" s="24" t="s">
        <v>174</v>
      </c>
      <c r="K22" s="24" t="s">
        <v>175</v>
      </c>
      <c r="L22" s="13" t="s">
        <v>3</v>
      </c>
      <c r="M22" s="24" t="s">
        <v>0</v>
      </c>
      <c r="N22" s="23" t="s">
        <v>2</v>
      </c>
      <c r="O22" s="26" t="s">
        <v>0</v>
      </c>
      <c r="P22" s="14">
        <v>42782</v>
      </c>
      <c r="Q22" s="13" t="s">
        <v>222</v>
      </c>
      <c r="R22" s="23"/>
      <c r="S22" s="26" t="s">
        <v>0</v>
      </c>
      <c r="T22" s="14">
        <v>42782</v>
      </c>
      <c r="U22" s="13" t="s">
        <v>2</v>
      </c>
      <c r="V22" s="17"/>
      <c r="W22" s="23"/>
      <c r="X22" s="14"/>
      <c r="Y22" s="13"/>
      <c r="Z22" s="23"/>
      <c r="AA22" s="26"/>
      <c r="AB22" s="14"/>
      <c r="AC22" s="13"/>
      <c r="AD22" s="26"/>
      <c r="AE22" s="26"/>
      <c r="AF22" s="14"/>
      <c r="AG22" s="13"/>
      <c r="AH22" s="26"/>
      <c r="AI22" s="20"/>
      <c r="AJ22" s="64" t="str">
        <f t="shared" si="9"/>
        <v/>
      </c>
      <c r="AM22" s="60">
        <v>5</v>
      </c>
      <c r="AN22" s="61" t="str">
        <f t="shared" si="10"/>
        <v>E</v>
      </c>
      <c r="AO22" s="62"/>
      <c r="AP22" s="62"/>
      <c r="AQ22" s="62"/>
      <c r="AR22" s="62"/>
    </row>
    <row r="23" spans="1:44" ht="30">
      <c r="A23" s="10"/>
      <c r="B23" s="35">
        <v>5</v>
      </c>
      <c r="C23" s="15" t="s">
        <v>49</v>
      </c>
      <c r="D23" s="15"/>
      <c r="E23" s="15"/>
      <c r="F23" s="15"/>
      <c r="G23" s="15"/>
      <c r="H23" s="15"/>
      <c r="I23" s="15"/>
      <c r="J23" s="15"/>
      <c r="K23" s="15"/>
      <c r="L23" s="15"/>
      <c r="M23" s="15"/>
      <c r="N23" s="15"/>
      <c r="O23" s="15"/>
      <c r="P23" s="16"/>
      <c r="Q23" s="15"/>
      <c r="R23" s="15"/>
      <c r="S23" s="15"/>
      <c r="T23" s="16"/>
      <c r="U23" s="15"/>
      <c r="V23" s="15"/>
      <c r="W23" s="15"/>
      <c r="X23" s="15"/>
      <c r="Y23" s="15"/>
      <c r="Z23" s="15"/>
      <c r="AA23" s="15"/>
      <c r="AB23" s="15"/>
      <c r="AC23" s="15"/>
      <c r="AD23" s="15"/>
      <c r="AE23" s="15"/>
      <c r="AF23" s="15"/>
      <c r="AG23" s="15"/>
      <c r="AH23" s="15"/>
      <c r="AI23" s="20"/>
      <c r="AJ23" s="64" t="str">
        <f t="shared" si="9"/>
        <v/>
      </c>
      <c r="AM23" s="60"/>
      <c r="AN23" s="61" t="str">
        <f t="shared" si="10"/>
        <v/>
      </c>
      <c r="AO23" s="62"/>
      <c r="AP23" s="62"/>
      <c r="AQ23" s="62"/>
      <c r="AR23" s="62"/>
    </row>
    <row r="24" spans="1:44">
      <c r="A24" s="10"/>
      <c r="B24" s="34">
        <v>28</v>
      </c>
      <c r="C24" s="24" t="s">
        <v>48</v>
      </c>
      <c r="D24" s="24"/>
      <c r="E24" s="24"/>
      <c r="F24" s="24"/>
      <c r="G24" s="24"/>
      <c r="H24" s="24"/>
      <c r="I24" s="24"/>
      <c r="J24" s="24"/>
      <c r="K24" s="24"/>
      <c r="L24" s="13"/>
      <c r="M24" s="24"/>
      <c r="N24" s="23"/>
      <c r="O24" s="23"/>
      <c r="P24" s="14"/>
      <c r="Q24" s="13"/>
      <c r="R24" s="23"/>
      <c r="S24" s="23"/>
      <c r="T24" s="14"/>
      <c r="U24" s="13"/>
      <c r="V24" s="13"/>
      <c r="W24" s="23"/>
      <c r="X24" s="14"/>
      <c r="Y24" s="13"/>
      <c r="Z24" s="23"/>
      <c r="AA24" s="26"/>
      <c r="AB24" s="14"/>
      <c r="AC24" s="13"/>
      <c r="AD24" s="26"/>
      <c r="AE24" s="26"/>
      <c r="AF24" s="14"/>
      <c r="AG24" s="13"/>
      <c r="AH24" s="26"/>
      <c r="AI24" s="20"/>
      <c r="AJ24" s="64" t="str">
        <f t="shared" si="9"/>
        <v/>
      </c>
      <c r="AM24" s="60"/>
      <c r="AN24" s="61" t="str">
        <f t="shared" si="10"/>
        <v/>
      </c>
      <c r="AO24" s="62"/>
      <c r="AP24" s="62"/>
      <c r="AQ24" s="62"/>
      <c r="AR24" s="62"/>
    </row>
    <row r="25" spans="1:44" ht="225">
      <c r="A25" s="10"/>
      <c r="B25" s="34">
        <v>30</v>
      </c>
      <c r="C25" s="24" t="s">
        <v>47</v>
      </c>
      <c r="D25" s="25" t="s">
        <v>46</v>
      </c>
      <c r="E25" s="24" t="s">
        <v>45</v>
      </c>
      <c r="F25" s="24" t="s">
        <v>26</v>
      </c>
      <c r="G25" s="1" t="s">
        <v>194</v>
      </c>
      <c r="H25" s="1" t="s">
        <v>193</v>
      </c>
      <c r="I25" s="24" t="s">
        <v>44</v>
      </c>
      <c r="J25" s="24" t="s">
        <v>174</v>
      </c>
      <c r="K25" s="24" t="s">
        <v>175</v>
      </c>
      <c r="L25" s="13" t="s">
        <v>3</v>
      </c>
      <c r="M25" s="24" t="s">
        <v>0</v>
      </c>
      <c r="N25" s="23" t="s">
        <v>2</v>
      </c>
      <c r="O25" s="26" t="s">
        <v>0</v>
      </c>
      <c r="P25" s="14">
        <v>42782</v>
      </c>
      <c r="Q25" s="13" t="s">
        <v>222</v>
      </c>
      <c r="R25" s="23"/>
      <c r="S25" s="26" t="s">
        <v>0</v>
      </c>
      <c r="T25" s="14">
        <v>42782</v>
      </c>
      <c r="U25" s="13" t="s">
        <v>2</v>
      </c>
      <c r="V25" s="13"/>
      <c r="W25" s="23"/>
      <c r="X25" s="14"/>
      <c r="Y25" s="13"/>
      <c r="Z25" s="23"/>
      <c r="AA25" s="26"/>
      <c r="AB25" s="14"/>
      <c r="AC25" s="13"/>
      <c r="AD25" s="26"/>
      <c r="AE25" s="26"/>
      <c r="AF25" s="14"/>
      <c r="AG25" s="13"/>
      <c r="AH25" s="26"/>
      <c r="AI25" s="20"/>
      <c r="AJ25" s="64" t="str">
        <f t="shared" si="9"/>
        <v/>
      </c>
      <c r="AM25" s="60">
        <v>5</v>
      </c>
      <c r="AN25" s="61" t="str">
        <f t="shared" si="10"/>
        <v>E</v>
      </c>
      <c r="AO25" s="62"/>
      <c r="AP25" s="62"/>
      <c r="AQ25" s="62"/>
      <c r="AR25" s="62"/>
    </row>
    <row r="26" spans="1:44" ht="30">
      <c r="A26" s="10"/>
      <c r="B26" s="35">
        <v>20</v>
      </c>
      <c r="C26" s="15" t="s">
        <v>43</v>
      </c>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20"/>
      <c r="AJ26" s="64" t="str">
        <f t="shared" si="9"/>
        <v/>
      </c>
      <c r="AM26" s="60"/>
      <c r="AN26" s="61" t="str">
        <f t="shared" si="10"/>
        <v/>
      </c>
      <c r="AO26" s="62"/>
      <c r="AP26" s="62"/>
      <c r="AQ26" s="62"/>
      <c r="AR26" s="62"/>
    </row>
    <row r="27" spans="1:44" s="19" customFormat="1" ht="75">
      <c r="A27" s="10"/>
      <c r="B27" s="36">
        <v>31</v>
      </c>
      <c r="C27" s="25" t="s">
        <v>42</v>
      </c>
      <c r="D27" s="114" t="s">
        <v>41</v>
      </c>
      <c r="E27" s="25" t="s">
        <v>40</v>
      </c>
      <c r="F27" s="25" t="s">
        <v>26</v>
      </c>
      <c r="G27" s="1" t="s">
        <v>194</v>
      </c>
      <c r="H27" s="1" t="s">
        <v>193</v>
      </c>
      <c r="I27" s="25"/>
      <c r="J27" s="24" t="s">
        <v>174</v>
      </c>
      <c r="K27" s="24" t="s">
        <v>175</v>
      </c>
      <c r="L27" s="13" t="s">
        <v>3</v>
      </c>
      <c r="M27" s="25" t="s">
        <v>0</v>
      </c>
      <c r="N27" s="23" t="s">
        <v>2</v>
      </c>
      <c r="O27" s="26" t="s">
        <v>0</v>
      </c>
      <c r="P27" s="14">
        <v>42782</v>
      </c>
      <c r="Q27" s="13" t="s">
        <v>222</v>
      </c>
      <c r="R27" s="23"/>
      <c r="S27" s="26" t="s">
        <v>0</v>
      </c>
      <c r="T27" s="14">
        <v>42782</v>
      </c>
      <c r="U27" s="13" t="s">
        <v>2</v>
      </c>
      <c r="V27" s="17"/>
      <c r="W27" s="23"/>
      <c r="X27" s="14"/>
      <c r="Y27" s="13"/>
      <c r="Z27" s="23"/>
      <c r="AA27" s="26"/>
      <c r="AB27" s="14"/>
      <c r="AC27" s="13"/>
      <c r="AD27" s="26"/>
      <c r="AE27" s="26"/>
      <c r="AF27" s="14"/>
      <c r="AG27" s="13"/>
      <c r="AH27" s="26"/>
      <c r="AI27" s="20"/>
      <c r="AJ27" s="64" t="str">
        <f t="shared" si="9"/>
        <v/>
      </c>
      <c r="AK27" s="12"/>
      <c r="AL27" s="12"/>
      <c r="AM27" s="60">
        <v>5</v>
      </c>
      <c r="AN27" s="61" t="str">
        <f t="shared" si="10"/>
        <v>E</v>
      </c>
      <c r="AO27" s="62"/>
      <c r="AP27" s="62"/>
      <c r="AQ27" s="62"/>
      <c r="AR27" s="62"/>
    </row>
    <row r="28" spans="1:44" ht="30">
      <c r="A28" s="10"/>
      <c r="B28" s="35">
        <v>21</v>
      </c>
      <c r="C28" s="15" t="s">
        <v>39</v>
      </c>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20"/>
      <c r="AJ28" s="64" t="str">
        <f t="shared" si="9"/>
        <v/>
      </c>
      <c r="AM28" s="60"/>
      <c r="AN28" s="61" t="str">
        <f t="shared" si="10"/>
        <v/>
      </c>
      <c r="AO28" s="62"/>
      <c r="AP28" s="62"/>
      <c r="AQ28" s="62"/>
      <c r="AR28" s="62"/>
    </row>
    <row r="29" spans="1:44" ht="225">
      <c r="A29" s="10"/>
      <c r="B29" s="34">
        <v>37</v>
      </c>
      <c r="C29" s="24" t="s">
        <v>34</v>
      </c>
      <c r="D29" s="114" t="s">
        <v>38</v>
      </c>
      <c r="E29" s="29" t="s">
        <v>37</v>
      </c>
      <c r="F29" s="24" t="s">
        <v>26</v>
      </c>
      <c r="G29" s="1" t="s">
        <v>194</v>
      </c>
      <c r="H29" s="1" t="s">
        <v>193</v>
      </c>
      <c r="I29" s="24" t="s">
        <v>36</v>
      </c>
      <c r="J29" s="24"/>
      <c r="K29" s="24"/>
      <c r="L29" s="13" t="s">
        <v>3</v>
      </c>
      <c r="M29" s="24" t="s">
        <v>0</v>
      </c>
      <c r="N29" s="23" t="s">
        <v>2</v>
      </c>
      <c r="O29" s="26" t="s">
        <v>0</v>
      </c>
      <c r="P29" s="14">
        <v>42782</v>
      </c>
      <c r="Q29" s="13" t="s">
        <v>222</v>
      </c>
      <c r="R29" s="23"/>
      <c r="S29" s="26" t="s">
        <v>0</v>
      </c>
      <c r="T29" s="14">
        <v>42782</v>
      </c>
      <c r="U29" s="13" t="s">
        <v>2</v>
      </c>
      <c r="V29" s="13"/>
      <c r="W29" s="23"/>
      <c r="X29" s="14"/>
      <c r="Y29" s="13"/>
      <c r="Z29" s="23"/>
      <c r="AA29" s="26"/>
      <c r="AB29" s="14"/>
      <c r="AC29" s="13"/>
      <c r="AD29" s="26"/>
      <c r="AE29" s="26"/>
      <c r="AF29" s="14"/>
      <c r="AG29" s="13"/>
      <c r="AH29" s="26"/>
      <c r="AI29" s="20"/>
      <c r="AJ29" s="64" t="str">
        <f t="shared" si="9"/>
        <v/>
      </c>
      <c r="AM29" s="60">
        <v>10</v>
      </c>
      <c r="AN29" s="61" t="str">
        <f t="shared" si="10"/>
        <v>N</v>
      </c>
    </row>
    <row r="30" spans="1:44" ht="30">
      <c r="A30" s="10"/>
      <c r="B30" s="35">
        <v>22</v>
      </c>
      <c r="C30" s="15" t="s">
        <v>35</v>
      </c>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20"/>
      <c r="AJ30" s="64" t="str">
        <f t="shared" si="9"/>
        <v/>
      </c>
      <c r="AM30" s="60"/>
      <c r="AN30" s="61" t="str">
        <f t="shared" si="10"/>
        <v/>
      </c>
    </row>
    <row r="31" spans="1:44" ht="240">
      <c r="A31" s="10"/>
      <c r="B31" s="34">
        <v>38</v>
      </c>
      <c r="C31" s="24" t="s">
        <v>34</v>
      </c>
      <c r="D31" s="114" t="s">
        <v>178</v>
      </c>
      <c r="E31" s="115" t="s">
        <v>33</v>
      </c>
      <c r="F31" s="24" t="s">
        <v>26</v>
      </c>
      <c r="G31" s="1" t="s">
        <v>223</v>
      </c>
      <c r="H31" s="1" t="s">
        <v>193</v>
      </c>
      <c r="I31" s="24" t="s">
        <v>32</v>
      </c>
      <c r="J31" s="24"/>
      <c r="K31" s="24"/>
      <c r="L31" s="13" t="s">
        <v>3</v>
      </c>
      <c r="M31" s="24" t="s">
        <v>0</v>
      </c>
      <c r="N31" s="26" t="s">
        <v>2</v>
      </c>
      <c r="O31" s="26" t="s">
        <v>0</v>
      </c>
      <c r="P31" s="14">
        <v>42782</v>
      </c>
      <c r="Q31" s="13" t="s">
        <v>222</v>
      </c>
      <c r="R31" s="23"/>
      <c r="S31" s="26" t="s">
        <v>0</v>
      </c>
      <c r="T31" s="14">
        <v>42782</v>
      </c>
      <c r="U31" s="13" t="s">
        <v>2</v>
      </c>
      <c r="V31" s="13"/>
      <c r="W31" s="23"/>
      <c r="X31" s="14"/>
      <c r="Y31" s="13"/>
      <c r="Z31" s="23"/>
      <c r="AA31" s="26"/>
      <c r="AB31" s="14"/>
      <c r="AC31" s="13"/>
      <c r="AD31" s="26"/>
      <c r="AE31" s="26"/>
      <c r="AF31" s="14"/>
      <c r="AG31" s="13"/>
      <c r="AH31" s="26"/>
      <c r="AI31" s="20"/>
      <c r="AJ31" s="64" t="str">
        <f t="shared" si="9"/>
        <v/>
      </c>
      <c r="AM31" s="60">
        <v>10</v>
      </c>
      <c r="AN31" s="61" t="str">
        <f t="shared" si="10"/>
        <v>N</v>
      </c>
    </row>
    <row r="32" spans="1:44" ht="30">
      <c r="A32" s="10"/>
      <c r="B32" s="35">
        <v>29</v>
      </c>
      <c r="C32" s="15" t="s">
        <v>31</v>
      </c>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20"/>
      <c r="AJ32" s="64" t="str">
        <f t="shared" si="9"/>
        <v/>
      </c>
      <c r="AM32" s="60"/>
      <c r="AN32" s="61" t="str">
        <f t="shared" si="10"/>
        <v/>
      </c>
    </row>
    <row r="33" spans="1:40" ht="300">
      <c r="A33" s="10"/>
      <c r="B33" s="34">
        <v>32</v>
      </c>
      <c r="C33" s="24" t="s">
        <v>30</v>
      </c>
      <c r="D33" s="43" t="s">
        <v>29</v>
      </c>
      <c r="E33" s="24" t="s">
        <v>28</v>
      </c>
      <c r="F33" s="24" t="s">
        <v>26</v>
      </c>
      <c r="G33" s="1" t="s">
        <v>194</v>
      </c>
      <c r="H33" s="1" t="s">
        <v>193</v>
      </c>
      <c r="I33" s="24" t="s">
        <v>27</v>
      </c>
      <c r="J33" s="24"/>
      <c r="K33" s="24"/>
      <c r="L33" s="13" t="s">
        <v>3</v>
      </c>
      <c r="M33" s="24" t="s">
        <v>0</v>
      </c>
      <c r="N33" s="26" t="s">
        <v>2</v>
      </c>
      <c r="O33" s="26" t="s">
        <v>0</v>
      </c>
      <c r="P33" s="14">
        <v>42782</v>
      </c>
      <c r="Q33" s="13" t="s">
        <v>222</v>
      </c>
      <c r="R33" s="23"/>
      <c r="S33" s="26" t="s">
        <v>0</v>
      </c>
      <c r="T33" s="14">
        <v>42782</v>
      </c>
      <c r="U33" s="13" t="s">
        <v>2</v>
      </c>
      <c r="V33" s="13"/>
      <c r="W33" s="23"/>
      <c r="X33" s="14"/>
      <c r="Y33" s="13"/>
      <c r="Z33" s="23"/>
      <c r="AA33" s="26"/>
      <c r="AB33" s="14"/>
      <c r="AC33" s="13"/>
      <c r="AD33" s="26"/>
      <c r="AE33" s="26"/>
      <c r="AF33" s="14"/>
      <c r="AG33" s="13"/>
      <c r="AH33" s="26"/>
      <c r="AI33" s="20"/>
      <c r="AJ33" s="64" t="str">
        <f t="shared" si="9"/>
        <v/>
      </c>
      <c r="AM33" s="60">
        <v>10</v>
      </c>
      <c r="AN33" s="61" t="str">
        <f t="shared" si="10"/>
        <v>N</v>
      </c>
    </row>
  </sheetData>
  <autoFilter ref="B14:AJ33"/>
  <mergeCells count="14">
    <mergeCell ref="AM11:AN11"/>
    <mergeCell ref="AI11:AJ11"/>
    <mergeCell ref="AE12:AH12"/>
    <mergeCell ref="AA12:AD12"/>
    <mergeCell ref="O11:R11"/>
    <mergeCell ref="S11:V11"/>
    <mergeCell ref="W11:Z11"/>
    <mergeCell ref="AA11:AD11"/>
    <mergeCell ref="AE11:AH11"/>
    <mergeCell ref="G13:H13"/>
    <mergeCell ref="O12:R12"/>
    <mergeCell ref="S12:V12"/>
    <mergeCell ref="W12:Z12"/>
    <mergeCell ref="M13:N13"/>
  </mergeCells>
  <phoneticPr fontId="152"/>
  <hyperlinks>
    <hyperlink ref="L3" location="PCL_Summary!A1" display="PCL_Summary!A1"/>
    <hyperlink ref="L2" location="Test_Report_Summary!A1" display="Test_Report_Summary"/>
  </hyperlinks>
  <pageMargins left="0.25" right="0.25" top="0.75" bottom="0.75" header="0.3" footer="0.3"/>
  <pageSetup paperSize="9" scale="37"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V47"/>
  <sheetViews>
    <sheetView zoomScale="85" zoomScaleNormal="85" workbookViewId="0">
      <selection activeCell="F15" sqref="F15"/>
    </sheetView>
  </sheetViews>
  <sheetFormatPr defaultColWidth="9.140625" defaultRowHeight="15" outlineLevelRow="1" outlineLevelCol="1"/>
  <cols>
    <col min="1" max="1" width="2.42578125" style="12" customWidth="1"/>
    <col min="2" max="2" width="14.5703125" style="12" bestFit="1" customWidth="1"/>
    <col min="3" max="3" width="30.85546875" style="12" customWidth="1"/>
    <col min="4" max="4" width="37.85546875" style="12" customWidth="1"/>
    <col min="5" max="5" width="17.28515625" style="12" customWidth="1"/>
    <col min="6" max="8" width="14.140625" style="12" customWidth="1"/>
    <col min="9" max="9" width="21" style="12" customWidth="1"/>
    <col min="10" max="10" width="10" style="12" bestFit="1" customWidth="1"/>
    <col min="11" max="11" width="13.85546875" style="12" customWidth="1"/>
    <col min="12" max="12" width="17.42578125" style="12" customWidth="1"/>
    <col min="13" max="14" width="9.140625" style="12" customWidth="1"/>
    <col min="15" max="15" width="16.5703125" style="12" customWidth="1"/>
    <col min="16" max="16" width="12" style="12" bestFit="1" customWidth="1"/>
    <col min="17" max="17" width="14.85546875" style="12" customWidth="1"/>
    <col min="18" max="18" width="24.85546875" style="12" customWidth="1"/>
    <col min="19" max="19" width="15.5703125" style="12" customWidth="1" outlineLevel="1"/>
    <col min="20" max="22" width="11" style="12" customWidth="1" outlineLevel="1"/>
    <col min="23" max="23" width="14.42578125" style="12" customWidth="1" outlineLevel="1"/>
    <col min="24" max="26" width="11" style="12" customWidth="1" outlineLevel="1"/>
    <col min="27" max="27" width="14.42578125" style="12" customWidth="1" outlineLevel="1"/>
    <col min="28" max="30" width="11" style="12" customWidth="1" outlineLevel="1"/>
    <col min="31" max="31" width="14.42578125" style="12" customWidth="1" outlineLevel="1"/>
    <col min="32" max="34" width="11" style="12" customWidth="1" outlineLevel="1"/>
    <col min="35" max="36" width="11" style="12" customWidth="1"/>
    <col min="37" max="37" width="12.5703125" style="12" bestFit="1" customWidth="1"/>
    <col min="38" max="38" width="3.7109375" style="12" customWidth="1"/>
    <col min="39" max="39" width="14.140625" style="63" customWidth="1"/>
    <col min="40" max="40" width="18.5703125" style="63" customWidth="1"/>
    <col min="41" max="41" width="11" style="63" bestFit="1" customWidth="1"/>
    <col min="42" max="42" width="12.140625" style="63" bestFit="1" customWidth="1"/>
    <col min="43" max="43" width="9.140625" style="63"/>
    <col min="44" max="44" width="10.5703125" style="63" bestFit="1" customWidth="1"/>
    <col min="45" max="16384" width="9.140625" style="12"/>
  </cols>
  <sheetData>
    <row r="1" spans="1:126" s="52" customFormat="1" ht="15.75" outlineLevel="1" thickBot="1">
      <c r="A1" s="57" t="s">
        <v>24</v>
      </c>
      <c r="B1" s="57"/>
      <c r="C1" s="51">
        <f>COUNTA($D$15:$D$1000)-COUNTIF($K$15:$K$1000,"-")</f>
        <v>29</v>
      </c>
      <c r="D1" s="73" t="s">
        <v>179</v>
      </c>
      <c r="E1" s="74">
        <f>COUNTIF($L$15:$L$1000,D1)</f>
        <v>0</v>
      </c>
      <c r="F1" s="51"/>
      <c r="G1" s="51"/>
      <c r="H1" s="51"/>
      <c r="I1" s="51"/>
      <c r="J1" s="51"/>
      <c r="K1" s="53"/>
      <c r="L1" s="51"/>
      <c r="M1" s="51"/>
      <c r="N1" s="51"/>
      <c r="O1" s="75" t="s">
        <v>177</v>
      </c>
      <c r="P1" s="75">
        <f>COUNTIFS(Q15:Q1000,"*RVC*")</f>
        <v>0</v>
      </c>
      <c r="Q1" s="75" t="s">
        <v>25</v>
      </c>
      <c r="R1" s="75">
        <f>COUNTIFS(Q15:Q1000,"*GCS*")</f>
        <v>29</v>
      </c>
      <c r="S1" s="75" t="s">
        <v>177</v>
      </c>
      <c r="T1" s="75">
        <f>COUNTIFS(U15:U1000,"*RVC*")</f>
        <v>0</v>
      </c>
      <c r="U1" s="75" t="s">
        <v>25</v>
      </c>
      <c r="V1" s="75">
        <f>COUNTIFS(U15:U1000,"*GCS*")</f>
        <v>29</v>
      </c>
      <c r="W1" s="75" t="s">
        <v>177</v>
      </c>
      <c r="X1" s="75">
        <f>COUNTIFS(Y15:Y1000,"*RVC*")</f>
        <v>0</v>
      </c>
      <c r="Y1" s="75" t="s">
        <v>25</v>
      </c>
      <c r="Z1" s="75">
        <f>COUNTIFS(Y15:Y1000,"*GCS*")</f>
        <v>0</v>
      </c>
      <c r="AA1" s="75" t="s">
        <v>177</v>
      </c>
      <c r="AB1" s="75">
        <f>COUNTIFS(AC15:AC1000,"*RVC*")</f>
        <v>0</v>
      </c>
      <c r="AC1" s="75" t="s">
        <v>25</v>
      </c>
      <c r="AD1" s="75">
        <f>COUNTIFS(AC15:AC1000,"*GCS*")</f>
        <v>0</v>
      </c>
      <c r="AE1" s="75" t="s">
        <v>177</v>
      </c>
      <c r="AF1" s="75">
        <f>COUNTIFS(AG15:AG1000,"*RVC*")</f>
        <v>0</v>
      </c>
      <c r="AG1" s="75" t="s">
        <v>25</v>
      </c>
      <c r="AH1" s="75">
        <f>COUNTIFS(AG15:AG1000,"*GCS*")</f>
        <v>0</v>
      </c>
      <c r="AI1" s="51"/>
      <c r="AJ1" s="76"/>
    </row>
    <row r="2" spans="1:126" s="70" customFormat="1" ht="16.5" customHeight="1" outlineLevel="1">
      <c r="A2" s="77"/>
      <c r="B2" s="77" t="s">
        <v>10</v>
      </c>
      <c r="C2" s="69">
        <f>SUM(COUNTIF($L$15:$L$1000,{"*Ju*","*RCP*"}))</f>
        <v>0</v>
      </c>
      <c r="D2" s="31" t="s">
        <v>180</v>
      </c>
      <c r="E2" s="32">
        <f>COUNTIF($L$15:$L$1000,D2)</f>
        <v>0</v>
      </c>
      <c r="F2" s="69"/>
      <c r="G2" s="69"/>
      <c r="H2" s="69"/>
      <c r="I2" s="69"/>
      <c r="J2" s="69"/>
      <c r="L2" s="78"/>
      <c r="M2" s="69"/>
      <c r="N2" s="69"/>
      <c r="O2" s="79"/>
      <c r="P2" s="80" t="s">
        <v>23</v>
      </c>
      <c r="Q2" s="80" t="s">
        <v>10</v>
      </c>
      <c r="R2" s="81" t="s">
        <v>22</v>
      </c>
      <c r="S2" s="79"/>
      <c r="T2" s="80" t="s">
        <v>23</v>
      </c>
      <c r="U2" s="80" t="s">
        <v>10</v>
      </c>
      <c r="V2" s="81" t="s">
        <v>22</v>
      </c>
      <c r="W2" s="79"/>
      <c r="X2" s="80" t="s">
        <v>23</v>
      </c>
      <c r="Y2" s="80" t="s">
        <v>10</v>
      </c>
      <c r="Z2" s="81" t="s">
        <v>22</v>
      </c>
      <c r="AA2" s="79"/>
      <c r="AB2" s="80" t="s">
        <v>23</v>
      </c>
      <c r="AC2" s="80" t="s">
        <v>10</v>
      </c>
      <c r="AD2" s="81" t="s">
        <v>22</v>
      </c>
      <c r="AE2" s="79"/>
      <c r="AF2" s="80" t="s">
        <v>23</v>
      </c>
      <c r="AG2" s="80" t="s">
        <v>10</v>
      </c>
      <c r="AH2" s="81" t="s">
        <v>22</v>
      </c>
      <c r="AI2" s="44" t="s">
        <v>186</v>
      </c>
      <c r="AJ2" s="45" t="s">
        <v>8</v>
      </c>
      <c r="AK2" s="44" t="s">
        <v>187</v>
      </c>
      <c r="AM2" s="82" t="s">
        <v>201</v>
      </c>
      <c r="AN2" s="83" t="e">
        <f>#REF!</f>
        <v>#REF!</v>
      </c>
      <c r="AO2" s="44" t="s">
        <v>202</v>
      </c>
      <c r="AP2" s="44" t="s">
        <v>203</v>
      </c>
      <c r="AQ2" s="44" t="s">
        <v>204</v>
      </c>
      <c r="AR2" s="44" t="s">
        <v>195</v>
      </c>
    </row>
    <row r="3" spans="1:126" s="70" customFormat="1" ht="16.5" customHeight="1" outlineLevel="1">
      <c r="A3" s="77"/>
      <c r="B3" s="77" t="s">
        <v>22</v>
      </c>
      <c r="C3" s="69">
        <f>C1-C2</f>
        <v>29</v>
      </c>
      <c r="D3" s="84"/>
      <c r="E3" s="72"/>
      <c r="F3" s="85"/>
      <c r="G3" s="85"/>
      <c r="H3" s="66" t="s">
        <v>195</v>
      </c>
      <c r="I3" s="67" t="s">
        <v>196</v>
      </c>
      <c r="J3" s="68" t="s">
        <v>186</v>
      </c>
      <c r="L3" s="86"/>
      <c r="M3" s="87" t="s">
        <v>177</v>
      </c>
      <c r="N3" s="87">
        <f>COUNTIFS($N$15:$N$1000,"*RVC*")</f>
        <v>0</v>
      </c>
      <c r="O3" s="88" t="s">
        <v>21</v>
      </c>
      <c r="P3" s="89">
        <f>SUM(Q3:R3)</f>
        <v>29</v>
      </c>
      <c r="Q3" s="90">
        <f>SUM(Q4:Q5)</f>
        <v>0</v>
      </c>
      <c r="R3" s="91">
        <f>SUM(R4:R5)</f>
        <v>29</v>
      </c>
      <c r="S3" s="88" t="s">
        <v>21</v>
      </c>
      <c r="T3" s="89">
        <f>SUM(U3:V3)</f>
        <v>29</v>
      </c>
      <c r="U3" s="90">
        <f>SUM(U4:U5)</f>
        <v>0</v>
      </c>
      <c r="V3" s="91">
        <f>SUM(V4:V5)</f>
        <v>29</v>
      </c>
      <c r="W3" s="88" t="s">
        <v>21</v>
      </c>
      <c r="X3" s="89">
        <f>SUM(Y3:Z3)</f>
        <v>0</v>
      </c>
      <c r="Y3" s="90">
        <f>SUM(Y4:Y5)</f>
        <v>0</v>
      </c>
      <c r="Z3" s="91">
        <f>SUM(Z4:Z5)</f>
        <v>0</v>
      </c>
      <c r="AA3" s="88" t="s">
        <v>21</v>
      </c>
      <c r="AB3" s="89">
        <f>SUM(AC3:AD3)</f>
        <v>0</v>
      </c>
      <c r="AC3" s="90">
        <f>SUM(AC4:AC5)</f>
        <v>0</v>
      </c>
      <c r="AD3" s="91">
        <f>SUM(AD4:AD5)</f>
        <v>0</v>
      </c>
      <c r="AE3" s="88" t="s">
        <v>21</v>
      </c>
      <c r="AF3" s="89">
        <f>SUM(AG3:AH3)</f>
        <v>0</v>
      </c>
      <c r="AG3" s="90">
        <f>SUM(AG4:AG5)</f>
        <v>0</v>
      </c>
      <c r="AH3" s="92">
        <f>SUM(AH4:AH5)</f>
        <v>0</v>
      </c>
      <c r="AI3" s="46" t="e">
        <f ca="1">SUMIFS($AI$15:$AI$1500,$L$15:$L$1500,"*Manual*", INDIRECT(VLOOKUP($AN$2,$AM$3:$AN$7,2,FALSE)),"*"&amp;AJ3&amp;"*")</f>
        <v>#REF!</v>
      </c>
      <c r="AJ3" s="46" t="s">
        <v>188</v>
      </c>
      <c r="AK3" s="47" t="e">
        <f ca="1">COUNTIFS($L$15:$L$1500, "*Manual*", INDIRECT(VLOOKUP($AN$2,$AM$3:$AN$7,2,FALSE)),  "*"&amp;AJ3&amp;"*")</f>
        <v>#REF!</v>
      </c>
      <c r="AM3" s="65">
        <v>1</v>
      </c>
      <c r="AN3" s="65" t="s">
        <v>205</v>
      </c>
      <c r="AO3" s="65">
        <f ca="1">SUMIFS($AI$15:$AI$1500,$L$15:$L$1500,"*Manual*", INDIRECT(AN3),"&lt;&gt;"&amp;"")</f>
        <v>212</v>
      </c>
      <c r="AP3" s="65">
        <f ca="1">COUNTIFS($L$15:$L$1500,"*Manual*",INDIRECT(AN3),"&lt;&gt;"&amp;"")</f>
        <v>29</v>
      </c>
      <c r="AQ3" s="65">
        <f ca="1">IFERROR(AO3/AP3,0)</f>
        <v>7.3103448275862073</v>
      </c>
      <c r="AR3" s="65" t="str">
        <f ca="1">IF(AQ3&gt;0,IF(AQ3&gt;=14,"D",IF(AQ3&gt;=8,"N","E")),"NOT-YET")</f>
        <v>E</v>
      </c>
    </row>
    <row r="4" spans="1:126" s="70" customFormat="1" ht="16.5" customHeight="1" outlineLevel="1">
      <c r="C4" s="69"/>
      <c r="D4" s="84"/>
      <c r="E4" s="72"/>
      <c r="H4" s="69" t="s">
        <v>197</v>
      </c>
      <c r="I4" s="70" t="e">
        <f ca="1">COUNTIFS($L$15:$L$1500,"*Manual*",INDIRECT(VLOOKUP($AN$2,$AM$3:$AN$7,2,FALSE)),  "&lt;&gt;"&amp;"", $AI$15:$AI$1500,"*"&amp;H4&amp;"*")</f>
        <v>#REF!</v>
      </c>
      <c r="J4" s="71" t="e">
        <f ca="1">SUMIFS($AI$15:$AI$1500,$L$15:$L$1500,"*Manual*", INDIRECT(VLOOKUP($AN$2,$AM$3:$AN$7,2,FALSE)),"&lt;&gt;"&amp;"",$AJ$15:$AJ$1500,"*"&amp;H4&amp;"*")</f>
        <v>#REF!</v>
      </c>
      <c r="M4" s="87" t="s">
        <v>25</v>
      </c>
      <c r="N4" s="87">
        <f>COUNTIFS($N$15:$N$1000,"*GCS*")</f>
        <v>29</v>
      </c>
      <c r="O4" s="93" t="s">
        <v>0</v>
      </c>
      <c r="P4" s="94">
        <f>COUNTIF(O$15:O$1000,O4)</f>
        <v>29</v>
      </c>
      <c r="Q4" s="90">
        <f>SUM(COUNTIFS(Q$15:Q$2500,{"*Ju*","*RCP*"},O$15:O$2500,O4))</f>
        <v>0</v>
      </c>
      <c r="R4" s="95">
        <f>P4-Q4</f>
        <v>29</v>
      </c>
      <c r="S4" s="93" t="s">
        <v>0</v>
      </c>
      <c r="T4" s="94">
        <f>COUNTIF(S$15:S$1000,S4)</f>
        <v>29</v>
      </c>
      <c r="U4" s="90">
        <f>SUM(COUNTIFS(U$15:U$2500,{"*Ju*","*RCP*"},S$15:S$2500,S4))</f>
        <v>0</v>
      </c>
      <c r="V4" s="95">
        <f>T4-U4</f>
        <v>29</v>
      </c>
      <c r="W4" s="93" t="s">
        <v>0</v>
      </c>
      <c r="X4" s="94">
        <f>COUNTIF(W$15:W$1000,W4)</f>
        <v>0</v>
      </c>
      <c r="Y4" s="90">
        <f>SUM(COUNTIFS(Y$15:Y$2500,{"*Ju*","*RCP*"},W$15:W$2500,W4))</f>
        <v>0</v>
      </c>
      <c r="Z4" s="95">
        <f>X4-Y4</f>
        <v>0</v>
      </c>
      <c r="AA4" s="93" t="s">
        <v>0</v>
      </c>
      <c r="AB4" s="94">
        <f>COUNTIF(AA$15:AA$1000,AA4)</f>
        <v>0</v>
      </c>
      <c r="AC4" s="90">
        <f>SUM(COUNTIFS(AC$15:AC$2500,{"*Ju*","*RCP*"},AA$15:AA$2500,AA4))</f>
        <v>0</v>
      </c>
      <c r="AD4" s="95">
        <f>AB4-AC4</f>
        <v>0</v>
      </c>
      <c r="AE4" s="93" t="s">
        <v>0</v>
      </c>
      <c r="AF4" s="94">
        <f>COUNTIF(AE$15:AE$1000,AE4)</f>
        <v>0</v>
      </c>
      <c r="AG4" s="90">
        <f>SUM(COUNTIFS(AG$15:AG$2500,{"*Ju*","*RCP*"},AE$15:AE$2500,AE4))</f>
        <v>0</v>
      </c>
      <c r="AH4" s="96">
        <f>AF4-AG4</f>
        <v>0</v>
      </c>
      <c r="AI4" s="46" t="e">
        <f t="shared" ref="AI4:AI8" ca="1" si="0">SUMIFS($AI$15:$AI$1500,$L$15:$L$1500,"*Manual*", INDIRECT(VLOOKUP($AN$2,$AM$3:$AN$7,2,FALSE)),"*"&amp;AJ4&amp;"*")</f>
        <v>#REF!</v>
      </c>
      <c r="AJ4" s="46" t="s">
        <v>189</v>
      </c>
      <c r="AK4" s="47" t="e">
        <f t="shared" ref="AK4:AK9" ca="1" si="1">COUNTIFS($L$15:$L$1500, "*Manual*", INDIRECT(VLOOKUP($AN$2,$AM$3:$AN$7,2,FALSE)),  "*"&amp;AJ4&amp;"*")</f>
        <v>#REF!</v>
      </c>
      <c r="AM4" s="65">
        <v>2</v>
      </c>
      <c r="AN4" s="65" t="s">
        <v>206</v>
      </c>
      <c r="AO4" s="65">
        <f t="shared" ref="AO4:AO7" ca="1" si="2">SUMIFS($AI$15:$AI$1500,$L$15:$L$1500,"*Manual*", INDIRECT(AN4),"&lt;&gt;"&amp;"")</f>
        <v>212</v>
      </c>
      <c r="AP4" s="65">
        <f t="shared" ref="AP4:AP7" ca="1" si="3">COUNTIFS($L$15:$L$1500,"*Manual*",INDIRECT(AN4),"&lt;&gt;"&amp;"")</f>
        <v>29</v>
      </c>
      <c r="AQ4" s="65">
        <f t="shared" ref="AQ4:AQ7" ca="1" si="4">IFERROR(AO4/AP4,0)</f>
        <v>7.3103448275862073</v>
      </c>
      <c r="AR4" s="65" t="str">
        <f t="shared" ref="AR4:AR7" ca="1" si="5">IF(AQ4&gt;0,IF(AQ4&gt;=14,"D",IF(AQ4&gt;=8,"N","E")),"NOT-YET")</f>
        <v>E</v>
      </c>
    </row>
    <row r="5" spans="1:126" s="70" customFormat="1" ht="16.5" customHeight="1" outlineLevel="1">
      <c r="C5" s="69"/>
      <c r="D5" s="84"/>
      <c r="E5" s="72"/>
      <c r="H5" s="69" t="s">
        <v>198</v>
      </c>
      <c r="I5" s="70" t="e">
        <f t="shared" ref="I5:I6" ca="1" si="6">COUNTIFS($L$15:$L$1500,"*Manual*",INDIRECT(VLOOKUP($AN$2,$AM$3:$AN$7,2,FALSE)),  "&lt;&gt;"&amp;"", $AI$15:$AI$1500,"*"&amp;H5&amp;"*")</f>
        <v>#REF!</v>
      </c>
      <c r="J5" s="71" t="e">
        <f t="shared" ref="J5:J6" ca="1" si="7">SUMIFS($AI$15:$AI$1500,$L$15:$L$1500,"*Manual*", INDIRECT(VLOOKUP($AN$2,$AM$3:$AN$7,2,FALSE)),"&lt;&gt;"&amp;"",$AJ$15:$AJ$1500,"*"&amp;H5&amp;"*")</f>
        <v>#REF!</v>
      </c>
      <c r="K5" s="72"/>
      <c r="M5" s="33" t="s">
        <v>0</v>
      </c>
      <c r="N5" s="33">
        <f>COUNTIFS($M$15:$M$1000,"*Pass*")</f>
        <v>29</v>
      </c>
      <c r="O5" s="97" t="s">
        <v>20</v>
      </c>
      <c r="P5" s="98">
        <f>SUM(P6:P9)</f>
        <v>0</v>
      </c>
      <c r="Q5" s="90">
        <f>SUM(Q6:Q9)</f>
        <v>0</v>
      </c>
      <c r="R5" s="95">
        <f>SUM(R6:R9)</f>
        <v>0</v>
      </c>
      <c r="S5" s="97" t="s">
        <v>20</v>
      </c>
      <c r="T5" s="98">
        <f>SUM(T6:T9)</f>
        <v>0</v>
      </c>
      <c r="U5" s="90">
        <f>SUM(U6:U9)</f>
        <v>0</v>
      </c>
      <c r="V5" s="95">
        <f>SUM(V6:V9)</f>
        <v>0</v>
      </c>
      <c r="W5" s="97" t="s">
        <v>20</v>
      </c>
      <c r="X5" s="98">
        <f>SUM(X6:X9)</f>
        <v>0</v>
      </c>
      <c r="Y5" s="90">
        <f>SUM(Y6:Y9)</f>
        <v>0</v>
      </c>
      <c r="Z5" s="95">
        <f>SUM(Z6:Z9)</f>
        <v>0</v>
      </c>
      <c r="AA5" s="97" t="s">
        <v>20</v>
      </c>
      <c r="AB5" s="98">
        <f>SUM(AB6:AB9)</f>
        <v>0</v>
      </c>
      <c r="AC5" s="90">
        <f>SUM(AC6:AC9)</f>
        <v>0</v>
      </c>
      <c r="AD5" s="95">
        <f>SUM(AD6:AD9)</f>
        <v>0</v>
      </c>
      <c r="AE5" s="97" t="s">
        <v>20</v>
      </c>
      <c r="AF5" s="98">
        <f>SUM(AF6:AF9)</f>
        <v>0</v>
      </c>
      <c r="AG5" s="90">
        <f>SUM(AG6:AG9)</f>
        <v>0</v>
      </c>
      <c r="AH5" s="96">
        <f>SUM(AH6:AH9)</f>
        <v>0</v>
      </c>
      <c r="AI5" s="46" t="e">
        <f t="shared" ca="1" si="0"/>
        <v>#REF!</v>
      </c>
      <c r="AJ5" s="46" t="s">
        <v>190</v>
      </c>
      <c r="AK5" s="47" t="e">
        <f t="shared" ca="1" si="1"/>
        <v>#REF!</v>
      </c>
      <c r="AM5" s="65">
        <v>3</v>
      </c>
      <c r="AN5" s="65" t="s">
        <v>207</v>
      </c>
      <c r="AO5" s="65">
        <f t="shared" ca="1" si="2"/>
        <v>0</v>
      </c>
      <c r="AP5" s="65">
        <f t="shared" ca="1" si="3"/>
        <v>0</v>
      </c>
      <c r="AQ5" s="65">
        <f t="shared" ca="1" si="4"/>
        <v>0</v>
      </c>
      <c r="AR5" s="65" t="str">
        <f t="shared" ca="1" si="5"/>
        <v>NOT-YET</v>
      </c>
    </row>
    <row r="6" spans="1:126" s="70" customFormat="1" ht="16.5" customHeight="1" outlineLevel="1">
      <c r="A6" s="99" t="s">
        <v>181</v>
      </c>
      <c r="C6" s="69">
        <f>COUNTIF($K$15:$K$1000,"5.3")</f>
        <v>0</v>
      </c>
      <c r="D6" s="69"/>
      <c r="E6" s="84"/>
      <c r="H6" s="69" t="s">
        <v>199</v>
      </c>
      <c r="I6" s="70" t="e">
        <f t="shared" ca="1" si="6"/>
        <v>#REF!</v>
      </c>
      <c r="J6" s="71" t="e">
        <f t="shared" ca="1" si="7"/>
        <v>#REF!</v>
      </c>
      <c r="K6" s="72"/>
      <c r="M6" s="33" t="s">
        <v>20</v>
      </c>
      <c r="N6" s="33">
        <f>COUNTIFS($M$15:$M$1000,"*Fail*")</f>
        <v>0</v>
      </c>
      <c r="O6" s="97" t="s">
        <v>19</v>
      </c>
      <c r="P6" s="98">
        <f>COUNTIF(O$15:O$1000,"*"&amp;O6&amp;"*")</f>
        <v>0</v>
      </c>
      <c r="Q6" s="90">
        <f>SUM(COUNTIFS(Q$15:Q$2500,{"*Ju*","*RCP*"},O$15:O$2500,O6))</f>
        <v>0</v>
      </c>
      <c r="R6" s="95">
        <f>P6-Q6</f>
        <v>0</v>
      </c>
      <c r="S6" s="97" t="s">
        <v>19</v>
      </c>
      <c r="T6" s="98">
        <f>COUNTIF(S$15:S$1000,"*"&amp;S6&amp;"*")</f>
        <v>0</v>
      </c>
      <c r="U6" s="90">
        <f>SUM(COUNTIFS(U$15:U$2500,{"*Ju*","*RCP*"},S$15:S$2500,S6))</f>
        <v>0</v>
      </c>
      <c r="V6" s="95">
        <f>T6-U6</f>
        <v>0</v>
      </c>
      <c r="W6" s="97" t="s">
        <v>19</v>
      </c>
      <c r="X6" s="98">
        <f>COUNTIF(W$15:W$1000,"*"&amp;W6&amp;"*")</f>
        <v>0</v>
      </c>
      <c r="Y6" s="90">
        <f>SUM(COUNTIFS(Y$15:Y$2500,{"*Ju*","*RCP*"},W$15:W$2500,W6))</f>
        <v>0</v>
      </c>
      <c r="Z6" s="95">
        <f>X6-Y6</f>
        <v>0</v>
      </c>
      <c r="AA6" s="97" t="s">
        <v>19</v>
      </c>
      <c r="AB6" s="98">
        <f>COUNTIF(AA$15:AA$1000,"*"&amp;AA6&amp;"*")</f>
        <v>0</v>
      </c>
      <c r="AC6" s="90">
        <f>SUM(COUNTIFS(AC$15:AC$2500,{"*Ju*","*RCP*"},AA$15:AA$2500,AA6))</f>
        <v>0</v>
      </c>
      <c r="AD6" s="95">
        <f>AB6-AC6</f>
        <v>0</v>
      </c>
      <c r="AE6" s="97" t="s">
        <v>19</v>
      </c>
      <c r="AF6" s="98">
        <f>COUNTIF(AE$15:AE$1000,"*"&amp;AE6&amp;"*")</f>
        <v>0</v>
      </c>
      <c r="AG6" s="90">
        <f>SUM(COUNTIFS(AG$15:AG$2500,{"*Ju*","*RCP*"},AE$15:AE$2500,AE6))</f>
        <v>0</v>
      </c>
      <c r="AH6" s="96">
        <f>AF6-AG6</f>
        <v>0</v>
      </c>
      <c r="AI6" s="46" t="e">
        <f t="shared" ca="1" si="0"/>
        <v>#REF!</v>
      </c>
      <c r="AJ6" s="46" t="s">
        <v>191</v>
      </c>
      <c r="AK6" s="47" t="e">
        <f t="shared" ca="1" si="1"/>
        <v>#REF!</v>
      </c>
      <c r="AM6" s="65">
        <v>4</v>
      </c>
      <c r="AN6" s="65" t="s">
        <v>208</v>
      </c>
      <c r="AO6" s="65">
        <f t="shared" ca="1" si="2"/>
        <v>0</v>
      </c>
      <c r="AP6" s="65">
        <f t="shared" ca="1" si="3"/>
        <v>0</v>
      </c>
      <c r="AQ6" s="65">
        <f ca="1">IFERROR(AO6/AP6,0)</f>
        <v>0</v>
      </c>
      <c r="AR6" s="65" t="str">
        <f t="shared" ca="1" si="5"/>
        <v>NOT-YET</v>
      </c>
    </row>
    <row r="7" spans="1:126" s="70" customFormat="1" ht="16.5" customHeight="1" outlineLevel="1">
      <c r="C7" s="69"/>
      <c r="D7" s="69"/>
      <c r="E7" s="84"/>
      <c r="H7" s="69"/>
      <c r="I7" s="72"/>
      <c r="K7" s="72"/>
      <c r="M7" s="33" t="s">
        <v>182</v>
      </c>
      <c r="N7" s="33">
        <f>COUNTIFS($M$15:$M$1000,"*Skip*")</f>
        <v>0</v>
      </c>
      <c r="O7" s="97" t="s">
        <v>6</v>
      </c>
      <c r="P7" s="98">
        <f>COUNTIF(O$15:O$1000,"*"&amp;O7&amp;"*")</f>
        <v>0</v>
      </c>
      <c r="Q7" s="90">
        <f>SUM(COUNTIFS(Q$15:Q$2500,{"*Ju*","*RCP*"},O$15:O$2500,O7))</f>
        <v>0</v>
      </c>
      <c r="R7" s="95">
        <f>P7-Q7</f>
        <v>0</v>
      </c>
      <c r="S7" s="97" t="s">
        <v>6</v>
      </c>
      <c r="T7" s="98">
        <f>COUNTIF(S$15:S$1000,"*"&amp;S7&amp;"*")</f>
        <v>0</v>
      </c>
      <c r="U7" s="90">
        <f>SUM(COUNTIFS(U$15:U$2500,{"*Ju*","*RCP*"},S$15:S$2500,S7))</f>
        <v>0</v>
      </c>
      <c r="V7" s="95">
        <f>T7-U7</f>
        <v>0</v>
      </c>
      <c r="W7" s="97" t="s">
        <v>6</v>
      </c>
      <c r="X7" s="98">
        <f>COUNTIF(W$15:W$1000,"*"&amp;W7&amp;"*")</f>
        <v>0</v>
      </c>
      <c r="Y7" s="90">
        <f>SUM(COUNTIFS(Y$15:Y$2500,{"*Ju*","*RCP*"},W$15:W$2500,W7))</f>
        <v>0</v>
      </c>
      <c r="Z7" s="95">
        <f>X7-Y7</f>
        <v>0</v>
      </c>
      <c r="AA7" s="97" t="s">
        <v>6</v>
      </c>
      <c r="AB7" s="98">
        <f>COUNTIF(AA$15:AA$1000,"*"&amp;AA7&amp;"*")</f>
        <v>0</v>
      </c>
      <c r="AC7" s="90">
        <f>SUM(COUNTIFS(AC$15:AC$2500,{"*Ju*","*RCP*"},AA$15:AA$2500,AA7))</f>
        <v>0</v>
      </c>
      <c r="AD7" s="95">
        <f>AB7-AC7</f>
        <v>0</v>
      </c>
      <c r="AE7" s="97" t="s">
        <v>6</v>
      </c>
      <c r="AF7" s="98">
        <f>COUNTIF(AE$15:AE$1000,"*"&amp;AE7&amp;"*")</f>
        <v>0</v>
      </c>
      <c r="AG7" s="90">
        <f>SUM(COUNTIFS(AG$15:AG$2500,{"*Ju*","*RCP*"},AE$15:AE$2500,AE7))</f>
        <v>0</v>
      </c>
      <c r="AH7" s="96">
        <f>AF7-AG7</f>
        <v>0</v>
      </c>
      <c r="AI7" s="46" t="e">
        <f t="shared" ca="1" si="0"/>
        <v>#REF!</v>
      </c>
      <c r="AJ7" s="46" t="s">
        <v>192</v>
      </c>
      <c r="AK7" s="47" t="e">
        <f t="shared" ca="1" si="1"/>
        <v>#REF!</v>
      </c>
      <c r="AM7" s="65">
        <v>5</v>
      </c>
      <c r="AN7" s="65" t="s">
        <v>209</v>
      </c>
      <c r="AO7" s="65">
        <f t="shared" ca="1" si="2"/>
        <v>0</v>
      </c>
      <c r="AP7" s="65">
        <f t="shared" ca="1" si="3"/>
        <v>0</v>
      </c>
      <c r="AQ7" s="65">
        <f t="shared" ca="1" si="4"/>
        <v>0</v>
      </c>
      <c r="AR7" s="65" t="str">
        <f t="shared" ca="1" si="5"/>
        <v>NOT-YET</v>
      </c>
    </row>
    <row r="8" spans="1:126" s="70" customFormat="1" ht="16.5" customHeight="1" outlineLevel="1">
      <c r="C8" s="69"/>
      <c r="D8" s="69"/>
      <c r="E8" s="84"/>
      <c r="H8" s="48" t="s">
        <v>200</v>
      </c>
      <c r="I8" s="70" t="e">
        <f ca="1">COUNTIFS($L$15:$L$1500,"*Manual*",INDIRECT(VLOOKUP($AN$2,$AM$3:$AN$7,2,FALSE)),  "&lt;&gt;"&amp;"", $AI$15:$AI$1500,"&gt;=60")</f>
        <v>#REF!</v>
      </c>
      <c r="J8" s="71" t="e">
        <f ca="1">SUMIFS($AI$15:$AI$1500,$L$15:$L$1500,"*Manual*", INDIRECT(VLOOKUP($AN$2,$AM$3:$AN$7,2,FALSE)),"&lt;&gt;"&amp;"",$AI$15:$AI$1500,"&gt;=60")</f>
        <v>#REF!</v>
      </c>
      <c r="K8" s="72"/>
      <c r="O8" s="97" t="s">
        <v>18</v>
      </c>
      <c r="P8" s="98">
        <f>COUNTIF(O$15:O$1000,"*"&amp;O8&amp;"*")</f>
        <v>0</v>
      </c>
      <c r="Q8" s="90">
        <f>SUM(COUNTIFS(Q$15:Q$2500,{"*Ju*","*RCP*"},O$15:O$2500,O8))</f>
        <v>0</v>
      </c>
      <c r="R8" s="95">
        <f>P8-Q8</f>
        <v>0</v>
      </c>
      <c r="S8" s="97" t="s">
        <v>18</v>
      </c>
      <c r="T8" s="98">
        <f>COUNTIF(S$15:S$1000,"*"&amp;S8&amp;"*")</f>
        <v>0</v>
      </c>
      <c r="U8" s="90">
        <f>SUM(COUNTIFS(U$15:U$2500,{"*Ju*","*RCP*"},S$15:S$2500,S8))</f>
        <v>0</v>
      </c>
      <c r="V8" s="95">
        <f>T8-U8</f>
        <v>0</v>
      </c>
      <c r="W8" s="97" t="s">
        <v>18</v>
      </c>
      <c r="X8" s="98">
        <f>COUNTIF(W$15:W$1000,"*"&amp;W8&amp;"*")</f>
        <v>0</v>
      </c>
      <c r="Y8" s="90">
        <f>SUM(COUNTIFS(Y$15:Y$2500,{"*Ju*","*RCP*"},W$15:W$2500,W8))</f>
        <v>0</v>
      </c>
      <c r="Z8" s="95">
        <f>X8-Y8</f>
        <v>0</v>
      </c>
      <c r="AA8" s="97" t="s">
        <v>18</v>
      </c>
      <c r="AB8" s="98">
        <f>COUNTIF(AA$15:AA$1000,"*"&amp;AA8&amp;"*")</f>
        <v>0</v>
      </c>
      <c r="AC8" s="90">
        <f>SUM(COUNTIFS(AC$15:AC$2500,{"*Ju*","*RCP*"},AA$15:AA$2500,AA8))</f>
        <v>0</v>
      </c>
      <c r="AD8" s="95">
        <f>AB8-AC8</f>
        <v>0</v>
      </c>
      <c r="AE8" s="97" t="s">
        <v>18</v>
      </c>
      <c r="AF8" s="98">
        <f>COUNTIF(AE$15:AE$1000,"*"&amp;AE8&amp;"*")</f>
        <v>0</v>
      </c>
      <c r="AG8" s="90">
        <f>SUM(COUNTIFS(AG$15:AG$2500,{"*Ju*","*RCP*"},AE$15:AE$2500,AE8))</f>
        <v>0</v>
      </c>
      <c r="AH8" s="96">
        <f>AF8-AG8</f>
        <v>0</v>
      </c>
      <c r="AI8" s="46" t="e">
        <f t="shared" ca="1" si="0"/>
        <v>#REF!</v>
      </c>
      <c r="AJ8" s="46" t="s">
        <v>213</v>
      </c>
      <c r="AK8" s="47" t="e">
        <f t="shared" ca="1" si="1"/>
        <v>#REF!</v>
      </c>
      <c r="AO8" s="100"/>
    </row>
    <row r="9" spans="1:126" s="70" customFormat="1" ht="16.5" customHeight="1" outlineLevel="1">
      <c r="C9" s="69"/>
      <c r="D9" s="69"/>
      <c r="E9" s="84"/>
      <c r="I9" s="85"/>
      <c r="J9" s="69"/>
      <c r="K9" s="72"/>
      <c r="O9" s="97" t="s">
        <v>1</v>
      </c>
      <c r="P9" s="98">
        <f>COUNTIF(O$15:O$1000,"*"&amp;O9&amp;"*")</f>
        <v>0</v>
      </c>
      <c r="Q9" s="90">
        <f>SUM(COUNTIFS(Q$15:Q$2500,{"*Ju*","*RCP*"},O$15:O$2500,O9))</f>
        <v>0</v>
      </c>
      <c r="R9" s="95">
        <f>P9-Q9</f>
        <v>0</v>
      </c>
      <c r="S9" s="97" t="s">
        <v>1</v>
      </c>
      <c r="T9" s="98">
        <f>COUNTIF(S$15:S$1000,"*"&amp;S9&amp;"*")</f>
        <v>0</v>
      </c>
      <c r="U9" s="90">
        <f>SUM(COUNTIFS(U$15:U$2500,{"*Ju*","*RCP*"},S$15:S$2500,S9))</f>
        <v>0</v>
      </c>
      <c r="V9" s="95">
        <f>T9-U9</f>
        <v>0</v>
      </c>
      <c r="W9" s="97" t="s">
        <v>1</v>
      </c>
      <c r="X9" s="98">
        <f>COUNTIF(W$15:W$1000,"*"&amp;W9&amp;"*")</f>
        <v>0</v>
      </c>
      <c r="Y9" s="90">
        <f>SUM(COUNTIFS(Y$15:Y$2500,{"*Ju*","*RCP*"},W$15:W$2500,W9))</f>
        <v>0</v>
      </c>
      <c r="Z9" s="95">
        <f>X9-Y9</f>
        <v>0</v>
      </c>
      <c r="AA9" s="97" t="s">
        <v>1</v>
      </c>
      <c r="AB9" s="98">
        <f>COUNTIF(AA$15:AA$1000,"*"&amp;AA9&amp;"*")</f>
        <v>0</v>
      </c>
      <c r="AC9" s="90">
        <f>SUM(COUNTIFS(AC$15:AC$2500,{"*Ju*","*RCP*"},AA$15:AA$2500,AA9))</f>
        <v>0</v>
      </c>
      <c r="AD9" s="95">
        <f>AB9-AC9</f>
        <v>0</v>
      </c>
      <c r="AE9" s="97" t="s">
        <v>1</v>
      </c>
      <c r="AF9" s="98">
        <f>COUNTIF(AE$15:AE$1000,"*"&amp;AE9&amp;"*")</f>
        <v>0</v>
      </c>
      <c r="AG9" s="90">
        <f>SUM(COUNTIFS(AG$15:AG$2500,{"*Ju*","*RCP*"},AE$15:AE$2500,AE9))</f>
        <v>0</v>
      </c>
      <c r="AH9" s="96">
        <f>AF9-AG9</f>
        <v>0</v>
      </c>
      <c r="AI9" s="46" t="e">
        <f ca="1">SUMIFS($AI$15:$AI$1500,$L$15:$L$1500,"*Manual*", INDIRECT(VLOOKUP($AN$2,$AM$3:$AN$7,2,FALSE)),"*"&amp;AJ9&amp;"*")</f>
        <v>#REF!</v>
      </c>
      <c r="AJ9" s="46" t="s">
        <v>214</v>
      </c>
      <c r="AK9" s="47" t="e">
        <f t="shared" ca="1" si="1"/>
        <v>#REF!</v>
      </c>
      <c r="AM9" s="101"/>
      <c r="AN9" s="101"/>
    </row>
    <row r="10" spans="1:126" s="70" customFormat="1" ht="16.5" customHeight="1" outlineLevel="1" thickBot="1">
      <c r="C10" s="69"/>
      <c r="D10" s="69"/>
      <c r="E10" s="84"/>
      <c r="I10" s="85"/>
      <c r="J10" s="69"/>
      <c r="K10" s="72"/>
      <c r="O10" s="102" t="s">
        <v>215</v>
      </c>
      <c r="P10" s="103">
        <f>COUNTIF(O$15:O$1000,"*"&amp;O10&amp;"*")</f>
        <v>0</v>
      </c>
      <c r="Q10" s="90">
        <f>SUM(COUNTIFS(Q$15:Q$2500,{"*Ju*","*RCP*"},O$15:O$2500,O10))</f>
        <v>0</v>
      </c>
      <c r="R10" s="104">
        <f>P10-Q10</f>
        <v>0</v>
      </c>
      <c r="S10" s="102" t="s">
        <v>215</v>
      </c>
      <c r="T10" s="103">
        <f>COUNTIF(S$15:S$1000,"*"&amp;S10&amp;"*")</f>
        <v>0</v>
      </c>
      <c r="U10" s="90">
        <f>SUM(COUNTIFS(U$15:U$2500,{"*Ju*","*RCP*"},S$15:S$2500,S10))</f>
        <v>0</v>
      </c>
      <c r="V10" s="104">
        <f>T10-U10</f>
        <v>0</v>
      </c>
      <c r="W10" s="102" t="s">
        <v>215</v>
      </c>
      <c r="X10" s="103">
        <f>COUNTIF(W$15:W$1000,"*"&amp;W10&amp;"*")</f>
        <v>0</v>
      </c>
      <c r="Y10" s="90">
        <f>SUM(COUNTIFS(Y$15:Y$2500,{"*Ju*","*RCP*"},W$15:W$2500,W10))</f>
        <v>0</v>
      </c>
      <c r="Z10" s="104">
        <f>X10-Y10</f>
        <v>0</v>
      </c>
      <c r="AA10" s="102" t="s">
        <v>215</v>
      </c>
      <c r="AB10" s="103">
        <f>COUNTIF(AA$15:AA$1000,"*"&amp;AA10&amp;"*")</f>
        <v>0</v>
      </c>
      <c r="AC10" s="90">
        <f>SUM(COUNTIFS(AC$15:AC$2500,{"*Ju*","*RCP*"},AA$15:AA$2500,AA10))</f>
        <v>0</v>
      </c>
      <c r="AD10" s="104">
        <f>AB10-AC10</f>
        <v>0</v>
      </c>
      <c r="AE10" s="102" t="s">
        <v>215</v>
      </c>
      <c r="AF10" s="103">
        <f>COUNTIF(AE$15:AE$1000,"*"&amp;AE10&amp;"*")</f>
        <v>0</v>
      </c>
      <c r="AG10" s="90">
        <f>SUM(COUNTIFS(AG$15:AG$2500,{"*Ju*","*RCP*"},AE$15:AE$2500,AE10))</f>
        <v>0</v>
      </c>
      <c r="AH10" s="105">
        <f>AF10-AG10</f>
        <v>0</v>
      </c>
      <c r="AI10" s="106" t="e">
        <f ca="1">SUM(AI3:AI9)</f>
        <v>#REF!</v>
      </c>
      <c r="AJ10" s="113">
        <f ca="1" xml:space="preserve"> IFERROR($AG$10/$AI$10,0)</f>
        <v>0</v>
      </c>
      <c r="AK10" s="107" t="e">
        <f ca="1">SUM(AK3:AK9)</f>
        <v>#REF!</v>
      </c>
      <c r="AM10" s="71"/>
      <c r="AN10" s="71"/>
    </row>
    <row r="11" spans="1:126" s="52" customFormat="1" outlineLevel="1">
      <c r="A11" s="57"/>
      <c r="B11" s="57"/>
      <c r="C11" s="51"/>
      <c r="D11" s="51"/>
      <c r="E11" s="108"/>
      <c r="F11" s="109"/>
      <c r="G11" s="109"/>
      <c r="H11" s="109"/>
      <c r="I11" s="109"/>
      <c r="J11" s="51"/>
      <c r="K11" s="53"/>
      <c r="L11" s="109"/>
      <c r="M11" s="109"/>
      <c r="N11" s="109"/>
      <c r="O11" s="119">
        <v>1</v>
      </c>
      <c r="P11" s="119"/>
      <c r="Q11" s="119"/>
      <c r="R11" s="119"/>
      <c r="S11" s="119">
        <v>2</v>
      </c>
      <c r="T11" s="119"/>
      <c r="U11" s="119"/>
      <c r="V11" s="119"/>
      <c r="W11" s="119">
        <v>3</v>
      </c>
      <c r="X11" s="119"/>
      <c r="Y11" s="119"/>
      <c r="Z11" s="119"/>
      <c r="AA11" s="119">
        <v>4</v>
      </c>
      <c r="AB11" s="119"/>
      <c r="AC11" s="119"/>
      <c r="AD11" s="119"/>
      <c r="AE11" s="119">
        <v>5</v>
      </c>
      <c r="AF11" s="119"/>
      <c r="AG11" s="119"/>
      <c r="AH11" s="119"/>
      <c r="AI11" s="120" t="s">
        <v>212</v>
      </c>
      <c r="AJ11" s="121"/>
      <c r="AM11" s="116" t="s">
        <v>210</v>
      </c>
      <c r="AN11" s="117"/>
    </row>
    <row r="12" spans="1:126" s="52" customFormat="1" outlineLevel="1">
      <c r="C12" s="51"/>
      <c r="D12" s="51"/>
      <c r="E12" s="51"/>
      <c r="I12" s="109"/>
      <c r="O12" s="118" t="e">
        <f>#REF!</f>
        <v>#REF!</v>
      </c>
      <c r="P12" s="118"/>
      <c r="Q12" s="118"/>
      <c r="R12" s="118"/>
      <c r="S12" s="125" t="e">
        <f>#REF!</f>
        <v>#REF!</v>
      </c>
      <c r="T12" s="126"/>
      <c r="U12" s="126"/>
      <c r="V12" s="127"/>
      <c r="W12" s="118" t="e">
        <f>#REF!</f>
        <v>#REF!</v>
      </c>
      <c r="X12" s="118"/>
      <c r="Y12" s="118"/>
      <c r="Z12" s="118"/>
      <c r="AA12" s="118" t="e">
        <f>#REF!</f>
        <v>#REF!</v>
      </c>
      <c r="AB12" s="118"/>
      <c r="AC12" s="118"/>
      <c r="AD12" s="118"/>
      <c r="AE12" s="118" t="e">
        <f>#REF!</f>
        <v>#REF!</v>
      </c>
      <c r="AF12" s="118"/>
      <c r="AG12" s="118"/>
      <c r="AH12" s="118"/>
      <c r="AI12" s="54">
        <f>SUM(AI15:AI1500)</f>
        <v>212</v>
      </c>
      <c r="AJ12" s="54" t="str">
        <f ca="1">IF($AJ$10&gt;0,IF($AJ$10&gt;=14,"D",IF($AJ$10&gt;=8,"N","E")),"NOT-YET")</f>
        <v>NOT-YET</v>
      </c>
      <c r="AK12" s="3"/>
      <c r="AL12" s="3"/>
      <c r="AM12" s="54">
        <f>SUM($AM$15:$AM$1500)</f>
        <v>284</v>
      </c>
      <c r="AN12" s="54" t="str">
        <f>IF(AM12&gt;0,IF($AN$14&gt;=14,"D",IF($AN$14&gt;=8,"N","E")),"NOT-YET")</f>
        <v>N</v>
      </c>
    </row>
    <row r="13" spans="1:126" s="3" customFormat="1" ht="51" customHeight="1">
      <c r="A13" s="4"/>
      <c r="B13" s="5" t="s">
        <v>16</v>
      </c>
      <c r="C13" s="6" t="s">
        <v>15</v>
      </c>
      <c r="D13" s="5" t="s">
        <v>14</v>
      </c>
      <c r="E13" s="6" t="s">
        <v>13</v>
      </c>
      <c r="F13" s="110" t="s">
        <v>172</v>
      </c>
      <c r="G13" s="122" t="s">
        <v>218</v>
      </c>
      <c r="H13" s="123"/>
      <c r="I13" s="6" t="s">
        <v>11</v>
      </c>
      <c r="J13" s="7" t="s">
        <v>12</v>
      </c>
      <c r="K13" s="7" t="s">
        <v>173</v>
      </c>
      <c r="L13" s="8" t="s">
        <v>10</v>
      </c>
      <c r="M13" s="124" t="s">
        <v>216</v>
      </c>
      <c r="N13" s="124"/>
      <c r="O13" s="6" t="s">
        <v>9</v>
      </c>
      <c r="P13" s="9" t="s">
        <v>4</v>
      </c>
      <c r="Q13" s="6" t="s">
        <v>8</v>
      </c>
      <c r="R13" s="6" t="s">
        <v>7</v>
      </c>
      <c r="S13" s="6" t="s">
        <v>9</v>
      </c>
      <c r="T13" s="9" t="s">
        <v>4</v>
      </c>
      <c r="U13" s="6" t="s">
        <v>8</v>
      </c>
      <c r="V13" s="6" t="s">
        <v>7</v>
      </c>
      <c r="W13" s="6" t="s">
        <v>9</v>
      </c>
      <c r="X13" s="9" t="s">
        <v>4</v>
      </c>
      <c r="Y13" s="6" t="s">
        <v>8</v>
      </c>
      <c r="Z13" s="6" t="s">
        <v>7</v>
      </c>
      <c r="AA13" s="6" t="s">
        <v>9</v>
      </c>
      <c r="AB13" s="9" t="s">
        <v>4</v>
      </c>
      <c r="AC13" s="6" t="s">
        <v>8</v>
      </c>
      <c r="AD13" s="6" t="s">
        <v>7</v>
      </c>
      <c r="AE13" s="6" t="s">
        <v>9</v>
      </c>
      <c r="AF13" s="9" t="s">
        <v>4</v>
      </c>
      <c r="AG13" s="6" t="s">
        <v>8</v>
      </c>
      <c r="AH13" s="6" t="s">
        <v>7</v>
      </c>
      <c r="AI13" s="6" t="s">
        <v>183</v>
      </c>
      <c r="AJ13" s="6" t="s">
        <v>17</v>
      </c>
      <c r="AM13" s="55" t="s">
        <v>183</v>
      </c>
      <c r="AN13" s="56" t="s">
        <v>17</v>
      </c>
      <c r="AO13" s="57"/>
      <c r="AP13" s="57"/>
      <c r="AQ13" s="57"/>
      <c r="AR13" s="57"/>
    </row>
    <row r="14" spans="1:126" s="3" customFormat="1" ht="30">
      <c r="A14" s="4"/>
      <c r="B14" s="5"/>
      <c r="C14" s="6"/>
      <c r="D14" s="5"/>
      <c r="E14" s="6"/>
      <c r="F14" s="110"/>
      <c r="G14" s="49" t="s">
        <v>219</v>
      </c>
      <c r="H14" s="50" t="s">
        <v>217</v>
      </c>
      <c r="I14" s="6"/>
      <c r="J14" s="7"/>
      <c r="K14" s="7"/>
      <c r="L14" s="8"/>
      <c r="M14" s="110" t="s">
        <v>9</v>
      </c>
      <c r="N14" s="110" t="s">
        <v>176</v>
      </c>
      <c r="O14" s="6"/>
      <c r="P14" s="9"/>
      <c r="Q14" s="6"/>
      <c r="R14" s="6"/>
      <c r="S14" s="6"/>
      <c r="T14" s="9"/>
      <c r="U14" s="6"/>
      <c r="V14" s="6"/>
      <c r="W14" s="6"/>
      <c r="X14" s="9"/>
      <c r="Y14" s="6"/>
      <c r="Z14" s="6"/>
      <c r="AA14" s="6"/>
      <c r="AB14" s="9"/>
      <c r="AC14" s="6"/>
      <c r="AD14" s="6"/>
      <c r="AE14" s="6"/>
      <c r="AF14" s="9"/>
      <c r="AG14" s="6"/>
      <c r="AH14" s="6"/>
      <c r="AI14" s="6"/>
      <c r="AJ14" s="6"/>
      <c r="AM14" s="58" t="s">
        <v>211</v>
      </c>
      <c r="AN14" s="59">
        <f>IFERROR($AM$12/COUNTIF($AM$15:$AM$1500, "&gt;0"),0)</f>
        <v>9.7931034482758612</v>
      </c>
      <c r="AO14" s="57"/>
      <c r="AP14" s="57"/>
      <c r="AQ14" s="57"/>
      <c r="AR14" s="57"/>
    </row>
    <row r="15" spans="1:126" ht="180">
      <c r="A15" s="10"/>
      <c r="B15" s="13"/>
      <c r="C15" s="1" t="s">
        <v>166</v>
      </c>
      <c r="D15" s="1"/>
      <c r="E15" s="1"/>
      <c r="F15" s="1"/>
      <c r="G15" s="1"/>
      <c r="H15" s="1"/>
      <c r="I15" s="1" t="s">
        <v>165</v>
      </c>
      <c r="J15" s="1"/>
      <c r="K15" s="1"/>
      <c r="L15" s="26"/>
      <c r="M15" s="1"/>
      <c r="N15" s="1"/>
      <c r="O15" s="26"/>
      <c r="P15" s="13"/>
      <c r="Q15" s="13"/>
      <c r="R15" s="26"/>
      <c r="S15" s="26"/>
      <c r="T15" s="14"/>
      <c r="U15" s="13"/>
      <c r="V15" s="13"/>
      <c r="W15" s="26"/>
      <c r="X15" s="14"/>
      <c r="Y15" s="13"/>
      <c r="Z15" s="26"/>
      <c r="AA15" s="26"/>
      <c r="AB15" s="14"/>
      <c r="AC15" s="13"/>
      <c r="AD15" s="26"/>
      <c r="AE15" s="26"/>
      <c r="AF15" s="14"/>
      <c r="AG15" s="13"/>
      <c r="AH15" s="26"/>
      <c r="AI15" s="13"/>
      <c r="AJ15" s="64" t="str">
        <f t="shared" ref="AJ15:AJ47" si="8">IF(AI15&gt;0, IF(AI15&gt;=14,"D",IF(AI15&gt;=8,"N","E")),"")</f>
        <v/>
      </c>
      <c r="AM15" s="111"/>
      <c r="AN15" s="61" t="str">
        <f>IF(AM15&gt;0, IF(AM15&gt;=14,"D",IF(AM15&gt;=8,"N","E")),"")</f>
        <v/>
      </c>
      <c r="AO15" s="62"/>
      <c r="AP15" s="62"/>
      <c r="AQ15" s="62"/>
      <c r="AR15" s="62"/>
    </row>
    <row r="16" spans="1:126" s="21" customFormat="1">
      <c r="A16" s="10"/>
      <c r="B16" s="38"/>
      <c r="C16" s="38" t="s">
        <v>164</v>
      </c>
      <c r="D16" s="38"/>
      <c r="E16" s="38"/>
      <c r="F16" s="38"/>
      <c r="G16" s="38"/>
      <c r="H16" s="38"/>
      <c r="I16" s="38"/>
      <c r="J16" s="38"/>
      <c r="K16" s="38"/>
      <c r="L16" s="39"/>
      <c r="M16" s="38"/>
      <c r="N16" s="38"/>
      <c r="O16" s="40"/>
      <c r="P16" s="38"/>
      <c r="Q16" s="38"/>
      <c r="R16" s="40"/>
      <c r="S16" s="38"/>
      <c r="T16" s="38"/>
      <c r="U16" s="38"/>
      <c r="V16" s="38"/>
      <c r="W16" s="40"/>
      <c r="X16" s="40"/>
      <c r="Y16" s="40"/>
      <c r="Z16" s="40"/>
      <c r="AA16" s="40"/>
      <c r="AB16" s="40"/>
      <c r="AC16" s="40"/>
      <c r="AD16" s="40"/>
      <c r="AE16" s="40"/>
      <c r="AF16" s="40"/>
      <c r="AG16" s="40"/>
      <c r="AH16" s="40"/>
      <c r="AI16" s="41"/>
      <c r="AJ16" s="64" t="str">
        <f t="shared" si="8"/>
        <v/>
      </c>
      <c r="AK16" s="12"/>
      <c r="AL16" s="12"/>
      <c r="AM16" s="111"/>
      <c r="AN16" s="61" t="str">
        <f>IF(AM16&gt;0, IF(AM16&gt;=14,"D",IF(AM16&gt;=8,"N","E")),"")</f>
        <v/>
      </c>
      <c r="AO16" s="62"/>
      <c r="AP16" s="62"/>
      <c r="AQ16" s="62"/>
      <c r="AR16" s="62"/>
      <c r="AS16" s="12"/>
      <c r="AT16" s="12"/>
      <c r="AU16" s="12"/>
      <c r="AV16" s="12"/>
      <c r="AW16" s="12"/>
      <c r="AX16" s="12"/>
      <c r="AY16" s="12"/>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row>
    <row r="17" spans="1:44" ht="312.75" customHeight="1">
      <c r="A17" s="10"/>
      <c r="B17" s="22" t="s">
        <v>163</v>
      </c>
      <c r="C17" s="1" t="s">
        <v>162</v>
      </c>
      <c r="D17" s="1" t="s">
        <v>161</v>
      </c>
      <c r="E17" s="1"/>
      <c r="F17" s="1"/>
      <c r="G17" s="1" t="s">
        <v>194</v>
      </c>
      <c r="H17" s="1" t="s">
        <v>193</v>
      </c>
      <c r="I17" s="2"/>
      <c r="J17" s="1"/>
      <c r="K17" s="1" t="s">
        <v>5</v>
      </c>
      <c r="L17" s="18"/>
      <c r="M17" s="1"/>
      <c r="N17" s="1"/>
      <c r="O17" s="26"/>
      <c r="P17" s="13"/>
      <c r="Q17" s="13"/>
      <c r="R17" s="26"/>
      <c r="S17" s="26"/>
      <c r="T17" s="13"/>
      <c r="U17" s="13"/>
      <c r="V17" s="13"/>
      <c r="W17" s="26"/>
      <c r="X17" s="13"/>
      <c r="Y17" s="13"/>
      <c r="Z17" s="26"/>
      <c r="AA17" s="26"/>
      <c r="AB17" s="13"/>
      <c r="AC17" s="13"/>
      <c r="AD17" s="26"/>
      <c r="AE17" s="26"/>
      <c r="AF17" s="13"/>
      <c r="AG17" s="13"/>
      <c r="AH17" s="26"/>
      <c r="AI17" s="13"/>
      <c r="AJ17" s="64" t="str">
        <f t="shared" si="8"/>
        <v/>
      </c>
      <c r="AM17" s="111"/>
      <c r="AN17" s="61" t="str">
        <f t="shared" ref="AN17:AN47" si="9">IF(AM17&gt;0, IF(AM17&gt;=14,"D",IF(AM17&gt;=8,"N","E")),"")</f>
        <v/>
      </c>
      <c r="AO17" s="62"/>
      <c r="AP17" s="62"/>
      <c r="AQ17" s="62"/>
      <c r="AR17" s="62"/>
    </row>
    <row r="18" spans="1:44" ht="30">
      <c r="A18" s="10"/>
      <c r="B18" s="22" t="s">
        <v>160</v>
      </c>
      <c r="C18" s="1" t="s">
        <v>159</v>
      </c>
      <c r="D18" s="1" t="s">
        <v>158</v>
      </c>
      <c r="E18" s="1" t="s">
        <v>74</v>
      </c>
      <c r="F18" s="1" t="s">
        <v>26</v>
      </c>
      <c r="G18" s="1" t="s">
        <v>194</v>
      </c>
      <c r="H18" s="1" t="s">
        <v>193</v>
      </c>
      <c r="I18" s="1"/>
      <c r="J18" s="1" t="s">
        <v>174</v>
      </c>
      <c r="K18" s="1" t="s">
        <v>175</v>
      </c>
      <c r="L18" s="18" t="s">
        <v>3</v>
      </c>
      <c r="M18" s="1" t="s">
        <v>0</v>
      </c>
      <c r="N18" s="1" t="s">
        <v>2</v>
      </c>
      <c r="O18" s="26" t="s">
        <v>0</v>
      </c>
      <c r="P18" s="14">
        <v>42772</v>
      </c>
      <c r="Q18" s="13" t="s">
        <v>220</v>
      </c>
      <c r="R18" s="26" t="s">
        <v>221</v>
      </c>
      <c r="S18" s="26" t="s">
        <v>0</v>
      </c>
      <c r="T18" s="14">
        <v>42794</v>
      </c>
      <c r="U18" s="13" t="s">
        <v>220</v>
      </c>
      <c r="V18" s="13"/>
      <c r="W18" s="26"/>
      <c r="X18" s="14"/>
      <c r="Y18" s="13"/>
      <c r="Z18" s="26"/>
      <c r="AA18" s="26"/>
      <c r="AB18" s="14"/>
      <c r="AC18" s="13"/>
      <c r="AD18" s="26"/>
      <c r="AE18" s="26"/>
      <c r="AF18" s="14"/>
      <c r="AG18" s="13"/>
      <c r="AH18" s="26"/>
      <c r="AI18" s="28">
        <v>7</v>
      </c>
      <c r="AJ18" s="64" t="str">
        <f t="shared" si="8"/>
        <v>E</v>
      </c>
      <c r="AM18" s="112">
        <v>9</v>
      </c>
      <c r="AN18" s="61" t="str">
        <f t="shared" si="9"/>
        <v>N</v>
      </c>
      <c r="AO18" s="62"/>
      <c r="AP18" s="62"/>
      <c r="AQ18" s="62"/>
      <c r="AR18" s="62"/>
    </row>
    <row r="19" spans="1:44" ht="30">
      <c r="A19" s="10"/>
      <c r="B19" s="22" t="s">
        <v>157</v>
      </c>
      <c r="C19" s="1" t="s">
        <v>156</v>
      </c>
      <c r="D19" s="1" t="s">
        <v>155</v>
      </c>
      <c r="E19" s="1" t="s">
        <v>74</v>
      </c>
      <c r="F19" s="1" t="s">
        <v>26</v>
      </c>
      <c r="G19" s="1" t="s">
        <v>194</v>
      </c>
      <c r="H19" s="1" t="s">
        <v>193</v>
      </c>
      <c r="I19" s="1"/>
      <c r="J19" s="1" t="s">
        <v>174</v>
      </c>
      <c r="K19" s="1" t="s">
        <v>175</v>
      </c>
      <c r="L19" s="18" t="s">
        <v>3</v>
      </c>
      <c r="M19" s="1" t="s">
        <v>0</v>
      </c>
      <c r="N19" s="1" t="s">
        <v>2</v>
      </c>
      <c r="O19" s="26" t="s">
        <v>0</v>
      </c>
      <c r="P19" s="14">
        <v>42772</v>
      </c>
      <c r="Q19" s="13" t="s">
        <v>220</v>
      </c>
      <c r="R19" s="26" t="s">
        <v>221</v>
      </c>
      <c r="S19" s="26" t="s">
        <v>0</v>
      </c>
      <c r="T19" s="14">
        <v>42794</v>
      </c>
      <c r="U19" s="13" t="s">
        <v>220</v>
      </c>
      <c r="V19" s="13"/>
      <c r="W19" s="26"/>
      <c r="X19" s="14"/>
      <c r="Y19" s="13"/>
      <c r="Z19" s="26"/>
      <c r="AA19" s="26"/>
      <c r="AB19" s="14"/>
      <c r="AC19" s="13"/>
      <c r="AD19" s="26"/>
      <c r="AE19" s="26"/>
      <c r="AF19" s="14"/>
      <c r="AG19" s="13"/>
      <c r="AH19" s="26"/>
      <c r="AI19" s="28">
        <v>7</v>
      </c>
      <c r="AJ19" s="64" t="str">
        <f t="shared" si="8"/>
        <v>E</v>
      </c>
      <c r="AM19" s="112">
        <v>15</v>
      </c>
      <c r="AN19" s="61" t="str">
        <f t="shared" si="9"/>
        <v>D</v>
      </c>
      <c r="AO19" s="62"/>
      <c r="AP19" s="62"/>
      <c r="AQ19" s="62"/>
      <c r="AR19" s="62"/>
    </row>
    <row r="20" spans="1:44" ht="30">
      <c r="A20" s="10"/>
      <c r="B20" s="22" t="s">
        <v>154</v>
      </c>
      <c r="C20" s="1" t="s">
        <v>153</v>
      </c>
      <c r="D20" s="1" t="s">
        <v>152</v>
      </c>
      <c r="E20" s="1" t="s">
        <v>74</v>
      </c>
      <c r="F20" s="1" t="s">
        <v>26</v>
      </c>
      <c r="G20" s="1" t="s">
        <v>194</v>
      </c>
      <c r="H20" s="1" t="s">
        <v>193</v>
      </c>
      <c r="I20" s="1"/>
      <c r="J20" s="1" t="s">
        <v>174</v>
      </c>
      <c r="K20" s="1" t="s">
        <v>175</v>
      </c>
      <c r="L20" s="18" t="s">
        <v>3</v>
      </c>
      <c r="M20" s="1" t="s">
        <v>0</v>
      </c>
      <c r="N20" s="1" t="s">
        <v>2</v>
      </c>
      <c r="O20" s="26" t="s">
        <v>0</v>
      </c>
      <c r="P20" s="14">
        <v>42772</v>
      </c>
      <c r="Q20" s="13" t="s">
        <v>220</v>
      </c>
      <c r="R20" s="26" t="s">
        <v>221</v>
      </c>
      <c r="S20" s="26" t="s">
        <v>0</v>
      </c>
      <c r="T20" s="14">
        <v>42794</v>
      </c>
      <c r="U20" s="13" t="s">
        <v>220</v>
      </c>
      <c r="V20" s="13"/>
      <c r="W20" s="26"/>
      <c r="X20" s="14"/>
      <c r="Y20" s="13"/>
      <c r="Z20" s="26"/>
      <c r="AA20" s="26"/>
      <c r="AB20" s="14"/>
      <c r="AC20" s="13"/>
      <c r="AD20" s="26"/>
      <c r="AE20" s="26"/>
      <c r="AF20" s="14"/>
      <c r="AG20" s="13"/>
      <c r="AH20" s="26"/>
      <c r="AI20" s="28">
        <v>7</v>
      </c>
      <c r="AJ20" s="64" t="str">
        <f t="shared" si="8"/>
        <v>E</v>
      </c>
      <c r="AK20" s="31"/>
      <c r="AM20" s="112">
        <v>15</v>
      </c>
      <c r="AN20" s="61" t="str">
        <f t="shared" si="9"/>
        <v>D</v>
      </c>
      <c r="AO20" s="62"/>
      <c r="AP20" s="62"/>
      <c r="AQ20" s="62"/>
      <c r="AR20" s="62"/>
    </row>
    <row r="21" spans="1:44" ht="30">
      <c r="A21" s="10"/>
      <c r="B21" s="22" t="s">
        <v>151</v>
      </c>
      <c r="C21" s="1" t="s">
        <v>150</v>
      </c>
      <c r="D21" s="1" t="s">
        <v>149</v>
      </c>
      <c r="E21" s="1" t="s">
        <v>74</v>
      </c>
      <c r="F21" s="1" t="s">
        <v>26</v>
      </c>
      <c r="G21" s="1" t="s">
        <v>194</v>
      </c>
      <c r="H21" s="1" t="s">
        <v>193</v>
      </c>
      <c r="I21" s="1"/>
      <c r="J21" s="1" t="s">
        <v>174</v>
      </c>
      <c r="K21" s="1" t="s">
        <v>175</v>
      </c>
      <c r="L21" s="18" t="s">
        <v>3</v>
      </c>
      <c r="M21" s="1" t="s">
        <v>0</v>
      </c>
      <c r="N21" s="1" t="s">
        <v>2</v>
      </c>
      <c r="O21" s="26" t="s">
        <v>0</v>
      </c>
      <c r="P21" s="14">
        <v>42772</v>
      </c>
      <c r="Q21" s="13" t="s">
        <v>220</v>
      </c>
      <c r="R21" s="26" t="s">
        <v>221</v>
      </c>
      <c r="S21" s="26" t="s">
        <v>0</v>
      </c>
      <c r="T21" s="14">
        <v>42794</v>
      </c>
      <c r="U21" s="13" t="s">
        <v>220</v>
      </c>
      <c r="V21" s="13"/>
      <c r="W21" s="26"/>
      <c r="X21" s="14"/>
      <c r="Y21" s="13"/>
      <c r="Z21" s="26"/>
      <c r="AA21" s="26"/>
      <c r="AB21" s="14"/>
      <c r="AC21" s="13"/>
      <c r="AD21" s="26"/>
      <c r="AE21" s="26"/>
      <c r="AF21" s="14"/>
      <c r="AG21" s="13"/>
      <c r="AH21" s="26"/>
      <c r="AI21" s="28">
        <v>7</v>
      </c>
      <c r="AJ21" s="64" t="str">
        <f t="shared" si="8"/>
        <v>E</v>
      </c>
      <c r="AM21" s="112">
        <v>11</v>
      </c>
      <c r="AN21" s="61" t="str">
        <f t="shared" si="9"/>
        <v>N</v>
      </c>
      <c r="AO21" s="62"/>
      <c r="AP21" s="62"/>
      <c r="AQ21" s="62"/>
      <c r="AR21" s="62"/>
    </row>
    <row r="22" spans="1:44" ht="30">
      <c r="A22" s="10"/>
      <c r="B22" s="22" t="s">
        <v>148</v>
      </c>
      <c r="C22" s="1" t="s">
        <v>147</v>
      </c>
      <c r="D22" s="1" t="s">
        <v>146</v>
      </c>
      <c r="E22" s="1" t="s">
        <v>74</v>
      </c>
      <c r="F22" s="1" t="s">
        <v>26</v>
      </c>
      <c r="G22" s="1" t="s">
        <v>194</v>
      </c>
      <c r="H22" s="1" t="s">
        <v>193</v>
      </c>
      <c r="I22" s="1"/>
      <c r="J22" s="1" t="s">
        <v>174</v>
      </c>
      <c r="K22" s="1" t="s">
        <v>175</v>
      </c>
      <c r="L22" s="18" t="s">
        <v>3</v>
      </c>
      <c r="M22" s="1" t="s">
        <v>0</v>
      </c>
      <c r="N22" s="1" t="s">
        <v>2</v>
      </c>
      <c r="O22" s="26" t="s">
        <v>0</v>
      </c>
      <c r="P22" s="14">
        <v>42772</v>
      </c>
      <c r="Q22" s="13" t="s">
        <v>220</v>
      </c>
      <c r="R22" s="26" t="s">
        <v>221</v>
      </c>
      <c r="S22" s="26" t="s">
        <v>0</v>
      </c>
      <c r="T22" s="14">
        <v>42794</v>
      </c>
      <c r="U22" s="13" t="s">
        <v>220</v>
      </c>
      <c r="V22" s="13"/>
      <c r="W22" s="26"/>
      <c r="X22" s="14"/>
      <c r="Y22" s="13"/>
      <c r="Z22" s="26"/>
      <c r="AA22" s="26"/>
      <c r="AB22" s="14"/>
      <c r="AC22" s="13"/>
      <c r="AD22" s="26"/>
      <c r="AE22" s="26"/>
      <c r="AF22" s="14"/>
      <c r="AG22" s="13"/>
      <c r="AH22" s="26"/>
      <c r="AI22" s="28">
        <v>7</v>
      </c>
      <c r="AJ22" s="64" t="str">
        <f t="shared" si="8"/>
        <v>E</v>
      </c>
      <c r="AM22" s="112">
        <v>9</v>
      </c>
      <c r="AN22" s="61" t="str">
        <f t="shared" si="9"/>
        <v>N</v>
      </c>
      <c r="AO22" s="62"/>
      <c r="AP22" s="62"/>
      <c r="AQ22" s="62"/>
      <c r="AR22" s="62"/>
    </row>
    <row r="23" spans="1:44" ht="30">
      <c r="A23" s="10"/>
      <c r="B23" s="22" t="s">
        <v>145</v>
      </c>
      <c r="C23" s="1" t="s">
        <v>144</v>
      </c>
      <c r="D23" s="1" t="s">
        <v>143</v>
      </c>
      <c r="E23" s="1" t="s">
        <v>74</v>
      </c>
      <c r="F23" s="1" t="s">
        <v>26</v>
      </c>
      <c r="G23" s="1" t="s">
        <v>194</v>
      </c>
      <c r="H23" s="1" t="s">
        <v>193</v>
      </c>
      <c r="I23" s="1"/>
      <c r="J23" s="1" t="s">
        <v>174</v>
      </c>
      <c r="K23" s="1" t="s">
        <v>175</v>
      </c>
      <c r="L23" s="18" t="s">
        <v>3</v>
      </c>
      <c r="M23" s="1" t="s">
        <v>0</v>
      </c>
      <c r="N23" s="1" t="s">
        <v>2</v>
      </c>
      <c r="O23" s="26" t="s">
        <v>0</v>
      </c>
      <c r="P23" s="14">
        <v>42772</v>
      </c>
      <c r="Q23" s="13" t="s">
        <v>220</v>
      </c>
      <c r="R23" s="26" t="s">
        <v>221</v>
      </c>
      <c r="S23" s="26" t="s">
        <v>0</v>
      </c>
      <c r="T23" s="14">
        <v>42794</v>
      </c>
      <c r="U23" s="13" t="s">
        <v>220</v>
      </c>
      <c r="V23" s="13"/>
      <c r="W23" s="26"/>
      <c r="X23" s="14"/>
      <c r="Y23" s="13"/>
      <c r="Z23" s="26"/>
      <c r="AA23" s="26"/>
      <c r="AB23" s="14"/>
      <c r="AC23" s="13"/>
      <c r="AD23" s="26"/>
      <c r="AE23" s="26"/>
      <c r="AF23" s="14"/>
      <c r="AG23" s="13"/>
      <c r="AH23" s="26"/>
      <c r="AI23" s="28">
        <v>7</v>
      </c>
      <c r="AJ23" s="64" t="str">
        <f t="shared" si="8"/>
        <v>E</v>
      </c>
      <c r="AM23" s="112">
        <v>6</v>
      </c>
      <c r="AN23" s="61" t="str">
        <f t="shared" si="9"/>
        <v>E</v>
      </c>
      <c r="AO23" s="62"/>
      <c r="AP23" s="62"/>
      <c r="AQ23" s="62"/>
      <c r="AR23" s="62"/>
    </row>
    <row r="24" spans="1:44" ht="165">
      <c r="A24" s="10"/>
      <c r="B24" s="26" t="s">
        <v>142</v>
      </c>
      <c r="C24" s="1" t="s">
        <v>141</v>
      </c>
      <c r="D24" s="1" t="s">
        <v>167</v>
      </c>
      <c r="E24" s="1" t="s">
        <v>74</v>
      </c>
      <c r="F24" s="1" t="s">
        <v>26</v>
      </c>
      <c r="G24" s="1" t="s">
        <v>194</v>
      </c>
      <c r="H24" s="1" t="s">
        <v>193</v>
      </c>
      <c r="I24" s="1"/>
      <c r="J24" s="1" t="s">
        <v>174</v>
      </c>
      <c r="K24" s="1" t="s">
        <v>175</v>
      </c>
      <c r="L24" s="18" t="s">
        <v>3</v>
      </c>
      <c r="M24" s="1" t="s">
        <v>0</v>
      </c>
      <c r="N24" s="1" t="s">
        <v>2</v>
      </c>
      <c r="O24" s="26" t="s">
        <v>0</v>
      </c>
      <c r="P24" s="14">
        <v>42772</v>
      </c>
      <c r="Q24" s="13" t="s">
        <v>220</v>
      </c>
      <c r="R24" s="26" t="s">
        <v>221</v>
      </c>
      <c r="S24" s="26" t="s">
        <v>0</v>
      </c>
      <c r="T24" s="14">
        <v>42794</v>
      </c>
      <c r="U24" s="13" t="s">
        <v>220</v>
      </c>
      <c r="V24" s="13"/>
      <c r="W24" s="26"/>
      <c r="X24" s="14"/>
      <c r="Y24" s="13"/>
      <c r="Z24" s="26"/>
      <c r="AA24" s="26"/>
      <c r="AB24" s="14"/>
      <c r="AC24" s="13"/>
      <c r="AD24" s="26"/>
      <c r="AE24" s="26"/>
      <c r="AF24" s="14"/>
      <c r="AG24" s="13"/>
      <c r="AH24" s="26"/>
      <c r="AI24" s="28">
        <v>10</v>
      </c>
      <c r="AJ24" s="64" t="str">
        <f t="shared" si="8"/>
        <v>N</v>
      </c>
      <c r="AM24" s="112">
        <v>13</v>
      </c>
      <c r="AN24" s="61" t="str">
        <f t="shared" si="9"/>
        <v>N</v>
      </c>
      <c r="AO24" s="62"/>
      <c r="AP24" s="62"/>
      <c r="AQ24" s="62"/>
      <c r="AR24" s="62"/>
    </row>
    <row r="25" spans="1:44" ht="165">
      <c r="A25" s="10"/>
      <c r="B25" s="22" t="s">
        <v>140</v>
      </c>
      <c r="C25" s="1" t="s">
        <v>139</v>
      </c>
      <c r="D25" s="1" t="s">
        <v>168</v>
      </c>
      <c r="E25" s="1" t="s">
        <v>74</v>
      </c>
      <c r="F25" s="1" t="s">
        <v>26</v>
      </c>
      <c r="G25" s="1" t="s">
        <v>194</v>
      </c>
      <c r="H25" s="1" t="s">
        <v>193</v>
      </c>
      <c r="I25" s="1"/>
      <c r="J25" s="1" t="s">
        <v>174</v>
      </c>
      <c r="K25" s="1" t="s">
        <v>175</v>
      </c>
      <c r="L25" s="18" t="s">
        <v>3</v>
      </c>
      <c r="M25" s="1" t="s">
        <v>0</v>
      </c>
      <c r="N25" s="1" t="s">
        <v>2</v>
      </c>
      <c r="O25" s="26" t="s">
        <v>0</v>
      </c>
      <c r="P25" s="14">
        <v>42772</v>
      </c>
      <c r="Q25" s="13" t="s">
        <v>220</v>
      </c>
      <c r="R25" s="26" t="s">
        <v>221</v>
      </c>
      <c r="S25" s="26" t="s">
        <v>0</v>
      </c>
      <c r="T25" s="14">
        <v>42794</v>
      </c>
      <c r="U25" s="13" t="s">
        <v>220</v>
      </c>
      <c r="V25" s="13"/>
      <c r="W25" s="26"/>
      <c r="X25" s="14"/>
      <c r="Y25" s="13"/>
      <c r="Z25" s="26"/>
      <c r="AA25" s="26"/>
      <c r="AB25" s="14"/>
      <c r="AC25" s="13"/>
      <c r="AD25" s="26"/>
      <c r="AE25" s="26"/>
      <c r="AF25" s="14"/>
      <c r="AG25" s="13"/>
      <c r="AH25" s="26"/>
      <c r="AI25" s="28">
        <v>10</v>
      </c>
      <c r="AJ25" s="64" t="str">
        <f t="shared" si="8"/>
        <v>N</v>
      </c>
      <c r="AM25" s="112">
        <v>12</v>
      </c>
      <c r="AN25" s="61" t="str">
        <f t="shared" si="9"/>
        <v>N</v>
      </c>
      <c r="AO25" s="62"/>
      <c r="AP25" s="62"/>
      <c r="AQ25" s="62"/>
      <c r="AR25" s="62"/>
    </row>
    <row r="26" spans="1:44" ht="165">
      <c r="A26" s="10"/>
      <c r="B26" s="22" t="s">
        <v>138</v>
      </c>
      <c r="C26" s="1" t="s">
        <v>137</v>
      </c>
      <c r="D26" s="1" t="s">
        <v>169</v>
      </c>
      <c r="E26" s="1" t="s">
        <v>74</v>
      </c>
      <c r="F26" s="1" t="s">
        <v>26</v>
      </c>
      <c r="G26" s="1" t="s">
        <v>194</v>
      </c>
      <c r="H26" s="1" t="s">
        <v>193</v>
      </c>
      <c r="I26" s="1"/>
      <c r="J26" s="1" t="s">
        <v>174</v>
      </c>
      <c r="K26" s="1" t="s">
        <v>175</v>
      </c>
      <c r="L26" s="18" t="s">
        <v>3</v>
      </c>
      <c r="M26" s="1" t="s">
        <v>0</v>
      </c>
      <c r="N26" s="1" t="s">
        <v>2</v>
      </c>
      <c r="O26" s="26" t="s">
        <v>0</v>
      </c>
      <c r="P26" s="14">
        <v>42772</v>
      </c>
      <c r="Q26" s="13" t="s">
        <v>220</v>
      </c>
      <c r="R26" s="26" t="s">
        <v>221</v>
      </c>
      <c r="S26" s="26" t="s">
        <v>0</v>
      </c>
      <c r="T26" s="14">
        <v>42794</v>
      </c>
      <c r="U26" s="13" t="s">
        <v>220</v>
      </c>
      <c r="V26" s="13"/>
      <c r="W26" s="26"/>
      <c r="X26" s="14"/>
      <c r="Y26" s="13"/>
      <c r="Z26" s="26"/>
      <c r="AA26" s="26"/>
      <c r="AB26" s="14"/>
      <c r="AC26" s="13"/>
      <c r="AD26" s="26"/>
      <c r="AE26" s="26"/>
      <c r="AF26" s="14"/>
      <c r="AG26" s="13"/>
      <c r="AH26" s="26"/>
      <c r="AI26" s="28">
        <v>10</v>
      </c>
      <c r="AJ26" s="64" t="str">
        <f t="shared" si="8"/>
        <v>N</v>
      </c>
      <c r="AM26" s="112">
        <v>30</v>
      </c>
      <c r="AN26" s="61" t="str">
        <f t="shared" si="9"/>
        <v>D</v>
      </c>
      <c r="AO26" s="62"/>
      <c r="AP26" s="62"/>
      <c r="AQ26" s="62"/>
      <c r="AR26" s="62"/>
    </row>
    <row r="27" spans="1:44" ht="30">
      <c r="A27" s="10"/>
      <c r="B27" s="22" t="s">
        <v>136</v>
      </c>
      <c r="C27" s="1" t="s">
        <v>135</v>
      </c>
      <c r="D27" s="1" t="s">
        <v>134</v>
      </c>
      <c r="E27" s="1" t="s">
        <v>74</v>
      </c>
      <c r="F27" s="1" t="s">
        <v>26</v>
      </c>
      <c r="G27" s="1" t="s">
        <v>194</v>
      </c>
      <c r="H27" s="1" t="s">
        <v>193</v>
      </c>
      <c r="I27" s="1"/>
      <c r="J27" s="1" t="s">
        <v>174</v>
      </c>
      <c r="K27" s="1" t="s">
        <v>175</v>
      </c>
      <c r="L27" s="18" t="s">
        <v>3</v>
      </c>
      <c r="M27" s="1" t="s">
        <v>0</v>
      </c>
      <c r="N27" s="1" t="s">
        <v>2</v>
      </c>
      <c r="O27" s="26" t="s">
        <v>0</v>
      </c>
      <c r="P27" s="14">
        <v>42772</v>
      </c>
      <c r="Q27" s="13" t="s">
        <v>220</v>
      </c>
      <c r="R27" s="26" t="s">
        <v>221</v>
      </c>
      <c r="S27" s="26" t="s">
        <v>0</v>
      </c>
      <c r="T27" s="14">
        <v>42794</v>
      </c>
      <c r="U27" s="13" t="s">
        <v>220</v>
      </c>
      <c r="V27" s="13"/>
      <c r="W27" s="26"/>
      <c r="X27" s="14"/>
      <c r="Y27" s="13"/>
      <c r="Z27" s="26"/>
      <c r="AA27" s="26"/>
      <c r="AB27" s="14"/>
      <c r="AC27" s="13"/>
      <c r="AD27" s="26"/>
      <c r="AE27" s="26"/>
      <c r="AF27" s="14"/>
      <c r="AG27" s="13"/>
      <c r="AH27" s="26"/>
      <c r="AI27" s="28">
        <v>7</v>
      </c>
      <c r="AJ27" s="64" t="str">
        <f t="shared" si="8"/>
        <v>E</v>
      </c>
      <c r="AM27" s="112">
        <v>10</v>
      </c>
      <c r="AN27" s="61" t="str">
        <f t="shared" si="9"/>
        <v>N</v>
      </c>
      <c r="AO27" s="62"/>
      <c r="AP27" s="62"/>
      <c r="AQ27" s="62"/>
      <c r="AR27" s="62"/>
    </row>
    <row r="28" spans="1:44" ht="30">
      <c r="A28" s="10"/>
      <c r="B28" s="22" t="s">
        <v>133</v>
      </c>
      <c r="C28" s="1" t="s">
        <v>132</v>
      </c>
      <c r="D28" s="1" t="s">
        <v>131</v>
      </c>
      <c r="E28" s="1" t="s">
        <v>74</v>
      </c>
      <c r="F28" s="1" t="s">
        <v>26</v>
      </c>
      <c r="G28" s="1" t="s">
        <v>194</v>
      </c>
      <c r="H28" s="1" t="s">
        <v>193</v>
      </c>
      <c r="I28" s="1"/>
      <c r="J28" s="1" t="s">
        <v>174</v>
      </c>
      <c r="K28" s="1" t="s">
        <v>175</v>
      </c>
      <c r="L28" s="18" t="s">
        <v>3</v>
      </c>
      <c r="M28" s="1" t="s">
        <v>0</v>
      </c>
      <c r="N28" s="1" t="s">
        <v>2</v>
      </c>
      <c r="O28" s="26" t="s">
        <v>0</v>
      </c>
      <c r="P28" s="14">
        <v>42772</v>
      </c>
      <c r="Q28" s="13" t="s">
        <v>220</v>
      </c>
      <c r="R28" s="26" t="s">
        <v>221</v>
      </c>
      <c r="S28" s="26" t="s">
        <v>0</v>
      </c>
      <c r="T28" s="14">
        <v>42794</v>
      </c>
      <c r="U28" s="13" t="s">
        <v>220</v>
      </c>
      <c r="V28" s="13"/>
      <c r="W28" s="26"/>
      <c r="X28" s="14"/>
      <c r="Y28" s="13"/>
      <c r="Z28" s="26"/>
      <c r="AA28" s="26"/>
      <c r="AB28" s="14"/>
      <c r="AC28" s="13"/>
      <c r="AD28" s="26"/>
      <c r="AE28" s="26"/>
      <c r="AF28" s="14"/>
      <c r="AG28" s="13"/>
      <c r="AH28" s="26"/>
      <c r="AI28" s="28">
        <v>7</v>
      </c>
      <c r="AJ28" s="64" t="str">
        <f t="shared" si="8"/>
        <v>E</v>
      </c>
      <c r="AM28" s="112">
        <v>10</v>
      </c>
      <c r="AN28" s="61" t="str">
        <f t="shared" si="9"/>
        <v>N</v>
      </c>
      <c r="AO28" s="62"/>
      <c r="AP28" s="62"/>
      <c r="AQ28" s="62"/>
      <c r="AR28" s="62"/>
    </row>
    <row r="29" spans="1:44" ht="30">
      <c r="A29" s="10"/>
      <c r="B29" s="22" t="s">
        <v>130</v>
      </c>
      <c r="C29" s="1" t="s">
        <v>129</v>
      </c>
      <c r="D29" s="1" t="s">
        <v>128</v>
      </c>
      <c r="E29" s="1" t="s">
        <v>74</v>
      </c>
      <c r="F29" s="1" t="s">
        <v>26</v>
      </c>
      <c r="G29" s="1" t="s">
        <v>194</v>
      </c>
      <c r="H29" s="1" t="s">
        <v>193</v>
      </c>
      <c r="I29" s="1"/>
      <c r="J29" s="1" t="s">
        <v>174</v>
      </c>
      <c r="K29" s="1" t="s">
        <v>175</v>
      </c>
      <c r="L29" s="18" t="s">
        <v>3</v>
      </c>
      <c r="M29" s="1" t="s">
        <v>0</v>
      </c>
      <c r="N29" s="1" t="s">
        <v>2</v>
      </c>
      <c r="O29" s="26" t="s">
        <v>0</v>
      </c>
      <c r="P29" s="14">
        <v>42772</v>
      </c>
      <c r="Q29" s="13" t="s">
        <v>220</v>
      </c>
      <c r="R29" s="26" t="s">
        <v>221</v>
      </c>
      <c r="S29" s="26" t="s">
        <v>0</v>
      </c>
      <c r="T29" s="14">
        <v>42794</v>
      </c>
      <c r="U29" s="13" t="s">
        <v>220</v>
      </c>
      <c r="V29" s="13"/>
      <c r="W29" s="26"/>
      <c r="X29" s="14"/>
      <c r="Y29" s="13"/>
      <c r="Z29" s="26"/>
      <c r="AA29" s="26"/>
      <c r="AB29" s="14"/>
      <c r="AC29" s="13"/>
      <c r="AD29" s="26"/>
      <c r="AE29" s="26"/>
      <c r="AF29" s="14"/>
      <c r="AG29" s="13"/>
      <c r="AH29" s="26"/>
      <c r="AI29" s="28">
        <v>7</v>
      </c>
      <c r="AJ29" s="64" t="str">
        <f t="shared" si="8"/>
        <v>E</v>
      </c>
      <c r="AM29" s="112">
        <v>9</v>
      </c>
      <c r="AN29" s="61" t="str">
        <f t="shared" si="9"/>
        <v>N</v>
      </c>
    </row>
    <row r="30" spans="1:44" ht="30">
      <c r="A30" s="10"/>
      <c r="B30" s="22" t="s">
        <v>127</v>
      </c>
      <c r="C30" s="1" t="s">
        <v>126</v>
      </c>
      <c r="D30" s="1" t="s">
        <v>125</v>
      </c>
      <c r="E30" s="1" t="s">
        <v>74</v>
      </c>
      <c r="F30" s="1" t="s">
        <v>26</v>
      </c>
      <c r="G30" s="1" t="s">
        <v>194</v>
      </c>
      <c r="H30" s="1" t="s">
        <v>193</v>
      </c>
      <c r="I30" s="1"/>
      <c r="J30" s="1" t="s">
        <v>174</v>
      </c>
      <c r="K30" s="1" t="s">
        <v>175</v>
      </c>
      <c r="L30" s="18" t="s">
        <v>3</v>
      </c>
      <c r="M30" s="1" t="s">
        <v>0</v>
      </c>
      <c r="N30" s="1" t="s">
        <v>2</v>
      </c>
      <c r="O30" s="26" t="s">
        <v>0</v>
      </c>
      <c r="P30" s="14">
        <v>42772</v>
      </c>
      <c r="Q30" s="13" t="s">
        <v>220</v>
      </c>
      <c r="R30" s="26" t="s">
        <v>221</v>
      </c>
      <c r="S30" s="26" t="s">
        <v>0</v>
      </c>
      <c r="T30" s="14">
        <v>42794</v>
      </c>
      <c r="U30" s="13" t="s">
        <v>220</v>
      </c>
      <c r="V30" s="13"/>
      <c r="W30" s="26"/>
      <c r="X30" s="14"/>
      <c r="Y30" s="13"/>
      <c r="Z30" s="26"/>
      <c r="AA30" s="26"/>
      <c r="AB30" s="14"/>
      <c r="AC30" s="13"/>
      <c r="AD30" s="26"/>
      <c r="AE30" s="26"/>
      <c r="AF30" s="14"/>
      <c r="AG30" s="13"/>
      <c r="AH30" s="26"/>
      <c r="AI30" s="28">
        <v>7</v>
      </c>
      <c r="AJ30" s="64" t="str">
        <f t="shared" si="8"/>
        <v>E</v>
      </c>
      <c r="AM30" s="112">
        <v>12</v>
      </c>
      <c r="AN30" s="61" t="str">
        <f t="shared" si="9"/>
        <v>N</v>
      </c>
    </row>
    <row r="31" spans="1:44" ht="30">
      <c r="A31" s="10"/>
      <c r="B31" s="22" t="s">
        <v>124</v>
      </c>
      <c r="C31" s="1" t="s">
        <v>123</v>
      </c>
      <c r="D31" s="1" t="s">
        <v>122</v>
      </c>
      <c r="E31" s="1" t="s">
        <v>74</v>
      </c>
      <c r="F31" s="1" t="s">
        <v>26</v>
      </c>
      <c r="G31" s="1" t="s">
        <v>194</v>
      </c>
      <c r="H31" s="1" t="s">
        <v>193</v>
      </c>
      <c r="I31" s="1"/>
      <c r="J31" s="1" t="s">
        <v>174</v>
      </c>
      <c r="K31" s="1" t="s">
        <v>175</v>
      </c>
      <c r="L31" s="18" t="s">
        <v>3</v>
      </c>
      <c r="M31" s="1" t="s">
        <v>0</v>
      </c>
      <c r="N31" s="1" t="s">
        <v>2</v>
      </c>
      <c r="O31" s="26" t="s">
        <v>0</v>
      </c>
      <c r="P31" s="14">
        <v>42772</v>
      </c>
      <c r="Q31" s="13" t="s">
        <v>220</v>
      </c>
      <c r="R31" s="26" t="s">
        <v>221</v>
      </c>
      <c r="S31" s="26" t="s">
        <v>0</v>
      </c>
      <c r="T31" s="14">
        <v>42794</v>
      </c>
      <c r="U31" s="13" t="s">
        <v>220</v>
      </c>
      <c r="V31" s="13"/>
      <c r="W31" s="26"/>
      <c r="X31" s="14"/>
      <c r="Y31" s="13"/>
      <c r="Z31" s="26"/>
      <c r="AA31" s="26"/>
      <c r="AB31" s="14"/>
      <c r="AC31" s="13"/>
      <c r="AD31" s="26"/>
      <c r="AE31" s="26"/>
      <c r="AF31" s="14"/>
      <c r="AG31" s="13"/>
      <c r="AH31" s="26"/>
      <c r="AI31" s="28">
        <v>7</v>
      </c>
      <c r="AJ31" s="64" t="str">
        <f t="shared" si="8"/>
        <v>E</v>
      </c>
      <c r="AM31" s="112">
        <v>8</v>
      </c>
      <c r="AN31" s="61" t="str">
        <f t="shared" si="9"/>
        <v>N</v>
      </c>
    </row>
    <row r="32" spans="1:44" ht="120">
      <c r="A32" s="10"/>
      <c r="B32" s="22" t="s">
        <v>121</v>
      </c>
      <c r="C32" s="1" t="s">
        <v>120</v>
      </c>
      <c r="D32" s="1" t="s">
        <v>170</v>
      </c>
      <c r="E32" s="1" t="s">
        <v>74</v>
      </c>
      <c r="F32" s="1" t="s">
        <v>26</v>
      </c>
      <c r="G32" s="1" t="s">
        <v>194</v>
      </c>
      <c r="H32" s="1" t="s">
        <v>193</v>
      </c>
      <c r="I32" s="1"/>
      <c r="J32" s="1" t="s">
        <v>174</v>
      </c>
      <c r="K32" s="1" t="s">
        <v>175</v>
      </c>
      <c r="L32" s="18" t="s">
        <v>3</v>
      </c>
      <c r="M32" s="1" t="s">
        <v>0</v>
      </c>
      <c r="N32" s="1" t="s">
        <v>2</v>
      </c>
      <c r="O32" s="26" t="s">
        <v>0</v>
      </c>
      <c r="P32" s="14">
        <v>42772</v>
      </c>
      <c r="Q32" s="13" t="s">
        <v>220</v>
      </c>
      <c r="R32" s="26" t="s">
        <v>221</v>
      </c>
      <c r="S32" s="26" t="s">
        <v>0</v>
      </c>
      <c r="T32" s="14">
        <v>42794</v>
      </c>
      <c r="U32" s="13" t="s">
        <v>220</v>
      </c>
      <c r="V32" s="13"/>
      <c r="W32" s="26"/>
      <c r="X32" s="14"/>
      <c r="Y32" s="13"/>
      <c r="Z32" s="26"/>
      <c r="AA32" s="26"/>
      <c r="AB32" s="14"/>
      <c r="AC32" s="13"/>
      <c r="AD32" s="26"/>
      <c r="AE32" s="26"/>
      <c r="AF32" s="14"/>
      <c r="AG32" s="13"/>
      <c r="AH32" s="26"/>
      <c r="AI32" s="28">
        <v>10</v>
      </c>
      <c r="AJ32" s="64" t="str">
        <f t="shared" si="8"/>
        <v>N</v>
      </c>
      <c r="AM32" s="112">
        <v>15</v>
      </c>
      <c r="AN32" s="61" t="str">
        <f t="shared" si="9"/>
        <v>D</v>
      </c>
    </row>
    <row r="33" spans="1:126" ht="30">
      <c r="A33" s="10"/>
      <c r="B33" s="22" t="s">
        <v>119</v>
      </c>
      <c r="C33" s="1" t="s">
        <v>118</v>
      </c>
      <c r="D33" s="1" t="s">
        <v>117</v>
      </c>
      <c r="E33" s="1" t="s">
        <v>74</v>
      </c>
      <c r="F33" s="1" t="s">
        <v>26</v>
      </c>
      <c r="G33" s="1" t="s">
        <v>194</v>
      </c>
      <c r="H33" s="1" t="s">
        <v>193</v>
      </c>
      <c r="I33" s="1"/>
      <c r="J33" s="1" t="s">
        <v>174</v>
      </c>
      <c r="K33" s="1" t="s">
        <v>175</v>
      </c>
      <c r="L33" s="18" t="s">
        <v>3</v>
      </c>
      <c r="M33" s="1" t="s">
        <v>0</v>
      </c>
      <c r="N33" s="1" t="s">
        <v>2</v>
      </c>
      <c r="O33" s="26" t="s">
        <v>0</v>
      </c>
      <c r="P33" s="14">
        <v>42772</v>
      </c>
      <c r="Q33" s="13" t="s">
        <v>220</v>
      </c>
      <c r="R33" s="26" t="s">
        <v>221</v>
      </c>
      <c r="S33" s="26" t="s">
        <v>0</v>
      </c>
      <c r="T33" s="14">
        <v>42794</v>
      </c>
      <c r="U33" s="13" t="s">
        <v>220</v>
      </c>
      <c r="V33" s="13"/>
      <c r="W33" s="26"/>
      <c r="X33" s="14"/>
      <c r="Y33" s="13"/>
      <c r="Z33" s="26"/>
      <c r="AA33" s="26"/>
      <c r="AB33" s="14"/>
      <c r="AC33" s="13"/>
      <c r="AD33" s="26"/>
      <c r="AE33" s="26"/>
      <c r="AF33" s="14"/>
      <c r="AG33" s="13"/>
      <c r="AH33" s="26"/>
      <c r="AI33" s="28">
        <v>10</v>
      </c>
      <c r="AJ33" s="64" t="str">
        <f t="shared" si="8"/>
        <v>N</v>
      </c>
      <c r="AM33" s="112">
        <v>10</v>
      </c>
      <c r="AN33" s="61" t="str">
        <f t="shared" si="9"/>
        <v>N</v>
      </c>
    </row>
    <row r="34" spans="1:126" ht="30">
      <c r="A34" s="10"/>
      <c r="B34" s="22" t="s">
        <v>116</v>
      </c>
      <c r="C34" s="1" t="s">
        <v>115</v>
      </c>
      <c r="D34" s="1" t="s">
        <v>114</v>
      </c>
      <c r="E34" s="1" t="s">
        <v>74</v>
      </c>
      <c r="F34" s="1" t="s">
        <v>26</v>
      </c>
      <c r="G34" s="1" t="s">
        <v>194</v>
      </c>
      <c r="H34" s="1" t="s">
        <v>193</v>
      </c>
      <c r="I34" s="1"/>
      <c r="J34" s="1" t="s">
        <v>174</v>
      </c>
      <c r="K34" s="1" t="s">
        <v>175</v>
      </c>
      <c r="L34" s="18" t="s">
        <v>3</v>
      </c>
      <c r="M34" s="1" t="s">
        <v>0</v>
      </c>
      <c r="N34" s="1" t="s">
        <v>2</v>
      </c>
      <c r="O34" s="26" t="s">
        <v>0</v>
      </c>
      <c r="P34" s="14">
        <v>42772</v>
      </c>
      <c r="Q34" s="13" t="s">
        <v>220</v>
      </c>
      <c r="R34" s="26" t="s">
        <v>221</v>
      </c>
      <c r="S34" s="26" t="s">
        <v>0</v>
      </c>
      <c r="T34" s="14">
        <v>42794</v>
      </c>
      <c r="U34" s="13" t="s">
        <v>220</v>
      </c>
      <c r="V34" s="13"/>
      <c r="W34" s="26"/>
      <c r="X34" s="14"/>
      <c r="Y34" s="13"/>
      <c r="Z34" s="26"/>
      <c r="AA34" s="26"/>
      <c r="AB34" s="14"/>
      <c r="AC34" s="13"/>
      <c r="AD34" s="26"/>
      <c r="AE34" s="26"/>
      <c r="AF34" s="14"/>
      <c r="AG34" s="13"/>
      <c r="AH34" s="26"/>
      <c r="AI34" s="28">
        <v>10</v>
      </c>
      <c r="AJ34" s="64" t="str">
        <f t="shared" si="8"/>
        <v>N</v>
      </c>
      <c r="AM34" s="112">
        <v>10</v>
      </c>
      <c r="AN34" s="61" t="str">
        <f t="shared" si="9"/>
        <v>N</v>
      </c>
    </row>
    <row r="35" spans="1:126" ht="30">
      <c r="A35" s="10"/>
      <c r="B35" s="22" t="s">
        <v>113</v>
      </c>
      <c r="C35" s="1" t="s">
        <v>112</v>
      </c>
      <c r="D35" s="1" t="s">
        <v>111</v>
      </c>
      <c r="E35" s="1" t="s">
        <v>74</v>
      </c>
      <c r="F35" s="1" t="s">
        <v>26</v>
      </c>
      <c r="G35" s="1" t="s">
        <v>194</v>
      </c>
      <c r="H35" s="1" t="s">
        <v>193</v>
      </c>
      <c r="I35" s="1"/>
      <c r="J35" s="1" t="s">
        <v>174</v>
      </c>
      <c r="K35" s="1" t="s">
        <v>175</v>
      </c>
      <c r="L35" s="18" t="s">
        <v>3</v>
      </c>
      <c r="M35" s="1" t="s">
        <v>0</v>
      </c>
      <c r="N35" s="1" t="s">
        <v>2</v>
      </c>
      <c r="O35" s="26" t="s">
        <v>0</v>
      </c>
      <c r="P35" s="14">
        <v>42772</v>
      </c>
      <c r="Q35" s="13" t="s">
        <v>220</v>
      </c>
      <c r="R35" s="26" t="s">
        <v>221</v>
      </c>
      <c r="S35" s="26" t="s">
        <v>0</v>
      </c>
      <c r="T35" s="14">
        <v>42794</v>
      </c>
      <c r="U35" s="13" t="s">
        <v>220</v>
      </c>
      <c r="V35" s="13"/>
      <c r="W35" s="26"/>
      <c r="X35" s="14"/>
      <c r="Y35" s="13"/>
      <c r="Z35" s="26"/>
      <c r="AA35" s="26"/>
      <c r="AB35" s="14"/>
      <c r="AC35" s="13"/>
      <c r="AD35" s="26"/>
      <c r="AE35" s="26"/>
      <c r="AF35" s="14"/>
      <c r="AG35" s="13"/>
      <c r="AH35" s="26"/>
      <c r="AI35" s="28">
        <v>10</v>
      </c>
      <c r="AJ35" s="64" t="str">
        <f t="shared" si="8"/>
        <v>N</v>
      </c>
      <c r="AM35" s="112">
        <v>10</v>
      </c>
      <c r="AN35" s="61" t="str">
        <f t="shared" si="9"/>
        <v>N</v>
      </c>
    </row>
    <row r="36" spans="1:126" ht="30">
      <c r="A36" s="10"/>
      <c r="B36" s="22" t="s">
        <v>110</v>
      </c>
      <c r="C36" s="1" t="s">
        <v>109</v>
      </c>
      <c r="D36" s="1" t="s">
        <v>108</v>
      </c>
      <c r="E36" s="1" t="s">
        <v>74</v>
      </c>
      <c r="F36" s="1" t="s">
        <v>26</v>
      </c>
      <c r="G36" s="1" t="s">
        <v>194</v>
      </c>
      <c r="H36" s="1" t="s">
        <v>193</v>
      </c>
      <c r="I36" s="1"/>
      <c r="J36" s="1" t="s">
        <v>174</v>
      </c>
      <c r="K36" s="1" t="s">
        <v>175</v>
      </c>
      <c r="L36" s="18" t="s">
        <v>3</v>
      </c>
      <c r="M36" s="1" t="s">
        <v>0</v>
      </c>
      <c r="N36" s="1" t="s">
        <v>2</v>
      </c>
      <c r="O36" s="26" t="s">
        <v>0</v>
      </c>
      <c r="P36" s="14">
        <v>42772</v>
      </c>
      <c r="Q36" s="13" t="s">
        <v>220</v>
      </c>
      <c r="R36" s="26" t="s">
        <v>221</v>
      </c>
      <c r="S36" s="26" t="s">
        <v>0</v>
      </c>
      <c r="T36" s="14">
        <v>42794</v>
      </c>
      <c r="U36" s="13" t="s">
        <v>220</v>
      </c>
      <c r="V36" s="13"/>
      <c r="W36" s="26"/>
      <c r="X36" s="14"/>
      <c r="Y36" s="13"/>
      <c r="Z36" s="26"/>
      <c r="AA36" s="26"/>
      <c r="AB36" s="14"/>
      <c r="AC36" s="13"/>
      <c r="AD36" s="26"/>
      <c r="AE36" s="26"/>
      <c r="AF36" s="14"/>
      <c r="AG36" s="13"/>
      <c r="AH36" s="26"/>
      <c r="AI36" s="28">
        <v>10</v>
      </c>
      <c r="AJ36" s="64" t="str">
        <f t="shared" si="8"/>
        <v>N</v>
      </c>
      <c r="AM36" s="112">
        <v>10</v>
      </c>
      <c r="AN36" s="61" t="str">
        <f t="shared" si="9"/>
        <v>N</v>
      </c>
    </row>
    <row r="37" spans="1:126" ht="409.5">
      <c r="A37" s="10"/>
      <c r="B37" s="22" t="s">
        <v>107</v>
      </c>
      <c r="C37" s="1" t="s">
        <v>106</v>
      </c>
      <c r="D37" s="1" t="s">
        <v>171</v>
      </c>
      <c r="E37" s="1" t="s">
        <v>105</v>
      </c>
      <c r="F37" s="1" t="s">
        <v>26</v>
      </c>
      <c r="G37" s="1" t="s">
        <v>194</v>
      </c>
      <c r="H37" s="1" t="s">
        <v>193</v>
      </c>
      <c r="I37" s="1" t="s">
        <v>104</v>
      </c>
      <c r="J37" s="1" t="s">
        <v>174</v>
      </c>
      <c r="K37" s="1" t="s">
        <v>175</v>
      </c>
      <c r="L37" s="18" t="s">
        <v>3</v>
      </c>
      <c r="M37" s="1" t="s">
        <v>0</v>
      </c>
      <c r="N37" s="1" t="s">
        <v>2</v>
      </c>
      <c r="O37" s="26" t="s">
        <v>0</v>
      </c>
      <c r="P37" s="14">
        <v>42772</v>
      </c>
      <c r="Q37" s="13" t="s">
        <v>220</v>
      </c>
      <c r="R37" s="26" t="s">
        <v>221</v>
      </c>
      <c r="S37" s="26" t="s">
        <v>0</v>
      </c>
      <c r="T37" s="14">
        <v>42794</v>
      </c>
      <c r="U37" s="13" t="s">
        <v>220</v>
      </c>
      <c r="V37" s="13"/>
      <c r="W37" s="26"/>
      <c r="X37" s="14"/>
      <c r="Y37" s="13"/>
      <c r="Z37" s="26"/>
      <c r="AA37" s="26"/>
      <c r="AB37" s="14"/>
      <c r="AC37" s="13"/>
      <c r="AD37" s="26"/>
      <c r="AE37" s="26"/>
      <c r="AF37" s="14"/>
      <c r="AG37" s="13"/>
      <c r="AH37" s="26"/>
      <c r="AI37" s="28">
        <v>10</v>
      </c>
      <c r="AJ37" s="64" t="str">
        <f t="shared" si="8"/>
        <v>N</v>
      </c>
      <c r="AM37" s="112">
        <v>8</v>
      </c>
      <c r="AN37" s="61" t="str">
        <f t="shared" si="9"/>
        <v>N</v>
      </c>
    </row>
    <row r="38" spans="1:126" s="21" customFormat="1">
      <c r="A38" s="10"/>
      <c r="B38" s="38"/>
      <c r="C38" s="38" t="s">
        <v>103</v>
      </c>
      <c r="D38" s="38"/>
      <c r="E38" s="38"/>
      <c r="F38" s="38"/>
      <c r="G38" s="38"/>
      <c r="H38" s="38"/>
      <c r="I38" s="38"/>
      <c r="J38" s="38"/>
      <c r="K38" s="38"/>
      <c r="L38" s="39"/>
      <c r="M38" s="38"/>
      <c r="N38" s="38"/>
      <c r="O38" s="40"/>
      <c r="P38" s="38"/>
      <c r="Q38" s="38"/>
      <c r="R38" s="40"/>
      <c r="S38" s="38"/>
      <c r="T38" s="38"/>
      <c r="U38" s="38"/>
      <c r="V38" s="38"/>
      <c r="W38" s="40"/>
      <c r="X38" s="40"/>
      <c r="Y38" s="40"/>
      <c r="Z38" s="40"/>
      <c r="AA38" s="40"/>
      <c r="AB38" s="40"/>
      <c r="AC38" s="40"/>
      <c r="AD38" s="40"/>
      <c r="AE38" s="40"/>
      <c r="AF38" s="40"/>
      <c r="AG38" s="40"/>
      <c r="AH38" s="40"/>
      <c r="AI38" s="41"/>
      <c r="AJ38" s="64" t="str">
        <f t="shared" si="8"/>
        <v/>
      </c>
      <c r="AK38" s="12"/>
      <c r="AL38" s="12"/>
      <c r="AM38" s="111"/>
      <c r="AN38" s="61" t="str">
        <f t="shared" si="9"/>
        <v/>
      </c>
      <c r="AO38" s="63"/>
      <c r="AP38" s="63"/>
      <c r="AQ38" s="63"/>
      <c r="AR38" s="63"/>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row>
    <row r="39" spans="1:126" ht="135">
      <c r="A39" s="10"/>
      <c r="B39" s="22" t="s">
        <v>102</v>
      </c>
      <c r="C39" s="1" t="s">
        <v>101</v>
      </c>
      <c r="D39" s="1" t="s">
        <v>100</v>
      </c>
      <c r="E39" s="1" t="s">
        <v>99</v>
      </c>
      <c r="F39" s="1" t="s">
        <v>26</v>
      </c>
      <c r="G39" s="1" t="s">
        <v>194</v>
      </c>
      <c r="H39" s="1" t="s">
        <v>193</v>
      </c>
      <c r="I39" s="1"/>
      <c r="J39" s="1" t="s">
        <v>174</v>
      </c>
      <c r="K39" s="1" t="s">
        <v>175</v>
      </c>
      <c r="L39" s="1" t="s">
        <v>3</v>
      </c>
      <c r="M39" s="1" t="s">
        <v>0</v>
      </c>
      <c r="N39" s="1" t="s">
        <v>2</v>
      </c>
      <c r="O39" s="26" t="s">
        <v>0</v>
      </c>
      <c r="P39" s="14">
        <v>42772</v>
      </c>
      <c r="Q39" s="13" t="s">
        <v>220</v>
      </c>
      <c r="R39" s="26" t="s">
        <v>221</v>
      </c>
      <c r="S39" s="26" t="s">
        <v>0</v>
      </c>
      <c r="T39" s="14">
        <v>42794</v>
      </c>
      <c r="U39" s="13" t="s">
        <v>220</v>
      </c>
      <c r="V39" s="13"/>
      <c r="W39" s="26"/>
      <c r="X39" s="14"/>
      <c r="Y39" s="13"/>
      <c r="Z39" s="26"/>
      <c r="AA39" s="26"/>
      <c r="AB39" s="14"/>
      <c r="AC39" s="13"/>
      <c r="AD39" s="26"/>
      <c r="AE39" s="26"/>
      <c r="AF39" s="14"/>
      <c r="AG39" s="13"/>
      <c r="AH39" s="26"/>
      <c r="AI39" s="28">
        <v>5</v>
      </c>
      <c r="AJ39" s="64" t="str">
        <f t="shared" si="8"/>
        <v>E</v>
      </c>
      <c r="AM39" s="112">
        <v>7</v>
      </c>
      <c r="AN39" s="61" t="str">
        <f t="shared" si="9"/>
        <v>E</v>
      </c>
    </row>
    <row r="40" spans="1:126" ht="60">
      <c r="A40" s="10"/>
      <c r="B40" s="22" t="s">
        <v>98</v>
      </c>
      <c r="C40" s="1" t="s">
        <v>97</v>
      </c>
      <c r="D40" s="1" t="s">
        <v>96</v>
      </c>
      <c r="E40" s="1" t="s">
        <v>95</v>
      </c>
      <c r="F40" s="1" t="s">
        <v>26</v>
      </c>
      <c r="G40" s="1" t="s">
        <v>194</v>
      </c>
      <c r="H40" s="1" t="s">
        <v>193</v>
      </c>
      <c r="I40" s="1"/>
      <c r="J40" s="1" t="s">
        <v>174</v>
      </c>
      <c r="K40" s="1" t="s">
        <v>175</v>
      </c>
      <c r="L40" s="1" t="s">
        <v>3</v>
      </c>
      <c r="M40" s="1" t="s">
        <v>0</v>
      </c>
      <c r="N40" s="1" t="s">
        <v>2</v>
      </c>
      <c r="O40" s="26" t="s">
        <v>0</v>
      </c>
      <c r="P40" s="14">
        <v>42772</v>
      </c>
      <c r="Q40" s="13" t="s">
        <v>220</v>
      </c>
      <c r="R40" s="26" t="s">
        <v>221</v>
      </c>
      <c r="S40" s="26" t="s">
        <v>0</v>
      </c>
      <c r="T40" s="14">
        <v>42794</v>
      </c>
      <c r="U40" s="13" t="s">
        <v>220</v>
      </c>
      <c r="V40" s="13"/>
      <c r="W40" s="26"/>
      <c r="X40" s="14"/>
      <c r="Y40" s="13"/>
      <c r="Z40" s="26"/>
      <c r="AA40" s="26"/>
      <c r="AB40" s="14"/>
      <c r="AC40" s="13"/>
      <c r="AD40" s="26"/>
      <c r="AE40" s="26"/>
      <c r="AF40" s="14"/>
      <c r="AG40" s="13"/>
      <c r="AH40" s="26"/>
      <c r="AI40" s="28">
        <v>5</v>
      </c>
      <c r="AJ40" s="64" t="str">
        <f t="shared" si="8"/>
        <v>E</v>
      </c>
      <c r="AM40" s="112">
        <v>5</v>
      </c>
      <c r="AN40" s="61" t="str">
        <f t="shared" si="9"/>
        <v>E</v>
      </c>
    </row>
    <row r="41" spans="1:126" ht="135">
      <c r="A41" s="10"/>
      <c r="B41" s="22" t="s">
        <v>94</v>
      </c>
      <c r="C41" s="1" t="s">
        <v>93</v>
      </c>
      <c r="D41" s="1" t="s">
        <v>92</v>
      </c>
      <c r="E41" s="1" t="s">
        <v>74</v>
      </c>
      <c r="F41" s="1" t="s">
        <v>26</v>
      </c>
      <c r="G41" s="1" t="s">
        <v>194</v>
      </c>
      <c r="H41" s="1" t="s">
        <v>193</v>
      </c>
      <c r="I41" s="1"/>
      <c r="J41" s="1" t="s">
        <v>174</v>
      </c>
      <c r="K41" s="1" t="s">
        <v>175</v>
      </c>
      <c r="L41" s="1" t="s">
        <v>3</v>
      </c>
      <c r="M41" s="1" t="s">
        <v>0</v>
      </c>
      <c r="N41" s="1" t="s">
        <v>2</v>
      </c>
      <c r="O41" s="26" t="s">
        <v>0</v>
      </c>
      <c r="P41" s="14">
        <v>42772</v>
      </c>
      <c r="Q41" s="13" t="s">
        <v>220</v>
      </c>
      <c r="R41" s="26" t="s">
        <v>221</v>
      </c>
      <c r="S41" s="26" t="s">
        <v>0</v>
      </c>
      <c r="T41" s="14">
        <v>42794</v>
      </c>
      <c r="U41" s="13" t="s">
        <v>220</v>
      </c>
      <c r="V41" s="13"/>
      <c r="W41" s="26"/>
      <c r="X41" s="14"/>
      <c r="Y41" s="13"/>
      <c r="Z41" s="26"/>
      <c r="AA41" s="26"/>
      <c r="AB41" s="14"/>
      <c r="AC41" s="13"/>
      <c r="AD41" s="26"/>
      <c r="AE41" s="26"/>
      <c r="AF41" s="14"/>
      <c r="AG41" s="13"/>
      <c r="AH41" s="26"/>
      <c r="AI41" s="28">
        <v>5</v>
      </c>
      <c r="AJ41" s="64" t="str">
        <f t="shared" si="8"/>
        <v>E</v>
      </c>
      <c r="AM41" s="112">
        <v>5</v>
      </c>
      <c r="AN41" s="61" t="str">
        <f t="shared" si="9"/>
        <v>E</v>
      </c>
    </row>
    <row r="42" spans="1:126" ht="60">
      <c r="A42" s="10"/>
      <c r="B42" s="22" t="s">
        <v>91</v>
      </c>
      <c r="C42" s="1" t="s">
        <v>90</v>
      </c>
      <c r="D42" s="1" t="s">
        <v>89</v>
      </c>
      <c r="E42" s="1" t="s">
        <v>74</v>
      </c>
      <c r="F42" s="1" t="s">
        <v>26</v>
      </c>
      <c r="G42" s="1" t="s">
        <v>194</v>
      </c>
      <c r="H42" s="1" t="s">
        <v>193</v>
      </c>
      <c r="I42" s="1"/>
      <c r="J42" s="1" t="s">
        <v>174</v>
      </c>
      <c r="K42" s="1" t="s">
        <v>175</v>
      </c>
      <c r="L42" s="1" t="s">
        <v>3</v>
      </c>
      <c r="M42" s="1" t="s">
        <v>0</v>
      </c>
      <c r="N42" s="1" t="s">
        <v>2</v>
      </c>
      <c r="O42" s="26" t="s">
        <v>0</v>
      </c>
      <c r="P42" s="14">
        <v>42772</v>
      </c>
      <c r="Q42" s="13" t="s">
        <v>220</v>
      </c>
      <c r="R42" s="26" t="s">
        <v>221</v>
      </c>
      <c r="S42" s="26" t="s">
        <v>0</v>
      </c>
      <c r="T42" s="14">
        <v>42794</v>
      </c>
      <c r="U42" s="13" t="s">
        <v>220</v>
      </c>
      <c r="V42" s="13"/>
      <c r="W42" s="26"/>
      <c r="X42" s="14"/>
      <c r="Y42" s="13"/>
      <c r="Z42" s="26"/>
      <c r="AA42" s="26"/>
      <c r="AB42" s="14"/>
      <c r="AC42" s="13"/>
      <c r="AD42" s="26"/>
      <c r="AE42" s="26"/>
      <c r="AF42" s="14"/>
      <c r="AG42" s="13"/>
      <c r="AH42" s="26"/>
      <c r="AI42" s="28">
        <v>5</v>
      </c>
      <c r="AJ42" s="64" t="str">
        <f t="shared" si="8"/>
        <v>E</v>
      </c>
      <c r="AM42" s="112">
        <v>5</v>
      </c>
      <c r="AN42" s="61" t="str">
        <f t="shared" si="9"/>
        <v>E</v>
      </c>
    </row>
    <row r="43" spans="1:126" ht="105">
      <c r="A43" s="10"/>
      <c r="B43" s="22" t="s">
        <v>88</v>
      </c>
      <c r="C43" s="1" t="s">
        <v>87</v>
      </c>
      <c r="D43" s="1" t="s">
        <v>86</v>
      </c>
      <c r="E43" s="1" t="s">
        <v>85</v>
      </c>
      <c r="F43" s="1" t="s">
        <v>26</v>
      </c>
      <c r="G43" s="1" t="s">
        <v>194</v>
      </c>
      <c r="H43" s="1" t="s">
        <v>193</v>
      </c>
      <c r="I43" s="1"/>
      <c r="J43" s="1" t="s">
        <v>174</v>
      </c>
      <c r="K43" s="1" t="s">
        <v>175</v>
      </c>
      <c r="L43" s="1" t="s">
        <v>3</v>
      </c>
      <c r="M43" s="1" t="s">
        <v>0</v>
      </c>
      <c r="N43" s="1" t="s">
        <v>2</v>
      </c>
      <c r="O43" s="26" t="s">
        <v>0</v>
      </c>
      <c r="P43" s="14">
        <v>42772</v>
      </c>
      <c r="Q43" s="13" t="s">
        <v>220</v>
      </c>
      <c r="R43" s="26" t="s">
        <v>221</v>
      </c>
      <c r="S43" s="26" t="s">
        <v>0</v>
      </c>
      <c r="T43" s="14">
        <v>42794</v>
      </c>
      <c r="U43" s="13" t="s">
        <v>220</v>
      </c>
      <c r="V43" s="13"/>
      <c r="W43" s="26"/>
      <c r="X43" s="14"/>
      <c r="Y43" s="13"/>
      <c r="Z43" s="26"/>
      <c r="AA43" s="26"/>
      <c r="AB43" s="14"/>
      <c r="AC43" s="13"/>
      <c r="AD43" s="26"/>
      <c r="AE43" s="26"/>
      <c r="AF43" s="14"/>
      <c r="AG43" s="13"/>
      <c r="AH43" s="26"/>
      <c r="AI43" s="28">
        <v>5</v>
      </c>
      <c r="AJ43" s="64" t="str">
        <f t="shared" si="8"/>
        <v>E</v>
      </c>
      <c r="AM43" s="112">
        <v>5</v>
      </c>
      <c r="AN43" s="61" t="str">
        <f t="shared" si="9"/>
        <v>E</v>
      </c>
    </row>
    <row r="44" spans="1:126" ht="90">
      <c r="A44" s="10"/>
      <c r="B44" s="22" t="s">
        <v>84</v>
      </c>
      <c r="C44" s="1" t="s">
        <v>83</v>
      </c>
      <c r="D44" s="1" t="s">
        <v>82</v>
      </c>
      <c r="E44" s="1" t="s">
        <v>74</v>
      </c>
      <c r="F44" s="1" t="s">
        <v>26</v>
      </c>
      <c r="G44" s="1" t="s">
        <v>194</v>
      </c>
      <c r="H44" s="1" t="s">
        <v>193</v>
      </c>
      <c r="I44" s="1"/>
      <c r="J44" s="1" t="s">
        <v>174</v>
      </c>
      <c r="K44" s="1" t="s">
        <v>175</v>
      </c>
      <c r="L44" s="1" t="s">
        <v>3</v>
      </c>
      <c r="M44" s="1" t="s">
        <v>0</v>
      </c>
      <c r="N44" s="1" t="s">
        <v>2</v>
      </c>
      <c r="O44" s="26" t="s">
        <v>0</v>
      </c>
      <c r="P44" s="14">
        <v>42772</v>
      </c>
      <c r="Q44" s="13" t="s">
        <v>220</v>
      </c>
      <c r="R44" s="26" t="s">
        <v>221</v>
      </c>
      <c r="S44" s="26" t="s">
        <v>0</v>
      </c>
      <c r="T44" s="14">
        <v>42794</v>
      </c>
      <c r="U44" s="13" t="s">
        <v>220</v>
      </c>
      <c r="V44" s="13"/>
      <c r="W44" s="26"/>
      <c r="X44" s="14"/>
      <c r="Y44" s="13"/>
      <c r="Z44" s="26"/>
      <c r="AA44" s="26"/>
      <c r="AB44" s="14"/>
      <c r="AC44" s="13"/>
      <c r="AD44" s="26"/>
      <c r="AE44" s="26"/>
      <c r="AF44" s="14"/>
      <c r="AG44" s="13"/>
      <c r="AH44" s="26"/>
      <c r="AI44" s="28">
        <v>5</v>
      </c>
      <c r="AJ44" s="64" t="str">
        <f t="shared" si="8"/>
        <v>E</v>
      </c>
      <c r="AM44" s="112">
        <v>5</v>
      </c>
      <c r="AN44" s="61" t="str">
        <f t="shared" si="9"/>
        <v>E</v>
      </c>
    </row>
    <row r="45" spans="1:126" ht="225">
      <c r="A45" s="10"/>
      <c r="B45" s="22" t="s">
        <v>81</v>
      </c>
      <c r="C45" s="1" t="s">
        <v>80</v>
      </c>
      <c r="D45" s="1" t="s">
        <v>79</v>
      </c>
      <c r="E45" s="1" t="s">
        <v>78</v>
      </c>
      <c r="F45" s="1" t="s">
        <v>26</v>
      </c>
      <c r="G45" s="1" t="s">
        <v>194</v>
      </c>
      <c r="H45" s="1" t="s">
        <v>193</v>
      </c>
      <c r="I45" s="1"/>
      <c r="J45" s="1" t="s">
        <v>174</v>
      </c>
      <c r="K45" s="1" t="s">
        <v>175</v>
      </c>
      <c r="L45" s="1" t="s">
        <v>3</v>
      </c>
      <c r="M45" s="1" t="s">
        <v>0</v>
      </c>
      <c r="N45" s="1" t="s">
        <v>2</v>
      </c>
      <c r="O45" s="26" t="s">
        <v>0</v>
      </c>
      <c r="P45" s="14">
        <v>42772</v>
      </c>
      <c r="Q45" s="13" t="s">
        <v>220</v>
      </c>
      <c r="R45" s="26" t="s">
        <v>221</v>
      </c>
      <c r="S45" s="26" t="s">
        <v>0</v>
      </c>
      <c r="T45" s="14">
        <v>42794</v>
      </c>
      <c r="U45" s="13" t="s">
        <v>220</v>
      </c>
      <c r="V45" s="13"/>
      <c r="W45" s="26"/>
      <c r="X45" s="14"/>
      <c r="Y45" s="13"/>
      <c r="Z45" s="26"/>
      <c r="AA45" s="26"/>
      <c r="AB45" s="14"/>
      <c r="AC45" s="13"/>
      <c r="AD45" s="26"/>
      <c r="AE45" s="26"/>
      <c r="AF45" s="14"/>
      <c r="AG45" s="13"/>
      <c r="AH45" s="26"/>
      <c r="AI45" s="28">
        <v>5</v>
      </c>
      <c r="AJ45" s="64" t="str">
        <f t="shared" si="8"/>
        <v>E</v>
      </c>
      <c r="AM45" s="112">
        <v>5</v>
      </c>
      <c r="AN45" s="61" t="str">
        <f t="shared" si="9"/>
        <v>E</v>
      </c>
    </row>
    <row r="46" spans="1:126" ht="45">
      <c r="A46" s="10"/>
      <c r="B46" s="22" t="s">
        <v>77</v>
      </c>
      <c r="C46" s="1" t="s">
        <v>76</v>
      </c>
      <c r="D46" s="1" t="s">
        <v>75</v>
      </c>
      <c r="E46" s="1" t="s">
        <v>74</v>
      </c>
      <c r="F46" s="1" t="s">
        <v>26</v>
      </c>
      <c r="G46" s="1" t="s">
        <v>194</v>
      </c>
      <c r="H46" s="1" t="s">
        <v>193</v>
      </c>
      <c r="I46" s="1"/>
      <c r="J46" s="1" t="s">
        <v>174</v>
      </c>
      <c r="K46" s="1" t="s">
        <v>175</v>
      </c>
      <c r="L46" s="1" t="s">
        <v>3</v>
      </c>
      <c r="M46" s="1" t="s">
        <v>0</v>
      </c>
      <c r="N46" s="1" t="s">
        <v>2</v>
      </c>
      <c r="O46" s="26" t="s">
        <v>0</v>
      </c>
      <c r="P46" s="14">
        <v>42772</v>
      </c>
      <c r="Q46" s="13" t="s">
        <v>220</v>
      </c>
      <c r="R46" s="26" t="s">
        <v>221</v>
      </c>
      <c r="S46" s="26" t="s">
        <v>0</v>
      </c>
      <c r="T46" s="14">
        <v>42794</v>
      </c>
      <c r="U46" s="13" t="s">
        <v>220</v>
      </c>
      <c r="V46" s="13"/>
      <c r="W46" s="26"/>
      <c r="X46" s="14"/>
      <c r="Y46" s="13"/>
      <c r="Z46" s="26"/>
      <c r="AA46" s="26"/>
      <c r="AB46" s="14"/>
      <c r="AC46" s="13"/>
      <c r="AD46" s="26"/>
      <c r="AE46" s="26"/>
      <c r="AF46" s="14"/>
      <c r="AG46" s="13"/>
      <c r="AH46" s="26"/>
      <c r="AI46" s="28">
        <v>5</v>
      </c>
      <c r="AJ46" s="64" t="str">
        <f t="shared" si="8"/>
        <v>E</v>
      </c>
      <c r="AM46" s="112">
        <v>5</v>
      </c>
      <c r="AN46" s="61" t="str">
        <f t="shared" si="9"/>
        <v>E</v>
      </c>
    </row>
    <row r="47" spans="1:126" ht="75">
      <c r="A47" s="10"/>
      <c r="B47" s="22" t="s">
        <v>73</v>
      </c>
      <c r="C47" s="1" t="s">
        <v>72</v>
      </c>
      <c r="D47" s="1" t="s">
        <v>71</v>
      </c>
      <c r="E47" s="1" t="s">
        <v>70</v>
      </c>
      <c r="F47" s="1" t="s">
        <v>26</v>
      </c>
      <c r="G47" s="1" t="s">
        <v>194</v>
      </c>
      <c r="H47" s="1" t="s">
        <v>193</v>
      </c>
      <c r="I47" s="1"/>
      <c r="J47" s="1" t="s">
        <v>174</v>
      </c>
      <c r="K47" s="1" t="s">
        <v>175</v>
      </c>
      <c r="L47" s="18" t="s">
        <v>3</v>
      </c>
      <c r="M47" s="1" t="s">
        <v>0</v>
      </c>
      <c r="N47" s="1" t="s">
        <v>2</v>
      </c>
      <c r="O47" s="26" t="s">
        <v>0</v>
      </c>
      <c r="P47" s="14">
        <v>42772</v>
      </c>
      <c r="Q47" s="13" t="s">
        <v>220</v>
      </c>
      <c r="R47" s="26" t="s">
        <v>221</v>
      </c>
      <c r="S47" s="26" t="s">
        <v>0</v>
      </c>
      <c r="T47" s="14">
        <v>42794</v>
      </c>
      <c r="U47" s="13" t="s">
        <v>220</v>
      </c>
      <c r="V47" s="13"/>
      <c r="W47" s="26"/>
      <c r="X47" s="14"/>
      <c r="Y47" s="13"/>
      <c r="Z47" s="26"/>
      <c r="AA47" s="26"/>
      <c r="AB47" s="14"/>
      <c r="AC47" s="13"/>
      <c r="AD47" s="26"/>
      <c r="AE47" s="26"/>
      <c r="AF47" s="14"/>
      <c r="AG47" s="13"/>
      <c r="AH47" s="26"/>
      <c r="AI47" s="28">
        <v>5</v>
      </c>
      <c r="AJ47" s="64" t="str">
        <f t="shared" si="8"/>
        <v>E</v>
      </c>
      <c r="AM47" s="112">
        <v>10</v>
      </c>
      <c r="AN47" s="61" t="str">
        <f t="shared" si="9"/>
        <v>N</v>
      </c>
    </row>
  </sheetData>
  <sheetProtection selectLockedCells="1" selectUnlockedCells="1"/>
  <autoFilter ref="B14:AJ47"/>
  <mergeCells count="14">
    <mergeCell ref="AM11:AN11"/>
    <mergeCell ref="AI11:AJ11"/>
    <mergeCell ref="G13:H13"/>
    <mergeCell ref="AE11:AH11"/>
    <mergeCell ref="O12:R12"/>
    <mergeCell ref="S12:V12"/>
    <mergeCell ref="W12:Z12"/>
    <mergeCell ref="AA12:AD12"/>
    <mergeCell ref="AE12:AH12"/>
    <mergeCell ref="M13:N13"/>
    <mergeCell ref="O11:R11"/>
    <mergeCell ref="S11:V11"/>
    <mergeCell ref="W11:Z11"/>
    <mergeCell ref="AA11:AD11"/>
  </mergeCells>
  <phoneticPr fontId="152"/>
  <hyperlinks>
    <hyperlink ref="L3" location="PCL_Summary!A1" display="PCL_Summary!A1"/>
    <hyperlink ref="L2" location="Test_Report_Summary!A1" display="Test_Report_Summary"/>
  </hyperlinks>
  <pageMargins left="0" right="0" top="0" bottom="0" header="0" footer="0"/>
  <pageSetup firstPageNumber="0" orientation="landscape"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CustomPhases</vt:lpstr>
      <vt:lpstr>Toolchain_Management_Regression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Ngoc Thi. Tran</dc:creator>
  <cp:lastModifiedBy>Nhi Yen. Cao</cp:lastModifiedBy>
  <cp:lastPrinted>2016-11-24T07:04:38Z</cp:lastPrinted>
  <dcterms:created xsi:type="dcterms:W3CDTF">2016-08-30T06:20:02Z</dcterms:created>
  <dcterms:modified xsi:type="dcterms:W3CDTF">2017-05-17T01:10:07Z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ddbcae84-1d98-4db2-b283-c1085449c5db</vt:lpwstr>
  </property>
</Properties>
</file>