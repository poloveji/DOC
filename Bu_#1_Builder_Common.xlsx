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M:\prj_IDE\0_Users\7_ThuyTran\17K_Task\02_Project_Data\02_e2_Regression Test\e2_studio_V5.4\03_TestResult\e2_studio_v5.4_RT_PCL_TestResult\"/>
    </mc:Choice>
  </mc:AlternateContent>
  <bookViews>
    <workbookView xWindow="21090" yWindow="0" windowWidth="23250" windowHeight="13170" tabRatio="858"/>
  </bookViews>
  <sheets>
    <sheet name="Revision_History" sheetId="9" r:id="rId1"/>
    <sheet name="Summary" sheetId="10" r:id="rId2"/>
    <sheet name="Builder_Common" sheetId="12" r:id="rId3"/>
    <sheet name="Builder_Enhancement_3.1" sheetId="6" r:id="rId4"/>
    <sheet name="Builder_SimultaneousBuild" sheetId="4" r:id="rId5"/>
    <sheet name="Builder_Rename&amp;ImportProject" sheetId="5" r:id="rId6"/>
    <sheet name="CustomPhases" sheetId="7" r:id="rId7"/>
    <sheet name="Toolchain_Management_Regression" sheetId="11" r:id="rId8"/>
  </sheets>
  <definedNames>
    <definedName name="_xlnm._FilterDatabase" localSheetId="2" hidden="1">Builder_Common!$A$14:$AR$182</definedName>
    <definedName name="_xlnm._FilterDatabase" localSheetId="3" hidden="1">Builder_Enhancement_3.1!$B$14:$AJ$136</definedName>
    <definedName name="_xlnm._FilterDatabase" localSheetId="5" hidden="1">'Builder_Rename&amp;ImportProject'!$B$14:$AJ$41</definedName>
    <definedName name="_xlnm._FilterDatabase" localSheetId="4" hidden="1">Builder_SimultaneousBuild!$B$14:$AJ$77</definedName>
    <definedName name="_xlnm._FilterDatabase" localSheetId="6" hidden="1">CustomPhases!$B$14:$AJ$33</definedName>
    <definedName name="_xlnm._FilterDatabase" localSheetId="7" hidden="1">Toolchain_Management_Regression!$B$14:$AJ$47</definedName>
    <definedName name="Z_01C8568C_EDCC_4DE9_A78C_97196BA55141_.wvu.FilterData" localSheetId="7" hidden="1">Toolchain_Management_Regression!$B$13:$DV$47</definedName>
    <definedName name="Z_0243FE9A_05B0_42E8_BEBB_0D67D6BC9471_.wvu.FilterData" localSheetId="6" hidden="1">CustomPhases!$A$13:$Q$33</definedName>
    <definedName name="Z_06522FF1_84A4_44EA_AFD1_67FDA551EF2A_.wvu.FilterData" localSheetId="3" hidden="1">Builder_Enhancement_3.1!$B$13:$R$136</definedName>
    <definedName name="Z_0674DA95_44B4_480D_8384_1F2C32FA5005_.wvu.FilterData" localSheetId="2" hidden="1">Builder_Common!$A$13:$R$158</definedName>
    <definedName name="Z_0674DA95_44B4_480D_8384_1F2C32FA5005_.wvu.FilterData" localSheetId="3" hidden="1">Builder_Enhancement_3.1!$B$13:$R$136</definedName>
    <definedName name="Z_0674DA95_44B4_480D_8384_1F2C32FA5005_.wvu.FilterData" localSheetId="5" hidden="1">'Builder_Rename&amp;ImportProject'!$B$13:$R$41</definedName>
    <definedName name="Z_0674DA95_44B4_480D_8384_1F2C32FA5005_.wvu.FilterData" localSheetId="4" hidden="1">Builder_SimultaneousBuild!$B$13:$R$77</definedName>
    <definedName name="Z_0B61CED4_7D24_454B_BB70_ADCE89DE5B0C_.wvu.FilterData" localSheetId="2" hidden="1">Builder_Common!$B$13:$L$158</definedName>
    <definedName name="Z_0B61CED4_7D24_454B_BB70_ADCE89DE5B0C_.wvu.FilterData" localSheetId="3" hidden="1">Builder_Enhancement_3.1!$B$13:$L$136</definedName>
    <definedName name="Z_0B61CED4_7D24_454B_BB70_ADCE89DE5B0C_.wvu.FilterData" localSheetId="5" hidden="1">'Builder_Rename&amp;ImportProject'!$B$13:$L$41</definedName>
    <definedName name="Z_0B61CED4_7D24_454B_BB70_ADCE89DE5B0C_.wvu.FilterData" localSheetId="4" hidden="1">Builder_SimultaneousBuild!$B$13:$L$77</definedName>
    <definedName name="Z_0CED6330_E126_47DE_AA58_022D820722A4_.wvu.FilterData" localSheetId="6" hidden="1">CustomPhases!$A$13:$AJ$33</definedName>
    <definedName name="Z_0CED6330_E126_47DE_AA58_022D820722A4_.wvu.FilterData" localSheetId="7" hidden="1">Toolchain_Management_Regression!$A$12:$DV$47</definedName>
    <definedName name="Z_106BE51D_DD85_430E_A2BD_8D859FE96880_.wvu.FilterData" localSheetId="2" hidden="1">Builder_Common!$A$13:$R$158</definedName>
    <definedName name="Z_106BE51D_DD85_430E_A2BD_8D859FE96880_.wvu.FilterData" localSheetId="3" hidden="1">Builder_Enhancement_3.1!$B$13:$M$136</definedName>
    <definedName name="Z_106BE51D_DD85_430E_A2BD_8D859FE96880_.wvu.FilterData" localSheetId="5" hidden="1">'Builder_Rename&amp;ImportProject'!$L$1:$L$41</definedName>
    <definedName name="Z_106BE51D_DD85_430E_A2BD_8D859FE96880_.wvu.FilterData" localSheetId="4" hidden="1">Builder_SimultaneousBuild!$A$13:$M$13</definedName>
    <definedName name="Z_160476C6_AB6E_4312_8DEC_E3455CB25A9B_.wvu.FilterData" localSheetId="2" hidden="1">Builder_Common!$B$13:$L$158</definedName>
    <definedName name="Z_160476C6_AB6E_4312_8DEC_E3455CB25A9B_.wvu.FilterData" localSheetId="3" hidden="1">Builder_Enhancement_3.1!$B$13:$L$136</definedName>
    <definedName name="Z_160476C6_AB6E_4312_8DEC_E3455CB25A9B_.wvu.FilterData" localSheetId="5" hidden="1">'Builder_Rename&amp;ImportProject'!$B$13:$L$41</definedName>
    <definedName name="Z_160476C6_AB6E_4312_8DEC_E3455CB25A9B_.wvu.FilterData" localSheetId="4" hidden="1">Builder_SimultaneousBuild!$B$13:$L$77</definedName>
    <definedName name="Z_1C490E34_705F_4E78_AC0A_87EF4F7A2567_.wvu.FilterData" localSheetId="6" hidden="1">CustomPhases!$A$13:$Q$33</definedName>
    <definedName name="Z_1F4A3571_24C7_4478_B10E_BE1C914665DA_.wvu.FilterData" localSheetId="3" hidden="1">Builder_Enhancement_3.1!$A$13:$Z$136</definedName>
    <definedName name="Z_1F580B34_4476_4EF6_8C89_48094540DD72_.wvu.FilterData" localSheetId="2" hidden="1">Builder_Common!$B$13:$L$158</definedName>
    <definedName name="Z_1F580B34_4476_4EF6_8C89_48094540DD72_.wvu.FilterData" localSheetId="3" hidden="1">Builder_Enhancement_3.1!$B$13:$L$136</definedName>
    <definedName name="Z_1F580B34_4476_4EF6_8C89_48094540DD72_.wvu.FilterData" localSheetId="5" hidden="1">'Builder_Rename&amp;ImportProject'!$B$13:$L$41</definedName>
    <definedName name="Z_1F580B34_4476_4EF6_8C89_48094540DD72_.wvu.FilterData" localSheetId="4" hidden="1">Builder_SimultaneousBuild!$B$13:$L$77</definedName>
    <definedName name="Z_24E2E985_559E_4617_B63B_C94E0110A0A6_.wvu.FilterData" localSheetId="2" hidden="1">Builder_Common!$A$13:$Z$158</definedName>
    <definedName name="Z_24E2E985_559E_4617_B63B_C94E0110A0A6_.wvu.FilterData" localSheetId="3" hidden="1">Builder_Enhancement_3.1!$A$13:$Z$136</definedName>
    <definedName name="Z_24E2E985_559E_4617_B63B_C94E0110A0A6_.wvu.FilterData" localSheetId="5" hidden="1">'Builder_Rename&amp;ImportProject'!$L$1:$L$41</definedName>
    <definedName name="Z_24E2E985_559E_4617_B63B_C94E0110A0A6_.wvu.FilterData" localSheetId="4" hidden="1">Builder_SimultaneousBuild!$A$13:$Z$77</definedName>
    <definedName name="Z_25577799_664B_4B09_83EE_A6E528984E65_.wvu.FilterData" localSheetId="2" hidden="1">Builder_Common!$A$13:$Z$158</definedName>
    <definedName name="Z_25577799_664B_4B09_83EE_A6E528984E65_.wvu.FilterData" localSheetId="3" hidden="1">Builder_Enhancement_3.1!$A$13:$Z$136</definedName>
    <definedName name="Z_25577799_664B_4B09_83EE_A6E528984E65_.wvu.FilterData" localSheetId="5" hidden="1">'Builder_Rename&amp;ImportProject'!$L$1:$L$41</definedName>
    <definedName name="Z_25577799_664B_4B09_83EE_A6E528984E65_.wvu.FilterData" localSheetId="4" hidden="1">Builder_SimultaneousBuild!$A$13:$Z$77</definedName>
    <definedName name="Z_2AD7DB5A_5574_42D2_99FB_D47BD3460B1D_.wvu.FilterData" localSheetId="2" hidden="1">Builder_Common!$A$13:$V$182</definedName>
    <definedName name="Z_2AD7DB5A_5574_42D2_99FB_D47BD3460B1D_.wvu.FilterData" localSheetId="3" hidden="1">Builder_Enhancement_3.1!$A$13:$M$136</definedName>
    <definedName name="Z_2AD7DB5A_5574_42D2_99FB_D47BD3460B1D_.wvu.FilterData" localSheetId="5" hidden="1">'Builder_Rename&amp;ImportProject'!$A$13:$AJ$41</definedName>
    <definedName name="Z_2AD7DB5A_5574_42D2_99FB_D47BD3460B1D_.wvu.FilterData" localSheetId="4" hidden="1">Builder_SimultaneousBuild!$A$13:$M$77</definedName>
    <definedName name="Z_2CC852D6_D8BE_4579_A36F_066BA6885CC1_.wvu.FilterData" localSheetId="6" hidden="1">CustomPhases!$A$13:$AJ$33</definedName>
    <definedName name="Z_2CC852D6_D8BE_4579_A36F_066BA6885CC1_.wvu.FilterData" localSheetId="7" hidden="1">Toolchain_Management_Regression!$A$12:$DV$47</definedName>
    <definedName name="Z_2E850209_E482_4B35_A196_759AA549C88F_.wvu.FilterData" localSheetId="7" hidden="1">Toolchain_Management_Regression!$B$13:$DV$47</definedName>
    <definedName name="Z_2EDC408A_8421_401D_AD49_ECDBE59E5BF7_.wvu.FilterData" localSheetId="6" hidden="1">CustomPhases!$A$13:$Q$33</definedName>
    <definedName name="Z_2EDC408A_8421_401D_AD49_ECDBE59E5BF7_.wvu.FilterData" localSheetId="7" hidden="1">Toolchain_Management_Regression!$B$13:$DV$47</definedName>
    <definedName name="Z_30271829_E835_4FF3_ABB4_D6081BDBABDF_.wvu.FilterData" localSheetId="2" hidden="1">Builder_Common!$B$13:$L$158</definedName>
    <definedName name="Z_30271829_E835_4FF3_ABB4_D6081BDBABDF_.wvu.FilterData" localSheetId="3" hidden="1">Builder_Enhancement_3.1!$B$13:$L$136</definedName>
    <definedName name="Z_30271829_E835_4FF3_ABB4_D6081BDBABDF_.wvu.FilterData" localSheetId="5" hidden="1">'Builder_Rename&amp;ImportProject'!$B$13:$L$41</definedName>
    <definedName name="Z_30271829_E835_4FF3_ABB4_D6081BDBABDF_.wvu.FilterData" localSheetId="4" hidden="1">Builder_SimultaneousBuild!$B$13:$L$77</definedName>
    <definedName name="Z_336C429F_98B1_4265_A074_C1BD66DB2975_.wvu.Cols" localSheetId="6" hidden="1">CustomPhases!$O:$R</definedName>
    <definedName name="Z_336C429F_98B1_4265_A074_C1BD66DB2975_.wvu.Cols" localSheetId="7" hidden="1">Toolchain_Management_Regression!$O:$R</definedName>
    <definedName name="Z_336C429F_98B1_4265_A074_C1BD66DB2975_.wvu.FilterData" localSheetId="6" hidden="1">CustomPhases!$A$13:$Q$33</definedName>
    <definedName name="Z_336C429F_98B1_4265_A074_C1BD66DB2975_.wvu.FilterData" localSheetId="7" hidden="1">Toolchain_Management_Regression!$B$13:$R$47</definedName>
    <definedName name="Z_33992E35_C68A_40E1_BE1F_5F01B2F60AFD_.wvu.FilterData" localSheetId="6" hidden="1">CustomPhases!$A$13:$Q$33</definedName>
    <definedName name="Z_33992E35_C68A_40E1_BE1F_5F01B2F60AFD_.wvu.FilterData" localSheetId="7" hidden="1">Toolchain_Management_Regression!$A$12:$DV$47</definedName>
    <definedName name="Z_35006256_9D81_4D62_A4B9_5BDC6D80DF8D_.wvu.FilterData" localSheetId="2" hidden="1">Builder_Common!$A$13:$V$158</definedName>
    <definedName name="Z_36A8D4C1_7FB1_4189_9C2D_6F26CA2F03DC_.wvu.FilterData" localSheetId="2" hidden="1">Builder_Common!$A$13:$R$158</definedName>
    <definedName name="Z_36A8D4C1_7FB1_4189_9C2D_6F26CA2F03DC_.wvu.FilterData" localSheetId="3" hidden="1">Builder_Enhancement_3.1!$A$13:$R$136</definedName>
    <definedName name="Z_36A8D4C1_7FB1_4189_9C2D_6F26CA2F03DC_.wvu.FilterData" localSheetId="5" hidden="1">'Builder_Rename&amp;ImportProject'!$L$1:$L$41</definedName>
    <definedName name="Z_36A8D4C1_7FB1_4189_9C2D_6F26CA2F03DC_.wvu.FilterData" localSheetId="4" hidden="1">Builder_SimultaneousBuild!$A$13:$R$77</definedName>
    <definedName name="Z_36C9D949_1FC2_46BA_AA7F_0AFB75FF8233_.wvu.FilterData" localSheetId="7" hidden="1">Toolchain_Management_Regression!$A$12:$DV$47</definedName>
    <definedName name="Z_3AA35F54_073B_4948_B46C_84CA88B16D95_.wvu.FilterData" localSheetId="2" hidden="1">Builder_Common!$A$13:$R$158</definedName>
    <definedName name="Z_3C331377_C1A1_4E7F_B5DB_52C75531B450_.wvu.Cols" localSheetId="2" hidden="1">Builder_Common!$S:$V</definedName>
    <definedName name="Z_3C331377_C1A1_4E7F_B5DB_52C75531B450_.wvu.Cols" localSheetId="5" hidden="1">'Builder_Rename&amp;ImportProject'!$S:$V</definedName>
    <definedName name="Z_3C331377_C1A1_4E7F_B5DB_52C75531B450_.wvu.FilterData" localSheetId="2" hidden="1">Builder_Common!$A$13:$V$158</definedName>
    <definedName name="Z_3C331377_C1A1_4E7F_B5DB_52C75531B450_.wvu.FilterData" localSheetId="3" hidden="1">Builder_Enhancement_3.1!$A$13:$M$136</definedName>
    <definedName name="Z_3C331377_C1A1_4E7F_B5DB_52C75531B450_.wvu.FilterData" localSheetId="5" hidden="1">'Builder_Rename&amp;ImportProject'!$B$13:$Z$13</definedName>
    <definedName name="Z_3C331377_C1A1_4E7F_B5DB_52C75531B450_.wvu.FilterData" localSheetId="4" hidden="1">Builder_SimultaneousBuild!$A$13:$M$77</definedName>
    <definedName name="Z_3C80C375_1AF7_4E25_B0D3_22B4FDA29085_.wvu.FilterData" localSheetId="2" hidden="1">Builder_Common!$A$13:$V$182</definedName>
    <definedName name="Z_3C80C375_1AF7_4E25_B0D3_22B4FDA29085_.wvu.FilterData" localSheetId="3" hidden="1">Builder_Enhancement_3.1!$A$13:$M$136</definedName>
    <definedName name="Z_3C80C375_1AF7_4E25_B0D3_22B4FDA29085_.wvu.FilterData" localSheetId="5" hidden="1">'Builder_Rename&amp;ImportProject'!$A$13:$AJ$41</definedName>
    <definedName name="Z_3C80C375_1AF7_4E25_B0D3_22B4FDA29085_.wvu.FilterData" localSheetId="4" hidden="1">Builder_SimultaneousBuild!$A$13:$M$77</definedName>
    <definedName name="Z_3CE11E2B_12DC_46F3_ACCB_AC1F00B2A2E9_.wvu.FilterData" localSheetId="4" hidden="1">Builder_SimultaneousBuild!$A$13:$R$77</definedName>
    <definedName name="Z_3F58CB6F_82C9_4C35_947C_40407874ABE3_.wvu.FilterData" localSheetId="2" hidden="1">Builder_Common!$A$13:$L$158</definedName>
    <definedName name="Z_3F58CB6F_82C9_4C35_947C_40407874ABE3_.wvu.FilterData" localSheetId="3" hidden="1">Builder_Enhancement_3.1!$A$13:$L$136</definedName>
    <definedName name="Z_3F58CB6F_82C9_4C35_947C_40407874ABE3_.wvu.FilterData" localSheetId="5" hidden="1">'Builder_Rename&amp;ImportProject'!$A$13:$L$41</definedName>
    <definedName name="Z_3F58CB6F_82C9_4C35_947C_40407874ABE3_.wvu.FilterData" localSheetId="4" hidden="1">Builder_SimultaneousBuild!$A$13:$L$77</definedName>
    <definedName name="Z_447448B6_133E_41CC_BD8D_F87B6D24DB40_.wvu.FilterData" localSheetId="2" hidden="1">Builder_Common!$B$13:$L$158</definedName>
    <definedName name="Z_447448B6_133E_41CC_BD8D_F87B6D24DB40_.wvu.FilterData" localSheetId="3" hidden="1">Builder_Enhancement_3.1!$B$13:$L$136</definedName>
    <definedName name="Z_447448B6_133E_41CC_BD8D_F87B6D24DB40_.wvu.FilterData" localSheetId="5" hidden="1">'Builder_Rename&amp;ImportProject'!$B$13:$L$41</definedName>
    <definedName name="Z_447448B6_133E_41CC_BD8D_F87B6D24DB40_.wvu.FilterData" localSheetId="4" hidden="1">Builder_SimultaneousBuild!$B$13:$L$77</definedName>
    <definedName name="Z_453FFA0C_1435_49B3_A072_55771DA9BE6E_.wvu.FilterData" localSheetId="2" hidden="1">Builder_Common!$B$13:$L$158</definedName>
    <definedName name="Z_453FFA0C_1435_49B3_A072_55771DA9BE6E_.wvu.FilterData" localSheetId="3" hidden="1">Builder_Enhancement_3.1!$B$13:$L$136</definedName>
    <definedName name="Z_453FFA0C_1435_49B3_A072_55771DA9BE6E_.wvu.FilterData" localSheetId="5" hidden="1">'Builder_Rename&amp;ImportProject'!$B$13:$L$41</definedName>
    <definedName name="Z_453FFA0C_1435_49B3_A072_55771DA9BE6E_.wvu.FilterData" localSheetId="4" hidden="1">Builder_SimultaneousBuild!$B$13:$L$77</definedName>
    <definedName name="Z_456F1679_0BA5_49D2_99E4_5E51E3C5FA96_.wvu.FilterData" localSheetId="2" hidden="1">Builder_Common!$B$13:$L$158</definedName>
    <definedName name="Z_456F1679_0BA5_49D2_99E4_5E51E3C5FA96_.wvu.FilterData" localSheetId="3" hidden="1">Builder_Enhancement_3.1!$B$13:$L$136</definedName>
    <definedName name="Z_456F1679_0BA5_49D2_99E4_5E51E3C5FA96_.wvu.FilterData" localSheetId="5" hidden="1">'Builder_Rename&amp;ImportProject'!$B$13:$L$41</definedName>
    <definedName name="Z_456F1679_0BA5_49D2_99E4_5E51E3C5FA96_.wvu.FilterData" localSheetId="4" hidden="1">Builder_SimultaneousBuild!$B$13:$L$77</definedName>
    <definedName name="Z_467B3A15_DA14_4346_BDC2_1160C116E8B0_.wvu.FilterData" localSheetId="6" hidden="1">CustomPhases!$A$13:$Q$33</definedName>
    <definedName name="Z_46AA7C0E_95ED_4CF3_9F26_6DEEE7A9C214_.wvu.FilterData" localSheetId="2" hidden="1">Builder_Common!$B$13:$L$158</definedName>
    <definedName name="Z_46AA7C0E_95ED_4CF3_9F26_6DEEE7A9C214_.wvu.FilterData" localSheetId="3" hidden="1">Builder_Enhancement_3.1!$B$13:$L$136</definedName>
    <definedName name="Z_46AA7C0E_95ED_4CF3_9F26_6DEEE7A9C214_.wvu.FilterData" localSheetId="5" hidden="1">'Builder_Rename&amp;ImportProject'!$B$13:$L$41</definedName>
    <definedName name="Z_46AA7C0E_95ED_4CF3_9F26_6DEEE7A9C214_.wvu.FilterData" localSheetId="4" hidden="1">Builder_SimultaneousBuild!$B$13:$L$77</definedName>
    <definedName name="Z_47157109_856D_489F_AFC3_4B5447A145F3_.wvu.FilterData" localSheetId="6" hidden="1">CustomPhases!$A$13:$Q$33</definedName>
    <definedName name="Z_47157109_856D_489F_AFC3_4B5447A145F3_.wvu.FilterData" localSheetId="7" hidden="1">Toolchain_Management_Regression!$B$13:$DV$47</definedName>
    <definedName name="Z_47F60625_3674_499F_89C4_22A13745EF45_.wvu.FilterData" localSheetId="2" hidden="1">Builder_Common!$B$13:$L$158</definedName>
    <definedName name="Z_47F60625_3674_499F_89C4_22A13745EF45_.wvu.FilterData" localSheetId="3" hidden="1">Builder_Enhancement_3.1!$B$13:$L$136</definedName>
    <definedName name="Z_47F60625_3674_499F_89C4_22A13745EF45_.wvu.FilterData" localSheetId="5" hidden="1">'Builder_Rename&amp;ImportProject'!$B$13:$L$41</definedName>
    <definedName name="Z_47F60625_3674_499F_89C4_22A13745EF45_.wvu.FilterData" localSheetId="4" hidden="1">Builder_SimultaneousBuild!$B$13:$L$77</definedName>
    <definedName name="Z_4C674B00_192C_4A41_850D_E5B678F0EF10_.wvu.FilterData" localSheetId="2" hidden="1">Builder_Common!#REF!</definedName>
    <definedName name="Z_4C674B00_192C_4A41_850D_E5B678F0EF10_.wvu.FilterData" localSheetId="3" hidden="1">Builder_Enhancement_3.1!#REF!</definedName>
    <definedName name="Z_4C674B00_192C_4A41_850D_E5B678F0EF10_.wvu.FilterData" localSheetId="5" hidden="1">'Builder_Rename&amp;ImportProject'!#REF!</definedName>
    <definedName name="Z_4C674B00_192C_4A41_850D_E5B678F0EF10_.wvu.FilterData" localSheetId="4" hidden="1">Builder_SimultaneousBuild!#REF!</definedName>
    <definedName name="Z_4C85B873_E4E9_4312_BF5B_D96A6E29BA31_.wvu.FilterData" localSheetId="6" hidden="1">CustomPhases!$A$13:$Q$33</definedName>
    <definedName name="Z_4DB68FB8_E22F_493D_9738_D2929A9FF882_.wvu.Cols" localSheetId="6" hidden="1">CustomPhases!$O:$R</definedName>
    <definedName name="Z_4DB68FB8_E22F_493D_9738_D2929A9FF882_.wvu.Cols" localSheetId="7" hidden="1">Toolchain_Management_Regression!#REF!</definedName>
    <definedName name="Z_4DB68FB8_E22F_493D_9738_D2929A9FF882_.wvu.FilterData" localSheetId="6" hidden="1">CustomPhases!$A$13:$Q$33</definedName>
    <definedName name="Z_4DB68FB8_E22F_493D_9738_D2929A9FF882_.wvu.FilterData" localSheetId="7" hidden="1">Toolchain_Management_Regression!$B$13:$DV$47</definedName>
    <definedName name="Z_4DF29426_9B1B_454C_A532_6781BAFA0744_.wvu.Cols" localSheetId="2" hidden="1">Builder_Common!$F:$R,Builder_Common!$W:$Z</definedName>
    <definedName name="Z_4DF29426_9B1B_454C_A532_6781BAFA0744_.wvu.FilterData" localSheetId="2" hidden="1">Builder_Common!$A$13:$V$182</definedName>
    <definedName name="Z_4DF29426_9B1B_454C_A532_6781BAFA0744_.wvu.FilterData" localSheetId="3" hidden="1">Builder_Enhancement_3.1!$L$13:$Q$136</definedName>
    <definedName name="Z_4DF29426_9B1B_454C_A532_6781BAFA0744_.wvu.FilterData" localSheetId="5" hidden="1">'Builder_Rename&amp;ImportProject'!$A$13:$AJ$41</definedName>
    <definedName name="Z_4DF29426_9B1B_454C_A532_6781BAFA0744_.wvu.FilterData" localSheetId="4" hidden="1">Builder_SimultaneousBuild!$L$13:$R$77</definedName>
    <definedName name="Z_4F59F6C9_A944_45E3_A0A2_274FC2127A78_.wvu.FilterData" localSheetId="7" hidden="1">Toolchain_Management_Regression!$B$13:$DV$47</definedName>
    <definedName name="Z_4FFAF2F7_BAAD_4345_B530_6A8AF7A8AFCB_.wvu.FilterData" localSheetId="2" hidden="1">Builder_Common!$A$13:$R$158</definedName>
    <definedName name="Z_4FFAF2F7_BAAD_4345_B530_6A8AF7A8AFCB_.wvu.FilterData" localSheetId="5" hidden="1">'Builder_Rename&amp;ImportProject'!$L$1:$L$41</definedName>
    <definedName name="Z_5064A0A1_75B9_45F8_B2E7_DBDBAEC8F3F2_.wvu.FilterData" localSheetId="2" hidden="1">Builder_Common!$A$13:$L$158</definedName>
    <definedName name="Z_5064A0A1_75B9_45F8_B2E7_DBDBAEC8F3F2_.wvu.FilterData" localSheetId="3" hidden="1">Builder_Enhancement_3.1!$A$13:$L$136</definedName>
    <definedName name="Z_5064A0A1_75B9_45F8_B2E7_DBDBAEC8F3F2_.wvu.FilterData" localSheetId="5" hidden="1">'Builder_Rename&amp;ImportProject'!$A$13:$L$41</definedName>
    <definedName name="Z_5064A0A1_75B9_45F8_B2E7_DBDBAEC8F3F2_.wvu.FilterData" localSheetId="4" hidden="1">Builder_SimultaneousBuild!$A$13:$L$77</definedName>
    <definedName name="Z_535D1494_F7A1_4372_8B70_2B747E7D5B17_.wvu.FilterData" localSheetId="6" hidden="1">CustomPhases!$A$13:$AJ$33</definedName>
    <definedName name="Z_535D1494_F7A1_4372_8B70_2B747E7D5B17_.wvu.FilterData" localSheetId="7" hidden="1">Toolchain_Management_Regression!$A$12:$DV$47</definedName>
    <definedName name="Z_55037B48_ED10_4043_B79F_66545336B6C5_.wvu.FilterData" localSheetId="3" hidden="1">Builder_Enhancement_3.1!$A$13:$Z$136</definedName>
    <definedName name="Z_58FC426B_0BEF_441D_8C31_7C721F225909_.wvu.FilterData" localSheetId="6" hidden="1">CustomPhases!$A$13:$Q$33</definedName>
    <definedName name="Z_5A04E6A6_D4FC_4FF1_B027_CF3A826B2CA4_.wvu.Cols" localSheetId="2" hidden="1">Builder_Common!$S:$Z</definedName>
    <definedName name="Z_5A04E6A6_D4FC_4FF1_B027_CF3A826B2CA4_.wvu.FilterData" localSheetId="2" hidden="1">Builder_Common!$A$13:$V$182</definedName>
    <definedName name="Z_5A04E6A6_D4FC_4FF1_B027_CF3A826B2CA4_.wvu.FilterData" localSheetId="3" hidden="1">Builder_Enhancement_3.1!$A$13:$M$136</definedName>
    <definedName name="Z_5A04E6A6_D4FC_4FF1_B027_CF3A826B2CA4_.wvu.FilterData" localSheetId="5" hidden="1">'Builder_Rename&amp;ImportProject'!$A$13:$AJ$41</definedName>
    <definedName name="Z_5A04E6A6_D4FC_4FF1_B027_CF3A826B2CA4_.wvu.FilterData" localSheetId="4" hidden="1">Builder_SimultaneousBuild!$A$13:$M$77</definedName>
    <definedName name="Z_5CC311B1_8188_49C1_8E55_32E989D271DF_.wvu.FilterData" localSheetId="2" hidden="1">Builder_Common!$A$13:$Z$158</definedName>
    <definedName name="Z_5CC311B1_8188_49C1_8E55_32E989D271DF_.wvu.FilterData" localSheetId="3" hidden="1">Builder_Enhancement_3.1!$A$13:$Z$136</definedName>
    <definedName name="Z_5CC311B1_8188_49C1_8E55_32E989D271DF_.wvu.FilterData" localSheetId="4" hidden="1">Builder_SimultaneousBuild!$A$13:$Z$77</definedName>
    <definedName name="Z_5E319DC9_2506_4074_A8E3_52F1C51C0787_.wvu.Cols" localSheetId="6" hidden="1">CustomPhases!$O:$R</definedName>
    <definedName name="Z_5E319DC9_2506_4074_A8E3_52F1C51C0787_.wvu.Cols" localSheetId="7" hidden="1">Toolchain_Management_Regression!$O:$R</definedName>
    <definedName name="Z_5E319DC9_2506_4074_A8E3_52F1C51C0787_.wvu.FilterData" localSheetId="6" hidden="1">CustomPhases!$A$13:$Q$33</definedName>
    <definedName name="Z_5E319DC9_2506_4074_A8E3_52F1C51C0787_.wvu.FilterData" localSheetId="7" hidden="1">Toolchain_Management_Regression!$B$13:$DV$47</definedName>
    <definedName name="Z_5E9A0A79_066F_4331_9CD1_29B26D7864AA_.wvu.FilterData" localSheetId="5" hidden="1">'Builder_Rename&amp;ImportProject'!$L$1:$L$41</definedName>
    <definedName name="Z_63315294_2D2F_43D7_B4D8_78C7476EA9A5_.wvu.FilterData" localSheetId="2" hidden="1">Builder_Common!$B$13:$L$158</definedName>
    <definedName name="Z_63315294_2D2F_43D7_B4D8_78C7476EA9A5_.wvu.FilterData" localSheetId="3" hidden="1">Builder_Enhancement_3.1!$B$13:$L$136</definedName>
    <definedName name="Z_63315294_2D2F_43D7_B4D8_78C7476EA9A5_.wvu.FilterData" localSheetId="5" hidden="1">'Builder_Rename&amp;ImportProject'!$B$13:$L$41</definedName>
    <definedName name="Z_63315294_2D2F_43D7_B4D8_78C7476EA9A5_.wvu.FilterData" localSheetId="4" hidden="1">Builder_SimultaneousBuild!$B$13:$L$77</definedName>
    <definedName name="Z_6590E41B_EE07_42ED_BB31_6C8312A0EFAC_.wvu.FilterData" localSheetId="4" hidden="1">Builder_SimultaneousBuild!$B$13:$R$77</definedName>
    <definedName name="Z_674F19F5_A1B8_42D9_A115_AF265F9DC29E_.wvu.FilterData" localSheetId="6" hidden="1">CustomPhases!$A$13:$Q$33</definedName>
    <definedName name="Z_6921BBDC_7678_4764_9E82_8B2B8D30B844_.wvu.FilterData" localSheetId="7" hidden="1">Toolchain_Management_Regression!$B$13:$DV$47</definedName>
    <definedName name="Z_69800E05_0A9C_4101_9BAE_555D04E227D3_.wvu.FilterData" localSheetId="7" hidden="1">Toolchain_Management_Regression!$B$13:$DV$47</definedName>
    <definedName name="Z_6ACEECF8_52B0_4A1D_A146_2419035F2978_.wvu.FilterData" localSheetId="2" hidden="1">Builder_Common!$A$13:$R$158</definedName>
    <definedName name="Z_6ACEECF8_52B0_4A1D_A146_2419035F2978_.wvu.FilterData" localSheetId="3" hidden="1">Builder_Enhancement_3.1!$A$13:$R$136</definedName>
    <definedName name="Z_70E3A17C_9EF5_47BC_A14A_77BF121FBBF0_.wvu.FilterData" localSheetId="3" hidden="1">Builder_Enhancement_3.1!$A$13:$R$136</definedName>
    <definedName name="Z_74108F7E_7C76_4ED5_ACF1_28BF7DFCAEE0_.wvu.FilterData" localSheetId="2" hidden="1">Builder_Common!$B$13:$L$158</definedName>
    <definedName name="Z_74108F7E_7C76_4ED5_ACF1_28BF7DFCAEE0_.wvu.FilterData" localSheetId="3" hidden="1">Builder_Enhancement_3.1!$B$13:$L$136</definedName>
    <definedName name="Z_74108F7E_7C76_4ED5_ACF1_28BF7DFCAEE0_.wvu.FilterData" localSheetId="5" hidden="1">'Builder_Rename&amp;ImportProject'!$B$13:$L$41</definedName>
    <definedName name="Z_74108F7E_7C76_4ED5_ACF1_28BF7DFCAEE0_.wvu.FilterData" localSheetId="4" hidden="1">Builder_SimultaneousBuild!$B$13:$L$77</definedName>
    <definedName name="Z_745F5546_95E7_4495_B5B6_0193469C296E_.wvu.FilterData" localSheetId="6" hidden="1">CustomPhases!$A$13:$Q$33</definedName>
    <definedName name="Z_745F5546_95E7_4495_B5B6_0193469C296E_.wvu.FilterData" localSheetId="7" hidden="1">Toolchain_Management_Regression!$B$13:$DV$47</definedName>
    <definedName name="Z_76C3DF90_D4FB_4314_888D_D1C534253E1A_.wvu.FilterData" localSheetId="6" hidden="1">CustomPhases!$A$13:$Q$33</definedName>
    <definedName name="Z_76C3DF90_D4FB_4314_888D_D1C534253E1A_.wvu.FilterData" localSheetId="7" hidden="1">Toolchain_Management_Regression!$B$13:$DV$47</definedName>
    <definedName name="Z_77DE92C7_2576_456E_8E17_DAF8E79F3C75_.wvu.FilterData" localSheetId="4" hidden="1">Builder_SimultaneousBuild!$A$13:$M$77</definedName>
    <definedName name="Z_77FDA8EB_28E0_43F3_A8D9_E126F289F901_.wvu.FilterData" localSheetId="2" hidden="1">Builder_Common!$A$13:$V$158</definedName>
    <definedName name="Z_77FDA8EB_28E0_43F3_A8D9_E126F289F901_.wvu.FilterData" localSheetId="3" hidden="1">Builder_Enhancement_3.1!$A$13:$M$136</definedName>
    <definedName name="Z_77FDA8EB_28E0_43F3_A8D9_E126F289F901_.wvu.FilterData" localSheetId="5" hidden="1">'Builder_Rename&amp;ImportProject'!$B$13:$Z$13</definedName>
    <definedName name="Z_77FDA8EB_28E0_43F3_A8D9_E126F289F901_.wvu.FilterData" localSheetId="4" hidden="1">Builder_SimultaneousBuild!$A$13:$M$77</definedName>
    <definedName name="Z_7D56157B_FEA2_4A1A_B7ED_1EABE2FCE294_.wvu.FilterData" localSheetId="2" hidden="1">Builder_Common!$B$13:$L$158</definedName>
    <definedName name="Z_7D56157B_FEA2_4A1A_B7ED_1EABE2FCE294_.wvu.FilterData" localSheetId="3" hidden="1">Builder_Enhancement_3.1!$B$13:$L$136</definedName>
    <definedName name="Z_7D56157B_FEA2_4A1A_B7ED_1EABE2FCE294_.wvu.FilterData" localSheetId="5" hidden="1">'Builder_Rename&amp;ImportProject'!$B$13:$L$41</definedName>
    <definedName name="Z_7D56157B_FEA2_4A1A_B7ED_1EABE2FCE294_.wvu.FilterData" localSheetId="4" hidden="1">Builder_SimultaneousBuild!$B$13:$L$77</definedName>
    <definedName name="Z_812216DE_F750_4EA2_AFB2_66B28AD479EA_.wvu.FilterData" localSheetId="4" hidden="1">Builder_SimultaneousBuild!$A$13:$Z$77</definedName>
    <definedName name="Z_82DE62E3_E076_4AE2_9490_4C6AB8F8BF62_.wvu.FilterData" localSheetId="2" hidden="1">Builder_Common!$A$13:$R$158</definedName>
    <definedName name="Z_82DE62E3_E076_4AE2_9490_4C6AB8F8BF62_.wvu.FilterData" localSheetId="3" hidden="1">Builder_Enhancement_3.1!$A$13:$R$136</definedName>
    <definedName name="Z_82DE62E3_E076_4AE2_9490_4C6AB8F8BF62_.wvu.FilterData" localSheetId="5" hidden="1">'Builder_Rename&amp;ImportProject'!$A$13:$M$41</definedName>
    <definedName name="Z_82DE62E3_E076_4AE2_9490_4C6AB8F8BF62_.wvu.FilterData" localSheetId="4" hidden="1">Builder_SimultaneousBuild!$A$13:$M$13</definedName>
    <definedName name="Z_83D04BB6_207F_4088_8768_8D9EA977EB8D_.wvu.Cols" localSheetId="6" hidden="1">CustomPhases!$O:$R</definedName>
    <definedName name="Z_83D04BB6_207F_4088_8768_8D9EA977EB8D_.wvu.Cols" localSheetId="7" hidden="1">Toolchain_Management_Regression!$O:$R</definedName>
    <definedName name="Z_83D04BB6_207F_4088_8768_8D9EA977EB8D_.wvu.FilterData" localSheetId="6" hidden="1">CustomPhases!$A$13:$Q$33</definedName>
    <definedName name="Z_83D04BB6_207F_4088_8768_8D9EA977EB8D_.wvu.FilterData" localSheetId="7" hidden="1">Toolchain_Management_Regression!$B$13:$R$47</definedName>
    <definedName name="Z_8697EBA4_6A07_4D81_83CE_ED97AB6711D1_.wvu.FilterData" localSheetId="2" hidden="1">Builder_Common!$B$13:$L$158</definedName>
    <definedName name="Z_8697EBA4_6A07_4D81_83CE_ED97AB6711D1_.wvu.FilterData" localSheetId="3" hidden="1">Builder_Enhancement_3.1!$B$13:$L$136</definedName>
    <definedName name="Z_8697EBA4_6A07_4D81_83CE_ED97AB6711D1_.wvu.FilterData" localSheetId="5" hidden="1">'Builder_Rename&amp;ImportProject'!$B$13:$L$41</definedName>
    <definedName name="Z_8697EBA4_6A07_4D81_83CE_ED97AB6711D1_.wvu.FilterData" localSheetId="4" hidden="1">Builder_SimultaneousBuild!$B$13:$L$77</definedName>
    <definedName name="Z_86B74088_7C3B_4E83_BA6A_EBD043447E30_.wvu.FilterData" localSheetId="2" hidden="1">Builder_Common!$A$13:$R$158</definedName>
    <definedName name="Z_86B74088_7C3B_4E83_BA6A_EBD043447E30_.wvu.FilterData" localSheetId="4" hidden="1">Builder_SimultaneousBuild!$B$13:$R$77</definedName>
    <definedName name="Z_8D14804A_F03D_4B08_BF22_9B3B501E13F2_.wvu.FilterData" localSheetId="2" hidden="1">Builder_Common!$A$13:$V$182</definedName>
    <definedName name="Z_8D14804A_F03D_4B08_BF22_9B3B501E13F2_.wvu.FilterData" localSheetId="3" hidden="1">Builder_Enhancement_3.1!$A$13:$M$136</definedName>
    <definedName name="Z_8D14804A_F03D_4B08_BF22_9B3B501E13F2_.wvu.FilterData" localSheetId="5" hidden="1">'Builder_Rename&amp;ImportProject'!$A$13:$AJ$41</definedName>
    <definedName name="Z_8D14804A_F03D_4B08_BF22_9B3B501E13F2_.wvu.FilterData" localSheetId="4" hidden="1">Builder_SimultaneousBuild!$A$13:$M$77</definedName>
    <definedName name="Z_90AFCDE6_FD39_4799_A5E9_FD8EDB205CCF_.wvu.FilterData" localSheetId="6" hidden="1">CustomPhases!$A$13:$Q$33</definedName>
    <definedName name="Z_97B0AC2D_3D8D_42FA_B8E2_E1C2A5AF74F7_.wvu.FilterData" localSheetId="2" hidden="1">Builder_Common!$A$13:$V$182</definedName>
    <definedName name="Z_97B0AC2D_3D8D_42FA_B8E2_E1C2A5AF74F7_.wvu.FilterData" localSheetId="3" hidden="1">Builder_Enhancement_3.1!$A$13:$M$136</definedName>
    <definedName name="Z_97B0AC2D_3D8D_42FA_B8E2_E1C2A5AF74F7_.wvu.FilterData" localSheetId="5" hidden="1">'Builder_Rename&amp;ImportProject'!$A$13:$AJ$13</definedName>
    <definedName name="Z_97B0AC2D_3D8D_42FA_B8E2_E1C2A5AF74F7_.wvu.FilterData" localSheetId="4" hidden="1">Builder_SimultaneousBuild!$A$13:$Z$77</definedName>
    <definedName name="Z_97BD5BD2_6F17_419F_B89F_FB9FAAA5102A_.wvu.FilterData" localSheetId="2" hidden="1">Builder_Common!$B$13:$L$158</definedName>
    <definedName name="Z_97BD5BD2_6F17_419F_B89F_FB9FAAA5102A_.wvu.FilterData" localSheetId="3" hidden="1">Builder_Enhancement_3.1!$B$13:$L$136</definedName>
    <definedName name="Z_97BD5BD2_6F17_419F_B89F_FB9FAAA5102A_.wvu.FilterData" localSheetId="5" hidden="1">'Builder_Rename&amp;ImportProject'!$B$13:$L$41</definedName>
    <definedName name="Z_97BD5BD2_6F17_419F_B89F_FB9FAAA5102A_.wvu.FilterData" localSheetId="4" hidden="1">Builder_SimultaneousBuild!$B$13:$L$77</definedName>
    <definedName name="Z_9C4BA17F_F442_45F9_A1D9_CC82A10A473F_.wvu.FilterData" localSheetId="5" hidden="1">'Builder_Rename&amp;ImportProject'!$L$1:$L$41</definedName>
    <definedName name="Z_9F2E75DB_D5B1_4AEC_85FB_5302A8A04D41_.wvu.FilterData" localSheetId="7" hidden="1">Toolchain_Management_Regression!$B$13:$DV$47</definedName>
    <definedName name="Z_A09767EA_3BA8_4419_B29B_C3BE0387F07B_.wvu.FilterData" localSheetId="2" hidden="1">Builder_Common!$B$13:$L$158</definedName>
    <definedName name="Z_A09767EA_3BA8_4419_B29B_C3BE0387F07B_.wvu.FilterData" localSheetId="3" hidden="1">Builder_Enhancement_3.1!$B$13:$L$136</definedName>
    <definedName name="Z_A09767EA_3BA8_4419_B29B_C3BE0387F07B_.wvu.FilterData" localSheetId="5" hidden="1">'Builder_Rename&amp;ImportProject'!$B$13:$L$41</definedName>
    <definedName name="Z_A09767EA_3BA8_4419_B29B_C3BE0387F07B_.wvu.FilterData" localSheetId="4" hidden="1">Builder_SimultaneousBuild!$B$13:$L$77</definedName>
    <definedName name="Z_A41F28C8_6031_4F8E_8F66_F363B77122A3_.wvu.FilterData" localSheetId="6" hidden="1">CustomPhases!$A$13:$Q$33</definedName>
    <definedName name="Z_A60AF048_FCD6_41A2_BE35_F2E64B3C4363_.wvu.FilterData" localSheetId="6" hidden="1">CustomPhases!$A$13:$Q$33</definedName>
    <definedName name="Z_A85CB716_07D4_4782_826C_68DA07C01956_.wvu.FilterData" localSheetId="2" hidden="1">Builder_Common!$B$13:$L$158</definedName>
    <definedName name="Z_A85CB716_07D4_4782_826C_68DA07C01956_.wvu.FilterData" localSheetId="3" hidden="1">Builder_Enhancement_3.1!$B$13:$L$136</definedName>
    <definedName name="Z_A85CB716_07D4_4782_826C_68DA07C01956_.wvu.FilterData" localSheetId="5" hidden="1">'Builder_Rename&amp;ImportProject'!$B$13:$L$41</definedName>
    <definedName name="Z_A85CB716_07D4_4782_826C_68DA07C01956_.wvu.FilterData" localSheetId="4" hidden="1">Builder_SimultaneousBuild!$B$13:$L$77</definedName>
    <definedName name="Z_AA65C31E_5346_4934_BA3B_0180D39AA4DA_.wvu.FilterData" localSheetId="7" hidden="1">Toolchain_Management_Regression!$B$13:$DV$47</definedName>
    <definedName name="Z_AAC70673_DB6A_431F_A3D8_641F4AF4491A_.wvu.FilterData" localSheetId="3" hidden="1">Builder_Enhancement_3.1!$A$13:$R$136</definedName>
    <definedName name="Z_AAF8D81E_F08D_431C_A124_EEAC4A969073_.wvu.FilterData" localSheetId="7" hidden="1">Toolchain_Management_Regression!$B$13:$DV$47</definedName>
    <definedName name="Z_ABD7AC12_46BD_4DEA_B7D0_01E98A32801C_.wvu.FilterData" localSheetId="6" hidden="1">CustomPhases!$A$13:$Q$33</definedName>
    <definedName name="Z_AE82627A_7307_4781_B10A_1BAD582ACC8F_.wvu.FilterData" localSheetId="2" hidden="1">Builder_Common!$A$13:$R$158</definedName>
    <definedName name="Z_AE82627A_7307_4781_B10A_1BAD582ACC8F_.wvu.FilterData" localSheetId="3" hidden="1">Builder_Enhancement_3.1!$B$13:$R$136</definedName>
    <definedName name="Z_AE82627A_7307_4781_B10A_1BAD582ACC8F_.wvu.FilterData" localSheetId="5" hidden="1">'Builder_Rename&amp;ImportProject'!$B$13:$R$41</definedName>
    <definedName name="Z_AE82627A_7307_4781_B10A_1BAD582ACC8F_.wvu.FilterData" localSheetId="4" hidden="1">Builder_SimultaneousBuild!$B$13:$R$77</definedName>
    <definedName name="Z_B1C18F2C_D037_4E9F_9733_53B162D87F41_.wvu.FilterData" localSheetId="2" hidden="1">Builder_Common!$A$13:$V$158</definedName>
    <definedName name="Z_B1C18F2C_D037_4E9F_9733_53B162D87F41_.wvu.FilterData" localSheetId="5" hidden="1">'Builder_Rename&amp;ImportProject'!$A$13:$Z$41</definedName>
    <definedName name="Z_B1C18F2C_D037_4E9F_9733_53B162D87F41_.wvu.FilterData" localSheetId="4" hidden="1">Builder_SimultaneousBuild!$A$13:$M$77</definedName>
    <definedName name="Z_B4651AA6_FFC3_4091_9F40_774AAD147977_.wvu.FilterData" localSheetId="7" hidden="1">Toolchain_Management_Regression!$B$13:$DV$47</definedName>
    <definedName name="Z_B4E261AB_0BA0_4F19_8D1A_FD3346AC787E_.wvu.Cols" localSheetId="6" hidden="1">CustomPhases!$O:$R</definedName>
    <definedName name="Z_B4E261AB_0BA0_4F19_8D1A_FD3346AC787E_.wvu.Cols" localSheetId="7" hidden="1">Toolchain_Management_Regression!$O:$R</definedName>
    <definedName name="Z_B4E261AB_0BA0_4F19_8D1A_FD3346AC787E_.wvu.FilterData" localSheetId="6" hidden="1">CustomPhases!$A$13:$Q$33</definedName>
    <definedName name="Z_B4E261AB_0BA0_4F19_8D1A_FD3346AC787E_.wvu.FilterData" localSheetId="7" hidden="1">Toolchain_Management_Regression!$B$13:$DV$47</definedName>
    <definedName name="Z_B816CD73_FF54_4146_8317_A63FBAC33A0A_.wvu.FilterData" localSheetId="5" hidden="1">'Builder_Rename&amp;ImportProject'!$L$1:$L$41</definedName>
    <definedName name="Z_B90B053D_7223_4A04_9A54_9890E9718317_.wvu.FilterData" localSheetId="2" hidden="1">Builder_Common!$A$13:$L$158</definedName>
    <definedName name="Z_B90B053D_7223_4A04_9A54_9890E9718317_.wvu.FilterData" localSheetId="3" hidden="1">Builder_Enhancement_3.1!$A$13:$L$136</definedName>
    <definedName name="Z_B90B053D_7223_4A04_9A54_9890E9718317_.wvu.FilterData" localSheetId="5" hidden="1">'Builder_Rename&amp;ImportProject'!$A$13:$L$41</definedName>
    <definedName name="Z_B90B053D_7223_4A04_9A54_9890E9718317_.wvu.FilterData" localSheetId="4" hidden="1">Builder_SimultaneousBuild!$A$13:$L$77</definedName>
    <definedName name="Z_BBED2D29_DE67_411E_BFEE_6DFC75F93CAA_.wvu.FilterData" localSheetId="2" hidden="1">Builder_Common!$B$13:$L$158</definedName>
    <definedName name="Z_BBED2D29_DE67_411E_BFEE_6DFC75F93CAA_.wvu.FilterData" localSheetId="3" hidden="1">Builder_Enhancement_3.1!$B$13:$L$136</definedName>
    <definedName name="Z_BBED2D29_DE67_411E_BFEE_6DFC75F93CAA_.wvu.FilterData" localSheetId="5" hidden="1">'Builder_Rename&amp;ImportProject'!$B$13:$L$41</definedName>
    <definedName name="Z_BBED2D29_DE67_411E_BFEE_6DFC75F93CAA_.wvu.FilterData" localSheetId="4" hidden="1">Builder_SimultaneousBuild!$B$13:$L$77</definedName>
    <definedName name="Z_BC746894_56F9_44FC_AF8C_75226BCDCA83_.wvu.FilterData" localSheetId="2" hidden="1">Builder_Common!$B$13:$L$158</definedName>
    <definedName name="Z_BC746894_56F9_44FC_AF8C_75226BCDCA83_.wvu.FilterData" localSheetId="3" hidden="1">Builder_Enhancement_3.1!$B$13:$L$136</definedName>
    <definedName name="Z_BC746894_56F9_44FC_AF8C_75226BCDCA83_.wvu.FilterData" localSheetId="5" hidden="1">'Builder_Rename&amp;ImportProject'!$B$13:$L$41</definedName>
    <definedName name="Z_BC746894_56F9_44FC_AF8C_75226BCDCA83_.wvu.FilterData" localSheetId="4" hidden="1">Builder_SimultaneousBuild!$B$13:$L$77</definedName>
    <definedName name="Z_BCEF21D3_02A8_4A07_A565_33263278C80F_.wvu.FilterData" localSheetId="2" hidden="1">Builder_Common!$B$13:$L$158</definedName>
    <definedName name="Z_BCEF21D3_02A8_4A07_A565_33263278C80F_.wvu.FilterData" localSheetId="3" hidden="1">Builder_Enhancement_3.1!$B$13:$L$136</definedName>
    <definedName name="Z_BCEF21D3_02A8_4A07_A565_33263278C80F_.wvu.FilterData" localSheetId="5" hidden="1">'Builder_Rename&amp;ImportProject'!$B$13:$L$41</definedName>
    <definedName name="Z_BCEF21D3_02A8_4A07_A565_33263278C80F_.wvu.FilterData" localSheetId="4" hidden="1">Builder_SimultaneousBuild!$B$13:$L$77</definedName>
    <definedName name="Z_C2E81D26_3F01_4021_9184_BF25C82E98C8_.wvu.FilterData" localSheetId="2" hidden="1">Builder_Common!$A$13:$R$158</definedName>
    <definedName name="Z_C2E81D26_3F01_4021_9184_BF25C82E98C8_.wvu.FilterData" localSheetId="3" hidden="1">Builder_Enhancement_3.1!$B$13:$R$136</definedName>
    <definedName name="Z_C2E81D26_3F01_4021_9184_BF25C82E98C8_.wvu.FilterData" localSheetId="5" hidden="1">'Builder_Rename&amp;ImportProject'!$B$13:$R$41</definedName>
    <definedName name="Z_C2E81D26_3F01_4021_9184_BF25C82E98C8_.wvu.FilterData" localSheetId="4" hidden="1">Builder_SimultaneousBuild!$B$13:$R$77</definedName>
    <definedName name="Z_C4948B3D_9A24_46D3_931E_DE481A6788B0_.wvu.FilterData" localSheetId="2" hidden="1">Builder_Common!$A$13:$V$158</definedName>
    <definedName name="Z_C4948B3D_9A24_46D3_931E_DE481A6788B0_.wvu.FilterData" localSheetId="3" hidden="1">Builder_Enhancement_3.1!$A$13:$Z$136</definedName>
    <definedName name="Z_C4948B3D_9A24_46D3_931E_DE481A6788B0_.wvu.FilterData" localSheetId="5" hidden="1">'Builder_Rename&amp;ImportProject'!$A$13:$Z$41</definedName>
    <definedName name="Z_C4948B3D_9A24_46D3_931E_DE481A6788B0_.wvu.FilterData" localSheetId="4" hidden="1">Builder_SimultaneousBuild!$A$13:$M$77</definedName>
    <definedName name="Z_C66DE955_705D_49DE_8933_360E54B2112C_.wvu.FilterData" localSheetId="7" hidden="1">Toolchain_Management_Regression!$S$13:$V$47</definedName>
    <definedName name="Z_C912620A_8A98_4792_A9B0_9AF970990DC4_.wvu.FilterData" localSheetId="2" hidden="1">Builder_Common!$A$13:$R$158</definedName>
    <definedName name="Z_C912620A_8A98_4792_A9B0_9AF970990DC4_.wvu.FilterData" localSheetId="4" hidden="1">Builder_SimultaneousBuild!$A$13:$R$77</definedName>
    <definedName name="Z_CAD6A0BF_EF3E_4DDE_B63E_CD52E4F19DA0_.wvu.FilterData" localSheetId="2" hidden="1">Builder_Common!$B$13:$L$158</definedName>
    <definedName name="Z_CAD6A0BF_EF3E_4DDE_B63E_CD52E4F19DA0_.wvu.FilterData" localSheetId="3" hidden="1">Builder_Enhancement_3.1!$B$13:$L$136</definedName>
    <definedName name="Z_CAD6A0BF_EF3E_4DDE_B63E_CD52E4F19DA0_.wvu.FilterData" localSheetId="5" hidden="1">'Builder_Rename&amp;ImportProject'!$B$13:$L$41</definedName>
    <definedName name="Z_CAD6A0BF_EF3E_4DDE_B63E_CD52E4F19DA0_.wvu.FilterData" localSheetId="4" hidden="1">Builder_SimultaneousBuild!$B$13:$L$77</definedName>
    <definedName name="Z_CDEDFB69_6771_48B7_9121_1804B8680426_.wvu.FilterData" localSheetId="6" hidden="1">CustomPhases!$A$13:$Q$33</definedName>
    <definedName name="Z_CDEDFB69_6771_48B7_9121_1804B8680426_.wvu.FilterData" localSheetId="7" hidden="1">Toolchain_Management_Regression!$B$13:$DV$47</definedName>
    <definedName name="Z_CE315ACC_1295_4459_A1A9_5B9BF751A24A_.wvu.FilterData" localSheetId="2" hidden="1">Builder_Common!$B$13:$L$158</definedName>
    <definedName name="Z_CE315ACC_1295_4459_A1A9_5B9BF751A24A_.wvu.FilterData" localSheetId="3" hidden="1">Builder_Enhancement_3.1!$B$13:$L$136</definedName>
    <definedName name="Z_CE315ACC_1295_4459_A1A9_5B9BF751A24A_.wvu.FilterData" localSheetId="5" hidden="1">'Builder_Rename&amp;ImportProject'!$B$13:$L$41</definedName>
    <definedName name="Z_CE315ACC_1295_4459_A1A9_5B9BF751A24A_.wvu.FilterData" localSheetId="4" hidden="1">Builder_SimultaneousBuild!$B$13:$L$77</definedName>
    <definedName name="Z_D20BB616_6F9C_44AA_BBE8_41B94D62AA4E_.wvu.FilterData" localSheetId="2" hidden="1">Builder_Common!$B$13:$L$158</definedName>
    <definedName name="Z_D20BB616_6F9C_44AA_BBE8_41B94D62AA4E_.wvu.FilterData" localSheetId="3" hidden="1">Builder_Enhancement_3.1!$B$13:$L$136</definedName>
    <definedName name="Z_D20BB616_6F9C_44AA_BBE8_41B94D62AA4E_.wvu.FilterData" localSheetId="5" hidden="1">'Builder_Rename&amp;ImportProject'!$B$13:$L$41</definedName>
    <definedName name="Z_D20BB616_6F9C_44AA_BBE8_41B94D62AA4E_.wvu.FilterData" localSheetId="4" hidden="1">Builder_SimultaneousBuild!$B$13:$L$77</definedName>
    <definedName name="Z_D39FE61B_71C9_46AA_9712_F228892DAE09_.wvu.FilterData" localSheetId="2" hidden="1">Builder_Common!$A$13:$V$158</definedName>
    <definedName name="Z_D775420B_DDA5_49C5_8766_2290F03E9B0C_.wvu.Cols" localSheetId="7" hidden="1">Toolchain_Management_Regression!$S:$Z</definedName>
    <definedName name="Z_D775420B_DDA5_49C5_8766_2290F03E9B0C_.wvu.FilterData" localSheetId="6" hidden="1">CustomPhases!$A$13:$Q$33</definedName>
    <definedName name="Z_D775420B_DDA5_49C5_8766_2290F03E9B0C_.wvu.FilterData" localSheetId="7" hidden="1">Toolchain_Management_Regression!$A$12:$DV$47</definedName>
    <definedName name="Z_D815EF5D_500E_45D1_BCDE_77AC36EE8B61_.wvu.FilterData" localSheetId="2" hidden="1">Builder_Common!$A$13:$V$158</definedName>
    <definedName name="Z_D977A640_F34F_4508_BF99_F2EF281F6263_.wvu.Cols" localSheetId="6" hidden="1">CustomPhases!$O:$R</definedName>
    <definedName name="Z_D977A640_F34F_4508_BF99_F2EF281F6263_.wvu.Cols" localSheetId="7" hidden="1">Toolchain_Management_Regression!$O:$R</definedName>
    <definedName name="Z_D977A640_F34F_4508_BF99_F2EF281F6263_.wvu.FilterData" localSheetId="6" hidden="1">CustomPhases!$A$13:$Q$33</definedName>
    <definedName name="Z_D977A640_F34F_4508_BF99_F2EF281F6263_.wvu.FilterData" localSheetId="7" hidden="1">Toolchain_Management_Regression!$B$13:$R$47</definedName>
    <definedName name="Z_DB5E4049_E4F1_480C_AEF7_92DF1022BBB3_.wvu.FilterData" localSheetId="7" hidden="1">Toolchain_Management_Regression!$B$13:$DV$47</definedName>
    <definedName name="Z_DCE0A7AE_FA8B_49AE_B0CE_90D3D1789D6E_.wvu.FilterData" localSheetId="2" hidden="1">Builder_Common!$B$13:$L$158</definedName>
    <definedName name="Z_DCE0A7AE_FA8B_49AE_B0CE_90D3D1789D6E_.wvu.FilterData" localSheetId="3" hidden="1">Builder_Enhancement_3.1!$B$13:$L$136</definedName>
    <definedName name="Z_DCE0A7AE_FA8B_49AE_B0CE_90D3D1789D6E_.wvu.FilterData" localSheetId="5" hidden="1">'Builder_Rename&amp;ImportProject'!$B$13:$L$41</definedName>
    <definedName name="Z_DCE0A7AE_FA8B_49AE_B0CE_90D3D1789D6E_.wvu.FilterData" localSheetId="4" hidden="1">Builder_SimultaneousBuild!$B$13:$L$77</definedName>
    <definedName name="Z_DFC61E31_58E0_4BC5_8E63_43274BD35A5A_.wvu.FilterData" localSheetId="2" hidden="1">Builder_Common!$B$13:$L$158</definedName>
    <definedName name="Z_DFC61E31_58E0_4BC5_8E63_43274BD35A5A_.wvu.FilterData" localSheetId="3" hidden="1">Builder_Enhancement_3.1!$B$13:$L$136</definedName>
    <definedName name="Z_DFC61E31_58E0_4BC5_8E63_43274BD35A5A_.wvu.FilterData" localSheetId="5" hidden="1">'Builder_Rename&amp;ImportProject'!$B$13:$L$41</definedName>
    <definedName name="Z_DFC61E31_58E0_4BC5_8E63_43274BD35A5A_.wvu.FilterData" localSheetId="4" hidden="1">Builder_SimultaneousBuild!$B$13:$L$77</definedName>
    <definedName name="Z_E21C8488_483C_451D_95B4_BDFB930A1025_.wvu.FilterData" localSheetId="2" hidden="1">Builder_Common!$A$13:$Z$158</definedName>
    <definedName name="Z_E48284F5_2395_44C2_8724_4AEA36E5E86B_.wvu.FilterData" localSheetId="7" hidden="1">Toolchain_Management_Regression!$B$13:$DV$47</definedName>
    <definedName name="Z_E6EF9DDD_39B7_432F_8D67_94F884284F92_.wvu.FilterData" localSheetId="6" hidden="1">CustomPhases!$A$13:$Q$33</definedName>
    <definedName name="Z_E6EF9DDD_39B7_432F_8D67_94F884284F92_.wvu.FilterData" localSheetId="7" hidden="1">Toolchain_Management_Regression!$B$13:$DV$47</definedName>
    <definedName name="Z_E9EB3E12_DBD8_445B_8DB8_BBF9FE80E8E5_.wvu.FilterData" localSheetId="2" hidden="1">Builder_Common!$A$13:$Z$158</definedName>
    <definedName name="Z_EDCB3AA9_82F4_42B2_82CD_0F754C2425A7_.wvu.FilterData" localSheetId="2" hidden="1">Builder_Common!$B$13:$L$158</definedName>
    <definedName name="Z_EDCB3AA9_82F4_42B2_82CD_0F754C2425A7_.wvu.FilterData" localSheetId="3" hidden="1">Builder_Enhancement_3.1!$B$13:$L$136</definedName>
    <definedName name="Z_EDCB3AA9_82F4_42B2_82CD_0F754C2425A7_.wvu.FilterData" localSheetId="5" hidden="1">'Builder_Rename&amp;ImportProject'!$B$13:$L$41</definedName>
    <definedName name="Z_EDCB3AA9_82F4_42B2_82CD_0F754C2425A7_.wvu.FilterData" localSheetId="4" hidden="1">Builder_SimultaneousBuild!$B$13:$L$77</definedName>
    <definedName name="Z_F4A22CDF_320A_4524_8059_36E3FA344159_.wvu.Cols" localSheetId="2" hidden="1">Builder_Common!$S:$Z</definedName>
    <definedName name="Z_F4A22CDF_320A_4524_8059_36E3FA344159_.wvu.FilterData" localSheetId="2" hidden="1">Builder_Common!$A$13:$V$182</definedName>
    <definedName name="Z_F4A22CDF_320A_4524_8059_36E3FA344159_.wvu.FilterData" localSheetId="3" hidden="1">Builder_Enhancement_3.1!$A$13:$M$136</definedName>
    <definedName name="Z_F4A22CDF_320A_4524_8059_36E3FA344159_.wvu.FilterData" localSheetId="5" hidden="1">'Builder_Rename&amp;ImportProject'!$A$13:$AJ$41</definedName>
    <definedName name="Z_F4A22CDF_320A_4524_8059_36E3FA344159_.wvu.FilterData" localSheetId="4" hidden="1">Builder_SimultaneousBuild!$A$13:$M$77</definedName>
    <definedName name="Z_F8622ABD_0ADB_4BEB_8407_9F4C7D04398A_.wvu.FilterData" localSheetId="2" hidden="1">Builder_Common!$B$13:$L$158</definedName>
    <definedName name="Z_F8622ABD_0ADB_4BEB_8407_9F4C7D04398A_.wvu.FilterData" localSheetId="3" hidden="1">Builder_Enhancement_3.1!$B$13:$L$136</definedName>
    <definedName name="Z_F8622ABD_0ADB_4BEB_8407_9F4C7D04398A_.wvu.FilterData" localSheetId="5" hidden="1">'Builder_Rename&amp;ImportProject'!$B$13:$L$41</definedName>
    <definedName name="Z_F8622ABD_0ADB_4BEB_8407_9F4C7D04398A_.wvu.FilterData" localSheetId="4" hidden="1">Builder_SimultaneousBuild!$B$13:$L$77</definedName>
    <definedName name="Z_FB3F1E23_CFD7_4FED_8303_E5DFA6D4C22C_.wvu.FilterData" localSheetId="7" hidden="1">Toolchain_Management_Regression!$B$13:$DV$47</definedName>
    <definedName name="Z_FB636AF6_81E2_480D_A179_F67CD081B9D0_.wvu.FilterData" localSheetId="2" hidden="1">Builder_Common!$B$13:$L$158</definedName>
    <definedName name="Z_FB636AF6_81E2_480D_A179_F67CD081B9D0_.wvu.FilterData" localSheetId="3" hidden="1">Builder_Enhancement_3.1!$B$13:$L$136</definedName>
    <definedName name="Z_FB636AF6_81E2_480D_A179_F67CD081B9D0_.wvu.FilterData" localSheetId="5" hidden="1">'Builder_Rename&amp;ImportProject'!$B$13:$L$41</definedName>
    <definedName name="Z_FB636AF6_81E2_480D_A179_F67CD081B9D0_.wvu.FilterData" localSheetId="4" hidden="1">Builder_SimultaneousBuild!$B$13:$L$77</definedName>
  </definedNames>
  <calcPr calcId="152511"/>
</workbook>
</file>

<file path=xl/calcChain.xml><?xml version="1.0" encoding="utf-8"?>
<calcChain xmlns="http://schemas.openxmlformats.org/spreadsheetml/2006/main">
  <c r="AE12" i="11" l="1"/>
  <c r="AA12" i="11"/>
  <c r="W12" i="11"/>
  <c r="S12" i="11"/>
  <c r="AN2" i="11"/>
  <c r="AE12" i="7"/>
  <c r="AA12" i="7"/>
  <c r="W12" i="7"/>
  <c r="O12" i="7"/>
  <c r="AN2" i="7"/>
  <c r="AE12" i="5"/>
  <c r="AA12" i="5"/>
  <c r="W12" i="5"/>
  <c r="S12" i="5"/>
  <c r="O12" i="5"/>
  <c r="AN2" i="5"/>
  <c r="AE12" i="4"/>
  <c r="AA12" i="4"/>
  <c r="W12" i="4"/>
  <c r="S12" i="4"/>
  <c r="AN2" i="4"/>
  <c r="AE12" i="6"/>
  <c r="AA12" i="6"/>
  <c r="W12" i="6"/>
  <c r="AN2" i="6"/>
  <c r="AE12" i="12"/>
  <c r="AA12" i="12"/>
  <c r="W12" i="12"/>
  <c r="O12" i="12"/>
  <c r="AN2" i="12"/>
  <c r="S12" i="12" l="1"/>
  <c r="S12" i="7" l="1"/>
  <c r="S12" i="6" l="1"/>
  <c r="AN182" i="12" l="1"/>
  <c r="AJ182" i="12"/>
  <c r="AN181" i="12"/>
  <c r="AJ181" i="12"/>
  <c r="AN180" i="12"/>
  <c r="AJ180" i="12"/>
  <c r="AN179" i="12"/>
  <c r="AJ179" i="12"/>
  <c r="AN178" i="12"/>
  <c r="AJ178" i="12"/>
  <c r="AN177" i="12"/>
  <c r="AJ177" i="12"/>
  <c r="AN176" i="12"/>
  <c r="AN175" i="12"/>
  <c r="AN174" i="12"/>
  <c r="AN173" i="12"/>
  <c r="AN172" i="12"/>
  <c r="AJ172" i="12"/>
  <c r="AN171" i="12"/>
  <c r="AJ171" i="12"/>
  <c r="AN170" i="12"/>
  <c r="AN169" i="12"/>
  <c r="AN168" i="12"/>
  <c r="AN167" i="12"/>
  <c r="AJ167" i="12"/>
  <c r="AN166" i="12"/>
  <c r="AJ166" i="12"/>
  <c r="AN165" i="12"/>
  <c r="AJ165" i="12"/>
  <c r="AN164" i="12"/>
  <c r="AJ164" i="12"/>
  <c r="AN163" i="12"/>
  <c r="AJ163" i="12"/>
  <c r="AN162" i="12"/>
  <c r="AJ162" i="12"/>
  <c r="AN161" i="12"/>
  <c r="AJ161" i="12"/>
  <c r="AN160" i="12"/>
  <c r="AJ160" i="12"/>
  <c r="AN159" i="12"/>
  <c r="AJ159" i="12"/>
  <c r="AN158" i="12"/>
  <c r="AJ158" i="12"/>
  <c r="AN157" i="12"/>
  <c r="AJ157" i="12"/>
  <c r="AN156" i="12"/>
  <c r="AJ156" i="12"/>
  <c r="AN155" i="12"/>
  <c r="AJ155" i="12"/>
  <c r="AN154" i="12"/>
  <c r="AJ154" i="12"/>
  <c r="AN153" i="12"/>
  <c r="AJ153" i="12"/>
  <c r="AN152" i="12"/>
  <c r="AJ152" i="12"/>
  <c r="AN151" i="12"/>
  <c r="AJ151" i="12"/>
  <c r="AN150" i="12"/>
  <c r="AJ150" i="12"/>
  <c r="AN149" i="12"/>
  <c r="AJ149" i="12"/>
  <c r="AN148" i="12"/>
  <c r="AJ148" i="12"/>
  <c r="AN147" i="12"/>
  <c r="AJ147" i="12"/>
  <c r="AN146" i="12"/>
  <c r="AJ146" i="12"/>
  <c r="AN145" i="12"/>
  <c r="AJ145" i="12"/>
  <c r="AN144" i="12"/>
  <c r="AJ144" i="12"/>
  <c r="AN143" i="12"/>
  <c r="AJ143" i="12"/>
  <c r="AN142" i="12"/>
  <c r="AJ142" i="12"/>
  <c r="AN141" i="12"/>
  <c r="AJ141" i="12"/>
  <c r="AN140" i="12"/>
  <c r="AJ140" i="12"/>
  <c r="AN139" i="12"/>
  <c r="AJ139" i="12"/>
  <c r="AN138" i="12"/>
  <c r="AJ138" i="12"/>
  <c r="AN137" i="12"/>
  <c r="AJ137" i="12"/>
  <c r="AN136" i="12"/>
  <c r="AJ136" i="12"/>
  <c r="AN135" i="12"/>
  <c r="AJ135" i="12"/>
  <c r="AN134" i="12"/>
  <c r="AJ134" i="12"/>
  <c r="AN133" i="12"/>
  <c r="AJ133" i="12"/>
  <c r="AN132" i="12"/>
  <c r="AJ132" i="12"/>
  <c r="AN131" i="12"/>
  <c r="AJ131" i="12"/>
  <c r="AN130" i="12"/>
  <c r="AJ130" i="12"/>
  <c r="AN129" i="12"/>
  <c r="AJ129" i="12"/>
  <c r="AN128" i="12"/>
  <c r="AJ128" i="12"/>
  <c r="AN127" i="12"/>
  <c r="AJ127" i="12"/>
  <c r="AN126" i="12"/>
  <c r="AJ126" i="12"/>
  <c r="AN125" i="12"/>
  <c r="AJ125" i="12"/>
  <c r="AN124" i="12"/>
  <c r="AJ124" i="12"/>
  <c r="AN123" i="12"/>
  <c r="AJ123" i="12"/>
  <c r="AN122" i="12"/>
  <c r="AJ122" i="12"/>
  <c r="AN121" i="12"/>
  <c r="AJ121" i="12"/>
  <c r="AN120" i="12"/>
  <c r="AJ120" i="12"/>
  <c r="AN119" i="12"/>
  <c r="AJ119" i="12"/>
  <c r="AN118" i="12"/>
  <c r="AJ118" i="12"/>
  <c r="AN117" i="12"/>
  <c r="AJ117" i="12"/>
  <c r="AN116" i="12"/>
  <c r="AJ116" i="12"/>
  <c r="AN115" i="12"/>
  <c r="AJ115" i="12"/>
  <c r="AN114" i="12"/>
  <c r="AJ114" i="12"/>
  <c r="AN113" i="12"/>
  <c r="AJ113" i="12"/>
  <c r="AN112" i="12"/>
  <c r="AJ112" i="12"/>
  <c r="AN111" i="12"/>
  <c r="AJ111" i="12"/>
  <c r="AN110" i="12"/>
  <c r="AJ110" i="12"/>
  <c r="AN109" i="12"/>
  <c r="AJ109" i="12"/>
  <c r="AN108" i="12"/>
  <c r="AJ108" i="12"/>
  <c r="AN107" i="12"/>
  <c r="AJ107" i="12"/>
  <c r="AN106" i="12"/>
  <c r="AJ106" i="12"/>
  <c r="AN105" i="12"/>
  <c r="AJ105" i="12"/>
  <c r="AN104" i="12"/>
  <c r="AJ104" i="12"/>
  <c r="AN103" i="12"/>
  <c r="AJ103" i="12"/>
  <c r="AN102" i="12"/>
  <c r="AJ102" i="12"/>
  <c r="AN101" i="12"/>
  <c r="AJ101" i="12"/>
  <c r="AN100" i="12"/>
  <c r="AJ100" i="12"/>
  <c r="AN99" i="12"/>
  <c r="AJ99" i="12"/>
  <c r="AN98" i="12"/>
  <c r="AJ98" i="12"/>
  <c r="AN97" i="12"/>
  <c r="AJ97" i="12"/>
  <c r="AN96" i="12"/>
  <c r="AJ96" i="12"/>
  <c r="AN95" i="12"/>
  <c r="AJ95" i="12"/>
  <c r="AN94" i="12"/>
  <c r="AJ94" i="12"/>
  <c r="AN93" i="12"/>
  <c r="AJ93" i="12"/>
  <c r="AN92" i="12"/>
  <c r="AJ92" i="12"/>
  <c r="AN91" i="12"/>
  <c r="AJ91" i="12"/>
  <c r="AN90" i="12"/>
  <c r="AJ90" i="12"/>
  <c r="AN89" i="12"/>
  <c r="AJ89" i="12"/>
  <c r="AN88" i="12"/>
  <c r="AJ88" i="12"/>
  <c r="AN87" i="12"/>
  <c r="AJ87" i="12"/>
  <c r="AN86" i="12"/>
  <c r="AJ86" i="12"/>
  <c r="AN85" i="12"/>
  <c r="AJ85" i="12"/>
  <c r="AN84" i="12"/>
  <c r="AJ84" i="12"/>
  <c r="AN83" i="12"/>
  <c r="AJ83" i="12"/>
  <c r="AN82" i="12"/>
  <c r="AJ82" i="12"/>
  <c r="AN81" i="12"/>
  <c r="AJ81" i="12"/>
  <c r="AN80" i="12"/>
  <c r="AJ80" i="12"/>
  <c r="AN79" i="12"/>
  <c r="AJ79" i="12"/>
  <c r="AN78" i="12"/>
  <c r="AJ78" i="12"/>
  <c r="AN77" i="12"/>
  <c r="AJ77" i="12"/>
  <c r="AN76" i="12"/>
  <c r="AJ76" i="12"/>
  <c r="AN75" i="12"/>
  <c r="AJ75" i="12"/>
  <c r="AN74" i="12"/>
  <c r="AJ74" i="12"/>
  <c r="AN73" i="12"/>
  <c r="AJ73" i="12"/>
  <c r="AN72" i="12"/>
  <c r="AJ72" i="12"/>
  <c r="AN71" i="12"/>
  <c r="AJ71" i="12"/>
  <c r="AN70" i="12"/>
  <c r="AJ70" i="12"/>
  <c r="AN69" i="12"/>
  <c r="AJ69" i="12"/>
  <c r="AN68" i="12"/>
  <c r="AJ68" i="12"/>
  <c r="AN67" i="12"/>
  <c r="AJ67" i="12"/>
  <c r="AN66" i="12"/>
  <c r="AJ66" i="12"/>
  <c r="AN65" i="12"/>
  <c r="AJ65" i="12"/>
  <c r="AN64" i="12"/>
  <c r="AJ64" i="12"/>
  <c r="AN63" i="12"/>
  <c r="AJ63" i="12"/>
  <c r="AN62" i="12"/>
  <c r="AJ62" i="12"/>
  <c r="AN61" i="12"/>
  <c r="AJ61" i="12"/>
  <c r="AN60" i="12"/>
  <c r="AJ60" i="12"/>
  <c r="AN59" i="12"/>
  <c r="AJ59" i="12"/>
  <c r="AN58" i="12"/>
  <c r="AJ58" i="12"/>
  <c r="AN57" i="12"/>
  <c r="AJ57" i="12"/>
  <c r="AN56" i="12"/>
  <c r="AJ56" i="12"/>
  <c r="AN55" i="12"/>
  <c r="AJ55" i="12"/>
  <c r="AN54" i="12"/>
  <c r="AJ54" i="12"/>
  <c r="AN53" i="12"/>
  <c r="AJ53" i="12"/>
  <c r="AN52" i="12"/>
  <c r="AJ52" i="12"/>
  <c r="AN51" i="12"/>
  <c r="AJ51" i="12"/>
  <c r="AN50" i="12"/>
  <c r="AJ50" i="12"/>
  <c r="AN49" i="12"/>
  <c r="AJ49" i="12"/>
  <c r="AN48" i="12"/>
  <c r="AJ48" i="12"/>
  <c r="AN47" i="12"/>
  <c r="AJ47" i="12"/>
  <c r="AN46" i="12"/>
  <c r="AJ46" i="12"/>
  <c r="AN45" i="12"/>
  <c r="AJ45" i="12"/>
  <c r="AN44" i="12"/>
  <c r="AJ44" i="12"/>
  <c r="AN43" i="12"/>
  <c r="AJ43" i="12"/>
  <c r="AN42" i="12"/>
  <c r="AJ42" i="12"/>
  <c r="AN41" i="12"/>
  <c r="AJ41" i="12"/>
  <c r="AN40" i="12"/>
  <c r="AJ40" i="12"/>
  <c r="AN39" i="12"/>
  <c r="AJ39" i="12"/>
  <c r="AN38" i="12"/>
  <c r="AJ38" i="12"/>
  <c r="AN37" i="12"/>
  <c r="AJ37" i="12"/>
  <c r="AN36" i="12"/>
  <c r="AJ36" i="12"/>
  <c r="AN35" i="12"/>
  <c r="AJ35" i="12"/>
  <c r="AN34" i="12"/>
  <c r="AJ34" i="12"/>
  <c r="AN33" i="12"/>
  <c r="AJ33" i="12"/>
  <c r="AN32" i="12"/>
  <c r="AJ32" i="12"/>
  <c r="AN31" i="12"/>
  <c r="AJ31" i="12"/>
  <c r="AN30" i="12"/>
  <c r="AJ30" i="12"/>
  <c r="AN29" i="12"/>
  <c r="AJ29" i="12"/>
  <c r="AN28" i="12"/>
  <c r="AJ28" i="12"/>
  <c r="AN27" i="12"/>
  <c r="AJ27" i="12"/>
  <c r="AN26" i="12"/>
  <c r="AJ26" i="12"/>
  <c r="AN25" i="12"/>
  <c r="AJ25" i="12"/>
  <c r="AN24" i="12"/>
  <c r="AJ24" i="12"/>
  <c r="AN23" i="12"/>
  <c r="AJ23" i="12"/>
  <c r="AN22" i="12"/>
  <c r="AJ22" i="12"/>
  <c r="AN21" i="12"/>
  <c r="AJ21" i="12"/>
  <c r="AN20" i="12"/>
  <c r="AJ20" i="12"/>
  <c r="AN19" i="12"/>
  <c r="AJ19" i="12"/>
  <c r="AN18" i="12"/>
  <c r="AJ18" i="12"/>
  <c r="AN17" i="12"/>
  <c r="AJ17" i="12"/>
  <c r="AN16" i="12"/>
  <c r="AJ16" i="12"/>
  <c r="AN15" i="12"/>
  <c r="AM12" i="12"/>
  <c r="AN14" i="12" s="1"/>
  <c r="AI12" i="12"/>
  <c r="AG10" i="12"/>
  <c r="AF10" i="12"/>
  <c r="AC10" i="12"/>
  <c r="AB10" i="12"/>
  <c r="Y10" i="12"/>
  <c r="X10" i="12"/>
  <c r="U10" i="12"/>
  <c r="T10" i="12"/>
  <c r="Q10" i="12"/>
  <c r="P10" i="12"/>
  <c r="AG9" i="12"/>
  <c r="AF9" i="12"/>
  <c r="AC9" i="12"/>
  <c r="AB9" i="12"/>
  <c r="Y9" i="12"/>
  <c r="X9" i="12"/>
  <c r="U9" i="12"/>
  <c r="T9" i="12"/>
  <c r="Q9" i="12"/>
  <c r="P9" i="12"/>
  <c r="AG8" i="12"/>
  <c r="AF8" i="12"/>
  <c r="AC8" i="12"/>
  <c r="AB8" i="12"/>
  <c r="Y8" i="12"/>
  <c r="X8" i="12"/>
  <c r="U8" i="12"/>
  <c r="T8" i="12"/>
  <c r="Q8" i="12"/>
  <c r="P8" i="12"/>
  <c r="AG7" i="12"/>
  <c r="AF7" i="12"/>
  <c r="AC7" i="12"/>
  <c r="AB7" i="12"/>
  <c r="Y7" i="12"/>
  <c r="X7" i="12"/>
  <c r="U7" i="12"/>
  <c r="T7" i="12"/>
  <c r="Q7" i="12"/>
  <c r="P7" i="12"/>
  <c r="N7" i="12"/>
  <c r="AG6" i="12"/>
  <c r="AF6" i="12"/>
  <c r="AC6" i="12"/>
  <c r="AB6" i="12"/>
  <c r="Y6" i="12"/>
  <c r="X6" i="12"/>
  <c r="U6" i="12"/>
  <c r="T6" i="12"/>
  <c r="Q6" i="12"/>
  <c r="P6" i="12"/>
  <c r="N6" i="12"/>
  <c r="C6" i="12"/>
  <c r="N5" i="12"/>
  <c r="AG4" i="12"/>
  <c r="AF4" i="12"/>
  <c r="AC4" i="12"/>
  <c r="AB4" i="12"/>
  <c r="Y4" i="12"/>
  <c r="X4" i="12"/>
  <c r="U4" i="12"/>
  <c r="T4" i="12"/>
  <c r="Q4" i="12"/>
  <c r="P4" i="12"/>
  <c r="N4" i="12"/>
  <c r="N3" i="12"/>
  <c r="E2" i="12"/>
  <c r="C2" i="12"/>
  <c r="AH1" i="12"/>
  <c r="AF1" i="12"/>
  <c r="AD1" i="12"/>
  <c r="AB1" i="12"/>
  <c r="Z1" i="12"/>
  <c r="X1" i="12"/>
  <c r="V1" i="12"/>
  <c r="T1" i="12"/>
  <c r="R1" i="12"/>
  <c r="P1" i="12"/>
  <c r="E1" i="12"/>
  <c r="C1" i="12"/>
  <c r="AI6" i="12"/>
  <c r="AP4" i="12"/>
  <c r="AP6" i="12"/>
  <c r="AO4" i="12"/>
  <c r="AO3" i="12"/>
  <c r="AO7" i="12"/>
  <c r="AK5" i="12"/>
  <c r="AO6" i="12"/>
  <c r="AK3" i="12"/>
  <c r="AO5" i="12"/>
  <c r="AK9" i="12"/>
  <c r="AK4" i="12"/>
  <c r="BD9" i="10"/>
  <c r="AI9" i="10"/>
  <c r="AP7" i="12"/>
  <c r="AP3" i="12"/>
  <c r="I8" i="12"/>
  <c r="AP5" i="12"/>
  <c r="AD6" i="12" l="1"/>
  <c r="Z4" i="12"/>
  <c r="C3" i="12"/>
  <c r="V10" i="12"/>
  <c r="AD4" i="12"/>
  <c r="V7" i="12"/>
  <c r="Z10" i="12"/>
  <c r="V9" i="12"/>
  <c r="Z9" i="12"/>
  <c r="V4" i="12"/>
  <c r="T5" i="12"/>
  <c r="R9" i="12"/>
  <c r="R7" i="12"/>
  <c r="R6" i="12"/>
  <c r="U5" i="12"/>
  <c r="U3" i="12" s="1"/>
  <c r="R8" i="12"/>
  <c r="Z8" i="12"/>
  <c r="AH8" i="12"/>
  <c r="Y5" i="12"/>
  <c r="Y3" i="12" s="1"/>
  <c r="AF5" i="12"/>
  <c r="AH7" i="12"/>
  <c r="R4" i="12"/>
  <c r="P5" i="12"/>
  <c r="Q5" i="12"/>
  <c r="Q3" i="12" s="1"/>
  <c r="Z7" i="12"/>
  <c r="AH9" i="12"/>
  <c r="AD10" i="12"/>
  <c r="AH4" i="12"/>
  <c r="AH6" i="12"/>
  <c r="AG5" i="12"/>
  <c r="AG3" i="12" s="1"/>
  <c r="V8" i="12"/>
  <c r="AD9" i="12"/>
  <c r="R10" i="12"/>
  <c r="Z6" i="12"/>
  <c r="AD7" i="12"/>
  <c r="AC5" i="12"/>
  <c r="AC3" i="12" s="1"/>
  <c r="AH10" i="12"/>
  <c r="AQ7" i="12"/>
  <c r="AR7" i="12" s="1"/>
  <c r="AQ3" i="12"/>
  <c r="AR3" i="12" s="1"/>
  <c r="AQ4" i="12"/>
  <c r="AR4" i="12" s="1"/>
  <c r="AQ5" i="12"/>
  <c r="AR5" i="12" s="1"/>
  <c r="AQ6" i="12"/>
  <c r="AR6" i="12" s="1"/>
  <c r="AD8" i="12"/>
  <c r="AB5" i="12"/>
  <c r="X5" i="12"/>
  <c r="V6" i="12"/>
  <c r="AN12" i="12"/>
  <c r="AK6" i="12"/>
  <c r="J4" i="12"/>
  <c r="AI9" i="12"/>
  <c r="J6" i="12"/>
  <c r="AI7" i="12"/>
  <c r="J8" i="12"/>
  <c r="AI3" i="12"/>
  <c r="AI8" i="12"/>
  <c r="J5" i="12"/>
  <c r="AI4" i="12"/>
  <c r="AK8" i="12"/>
  <c r="AK7" i="12"/>
  <c r="I5" i="12"/>
  <c r="AI5" i="12"/>
  <c r="I4" i="12"/>
  <c r="I6" i="12"/>
  <c r="AD5" i="12" l="1"/>
  <c r="AD3" i="12" s="1"/>
  <c r="AB3" i="12" s="1"/>
  <c r="V5" i="12"/>
  <c r="V3" i="12" s="1"/>
  <c r="T3" i="12" s="1"/>
  <c r="AH5" i="12"/>
  <c r="AH3" i="12" s="1"/>
  <c r="AF3" i="12" s="1"/>
  <c r="R5" i="12"/>
  <c r="R3" i="12" s="1"/>
  <c r="P3" i="12" s="1"/>
  <c r="Z5" i="12"/>
  <c r="Z3" i="12" s="1"/>
  <c r="X3" i="12" s="1"/>
  <c r="AI10" i="12"/>
  <c r="AJ10" i="12" s="1"/>
  <c r="AJ12" i="12" s="1"/>
  <c r="AK10" i="12"/>
  <c r="O12" i="4" l="1"/>
  <c r="O12" i="6" l="1"/>
  <c r="O12" i="11" l="1"/>
  <c r="AM12" i="11" l="1"/>
  <c r="AN14" i="11" s="1"/>
  <c r="AI12" i="11"/>
  <c r="AG10" i="11"/>
  <c r="AF10" i="11"/>
  <c r="AC10" i="11"/>
  <c r="AB10" i="11"/>
  <c r="Y10" i="11"/>
  <c r="X10" i="11"/>
  <c r="U10" i="11"/>
  <c r="T10" i="11"/>
  <c r="Q10" i="11"/>
  <c r="P10" i="11"/>
  <c r="AG9" i="11"/>
  <c r="AF9" i="11"/>
  <c r="AC9" i="11"/>
  <c r="AB9" i="11"/>
  <c r="Y9" i="11"/>
  <c r="X9" i="11"/>
  <c r="U9" i="11"/>
  <c r="T9" i="11"/>
  <c r="Q9" i="11"/>
  <c r="P9" i="11"/>
  <c r="AG8" i="11"/>
  <c r="AF8" i="11"/>
  <c r="AC8" i="11"/>
  <c r="AB8" i="11"/>
  <c r="Y8" i="11"/>
  <c r="X8" i="11"/>
  <c r="U8" i="11"/>
  <c r="T8" i="11"/>
  <c r="Q8" i="11"/>
  <c r="P8" i="11"/>
  <c r="AG7" i="11"/>
  <c r="AF7" i="11"/>
  <c r="AC7" i="11"/>
  <c r="AB7" i="11"/>
  <c r="Y7" i="11"/>
  <c r="X7" i="11"/>
  <c r="U7" i="11"/>
  <c r="T7" i="11"/>
  <c r="Q7" i="11"/>
  <c r="P7" i="11"/>
  <c r="N7" i="11"/>
  <c r="AG6" i="11"/>
  <c r="AF6" i="11"/>
  <c r="AC6" i="11"/>
  <c r="AB6" i="11"/>
  <c r="AD6" i="11" s="1"/>
  <c r="Y6" i="11"/>
  <c r="X6" i="11"/>
  <c r="U6" i="11"/>
  <c r="T6" i="11"/>
  <c r="Q6" i="11"/>
  <c r="P6" i="11"/>
  <c r="N6" i="11"/>
  <c r="C6" i="11"/>
  <c r="N5" i="11"/>
  <c r="AG4" i="11"/>
  <c r="AF4" i="11"/>
  <c r="AC4" i="11"/>
  <c r="AB4" i="11"/>
  <c r="Y4" i="11"/>
  <c r="X4" i="11"/>
  <c r="U4" i="11"/>
  <c r="T4" i="11"/>
  <c r="Q4" i="11"/>
  <c r="P4" i="11"/>
  <c r="N4" i="11"/>
  <c r="N3" i="11"/>
  <c r="E2" i="11"/>
  <c r="C2" i="11"/>
  <c r="AH1" i="11"/>
  <c r="AF1" i="11"/>
  <c r="AD1" i="11"/>
  <c r="AB1" i="11"/>
  <c r="Z1" i="11"/>
  <c r="X1" i="11"/>
  <c r="V1" i="11"/>
  <c r="T1" i="11"/>
  <c r="R1" i="11"/>
  <c r="P1" i="11"/>
  <c r="E1" i="11"/>
  <c r="C1" i="11"/>
  <c r="C3" i="11" s="1"/>
  <c r="AM12" i="7"/>
  <c r="AN14" i="7" s="1"/>
  <c r="AI12" i="7"/>
  <c r="AG10" i="7"/>
  <c r="AF10" i="7"/>
  <c r="AC10" i="7"/>
  <c r="AB10" i="7"/>
  <c r="Y10" i="7"/>
  <c r="X10" i="7"/>
  <c r="U10" i="7"/>
  <c r="T10" i="7"/>
  <c r="Q10" i="7"/>
  <c r="P10" i="7"/>
  <c r="AG9" i="7"/>
  <c r="AF9" i="7"/>
  <c r="AC9" i="7"/>
  <c r="AB9" i="7"/>
  <c r="Y9" i="7"/>
  <c r="X9" i="7"/>
  <c r="U9" i="7"/>
  <c r="T9" i="7"/>
  <c r="Q9" i="7"/>
  <c r="P9" i="7"/>
  <c r="AG8" i="7"/>
  <c r="AF8" i="7"/>
  <c r="AC8" i="7"/>
  <c r="AB8" i="7"/>
  <c r="Y8" i="7"/>
  <c r="X8" i="7"/>
  <c r="U8" i="7"/>
  <c r="T8" i="7"/>
  <c r="Q8" i="7"/>
  <c r="P8" i="7"/>
  <c r="AG7" i="7"/>
  <c r="AF7" i="7"/>
  <c r="AC7" i="7"/>
  <c r="AB7" i="7"/>
  <c r="Y7" i="7"/>
  <c r="X7" i="7"/>
  <c r="U7" i="7"/>
  <c r="T7" i="7"/>
  <c r="Q7" i="7"/>
  <c r="P7" i="7"/>
  <c r="N7" i="7"/>
  <c r="AG6" i="7"/>
  <c r="AF6" i="7"/>
  <c r="AC6" i="7"/>
  <c r="AB6" i="7"/>
  <c r="Y6" i="7"/>
  <c r="X6" i="7"/>
  <c r="U6" i="7"/>
  <c r="T6" i="7"/>
  <c r="Q6" i="7"/>
  <c r="P6" i="7"/>
  <c r="N6" i="7"/>
  <c r="C6" i="7"/>
  <c r="N5" i="7"/>
  <c r="AG4" i="7"/>
  <c r="AF4" i="7"/>
  <c r="AC4" i="7"/>
  <c r="AB4" i="7"/>
  <c r="Y4" i="7"/>
  <c r="X4" i="7"/>
  <c r="U4" i="7"/>
  <c r="T4" i="7"/>
  <c r="Q4" i="7"/>
  <c r="P4" i="7"/>
  <c r="N4" i="7"/>
  <c r="N3" i="7"/>
  <c r="E2" i="7"/>
  <c r="C2" i="7"/>
  <c r="AH1" i="7"/>
  <c r="AF1" i="7"/>
  <c r="AD1" i="7"/>
  <c r="AB1" i="7"/>
  <c r="Z1" i="7"/>
  <c r="X1" i="7"/>
  <c r="V1" i="7"/>
  <c r="T1" i="7"/>
  <c r="R1" i="7"/>
  <c r="P1" i="7"/>
  <c r="E1" i="7"/>
  <c r="C1" i="7"/>
  <c r="C3" i="7" s="1"/>
  <c r="AM12" i="5"/>
  <c r="AN14" i="5" s="1"/>
  <c r="AI12" i="5"/>
  <c r="AG10" i="5"/>
  <c r="AF10" i="5"/>
  <c r="AC10" i="5"/>
  <c r="AB10" i="5"/>
  <c r="Y10" i="5"/>
  <c r="X10" i="5"/>
  <c r="U10" i="5"/>
  <c r="T10" i="5"/>
  <c r="Q10" i="5"/>
  <c r="P10" i="5"/>
  <c r="AG9" i="5"/>
  <c r="AF9" i="5"/>
  <c r="AC9" i="5"/>
  <c r="AB9" i="5"/>
  <c r="Y9" i="5"/>
  <c r="X9" i="5"/>
  <c r="U9" i="5"/>
  <c r="T9" i="5"/>
  <c r="Q9" i="5"/>
  <c r="P9" i="5"/>
  <c r="AG8" i="5"/>
  <c r="AF8" i="5"/>
  <c r="AC8" i="5"/>
  <c r="AB8" i="5"/>
  <c r="Y8" i="5"/>
  <c r="X8" i="5"/>
  <c r="U8" i="5"/>
  <c r="T8" i="5"/>
  <c r="Q8" i="5"/>
  <c r="P8" i="5"/>
  <c r="AG7" i="5"/>
  <c r="AF7" i="5"/>
  <c r="AC7" i="5"/>
  <c r="AB7" i="5"/>
  <c r="Y7" i="5"/>
  <c r="X7" i="5"/>
  <c r="U7" i="5"/>
  <c r="T7" i="5"/>
  <c r="Q7" i="5"/>
  <c r="P7" i="5"/>
  <c r="N7" i="5"/>
  <c r="AG6" i="5"/>
  <c r="AF6" i="5"/>
  <c r="AC6" i="5"/>
  <c r="AB6" i="5"/>
  <c r="Y6" i="5"/>
  <c r="X6" i="5"/>
  <c r="U6" i="5"/>
  <c r="T6" i="5"/>
  <c r="Q6" i="5"/>
  <c r="P6" i="5"/>
  <c r="N6" i="5"/>
  <c r="C6" i="5"/>
  <c r="N5" i="5"/>
  <c r="AG4" i="5"/>
  <c r="AF4" i="5"/>
  <c r="AC4" i="5"/>
  <c r="AB4" i="5"/>
  <c r="Y4" i="5"/>
  <c r="X4" i="5"/>
  <c r="U4" i="5"/>
  <c r="T4" i="5"/>
  <c r="Q4" i="5"/>
  <c r="P4" i="5"/>
  <c r="N4" i="5"/>
  <c r="N3" i="5"/>
  <c r="E2" i="5"/>
  <c r="C2" i="5"/>
  <c r="AH1" i="5"/>
  <c r="AF1" i="5"/>
  <c r="AD1" i="5"/>
  <c r="AB1" i="5"/>
  <c r="Z1" i="5"/>
  <c r="X1" i="5"/>
  <c r="V1" i="5"/>
  <c r="T1" i="5"/>
  <c r="R1" i="5"/>
  <c r="P1" i="5"/>
  <c r="E1" i="5"/>
  <c r="C1" i="5"/>
  <c r="AM12" i="4"/>
  <c r="AN14" i="4" s="1"/>
  <c r="AI12" i="4"/>
  <c r="AG10" i="4"/>
  <c r="AF10" i="4"/>
  <c r="AC10" i="4"/>
  <c r="AB10" i="4"/>
  <c r="Y10" i="4"/>
  <c r="X10" i="4"/>
  <c r="U10" i="4"/>
  <c r="T10" i="4"/>
  <c r="Q10" i="4"/>
  <c r="P10" i="4"/>
  <c r="AG9" i="4"/>
  <c r="AF9" i="4"/>
  <c r="AC9" i="4"/>
  <c r="AB9" i="4"/>
  <c r="Y9" i="4"/>
  <c r="X9" i="4"/>
  <c r="U9" i="4"/>
  <c r="T9" i="4"/>
  <c r="Q9" i="4"/>
  <c r="P9" i="4"/>
  <c r="AG8" i="4"/>
  <c r="AF8" i="4"/>
  <c r="AC8" i="4"/>
  <c r="AB8" i="4"/>
  <c r="Y8" i="4"/>
  <c r="X8" i="4"/>
  <c r="U8" i="4"/>
  <c r="T8" i="4"/>
  <c r="Q8" i="4"/>
  <c r="P8" i="4"/>
  <c r="AG7" i="4"/>
  <c r="AF7" i="4"/>
  <c r="AC7" i="4"/>
  <c r="AB7" i="4"/>
  <c r="Y7" i="4"/>
  <c r="X7" i="4"/>
  <c r="U7" i="4"/>
  <c r="T7" i="4"/>
  <c r="Q7" i="4"/>
  <c r="P7" i="4"/>
  <c r="N7" i="4"/>
  <c r="AG6" i="4"/>
  <c r="AF6" i="4"/>
  <c r="AC6" i="4"/>
  <c r="AB6" i="4"/>
  <c r="Y6" i="4"/>
  <c r="X6" i="4"/>
  <c r="Z6" i="4" s="1"/>
  <c r="U6" i="4"/>
  <c r="T6" i="4"/>
  <c r="Q6" i="4"/>
  <c r="P6" i="4"/>
  <c r="N6" i="4"/>
  <c r="C6" i="4"/>
  <c r="N5" i="4"/>
  <c r="AG4" i="4"/>
  <c r="AF4" i="4"/>
  <c r="AC4" i="4"/>
  <c r="AB4" i="4"/>
  <c r="Y4" i="4"/>
  <c r="X4" i="4"/>
  <c r="U4" i="4"/>
  <c r="T4" i="4"/>
  <c r="Q4" i="4"/>
  <c r="P4" i="4"/>
  <c r="N4" i="4"/>
  <c r="N3" i="4"/>
  <c r="E2" i="4"/>
  <c r="C2" i="4"/>
  <c r="AH1" i="4"/>
  <c r="AF1" i="4"/>
  <c r="AD1" i="4"/>
  <c r="AB1" i="4"/>
  <c r="Z1" i="4"/>
  <c r="X1" i="4"/>
  <c r="V1" i="4"/>
  <c r="T1" i="4"/>
  <c r="R1" i="4"/>
  <c r="P1" i="4"/>
  <c r="E1" i="4"/>
  <c r="C1" i="4"/>
  <c r="AM12" i="6"/>
  <c r="AN14" i="6" s="1"/>
  <c r="AN12" i="6" s="1"/>
  <c r="AI12" i="6"/>
  <c r="AG10" i="6"/>
  <c r="AF10" i="6"/>
  <c r="AC10" i="6"/>
  <c r="AB10" i="6"/>
  <c r="Y10" i="6"/>
  <c r="X10" i="6"/>
  <c r="U10" i="6"/>
  <c r="T10" i="6"/>
  <c r="Q10" i="6"/>
  <c r="P10" i="6"/>
  <c r="AG9" i="6"/>
  <c r="AF9" i="6"/>
  <c r="AC9" i="6"/>
  <c r="AB9" i="6"/>
  <c r="Y9" i="6"/>
  <c r="X9" i="6"/>
  <c r="U9" i="6"/>
  <c r="T9" i="6"/>
  <c r="Q9" i="6"/>
  <c r="P9" i="6"/>
  <c r="AG8" i="6"/>
  <c r="AF8" i="6"/>
  <c r="AC8" i="6"/>
  <c r="AB8" i="6"/>
  <c r="Y8" i="6"/>
  <c r="X8" i="6"/>
  <c r="U8" i="6"/>
  <c r="T8" i="6"/>
  <c r="Q8" i="6"/>
  <c r="P8" i="6"/>
  <c r="AG7" i="6"/>
  <c r="AF7" i="6"/>
  <c r="AC7" i="6"/>
  <c r="AB7" i="6"/>
  <c r="Y7" i="6"/>
  <c r="X7" i="6"/>
  <c r="U7" i="6"/>
  <c r="T7" i="6"/>
  <c r="Q7" i="6"/>
  <c r="P7" i="6"/>
  <c r="N7" i="6"/>
  <c r="AG6" i="6"/>
  <c r="AF6" i="6"/>
  <c r="AC6" i="6"/>
  <c r="AB6" i="6"/>
  <c r="Y6" i="6"/>
  <c r="X6" i="6"/>
  <c r="U6" i="6"/>
  <c r="T6" i="6"/>
  <c r="Q6" i="6"/>
  <c r="P6" i="6"/>
  <c r="N6" i="6"/>
  <c r="C6" i="6"/>
  <c r="N5" i="6"/>
  <c r="AG4" i="6"/>
  <c r="AH4" i="6" s="1"/>
  <c r="AF4" i="6"/>
  <c r="AC4" i="6"/>
  <c r="AB4" i="6"/>
  <c r="Y4" i="6"/>
  <c r="X4" i="6"/>
  <c r="U4" i="6"/>
  <c r="T4" i="6"/>
  <c r="Q4" i="6"/>
  <c r="P4" i="6"/>
  <c r="N4" i="6"/>
  <c r="N3" i="6"/>
  <c r="E2" i="6"/>
  <c r="C2" i="6"/>
  <c r="AH1" i="6"/>
  <c r="AF1" i="6"/>
  <c r="AD1" i="6"/>
  <c r="AB1" i="6"/>
  <c r="Z1" i="6"/>
  <c r="X1" i="6"/>
  <c r="V1" i="6"/>
  <c r="T1" i="6"/>
  <c r="R1" i="6"/>
  <c r="P1" i="6"/>
  <c r="E1" i="6"/>
  <c r="C1" i="6"/>
  <c r="AI6" i="5"/>
  <c r="AP5" i="5"/>
  <c r="AK9" i="4"/>
  <c r="AP3" i="5"/>
  <c r="AI14" i="10"/>
  <c r="AO4" i="6"/>
  <c r="AO7" i="4"/>
  <c r="AP3" i="6"/>
  <c r="AP5" i="6"/>
  <c r="AI4" i="6"/>
  <c r="AO4" i="11"/>
  <c r="AP4" i="4"/>
  <c r="AK3" i="7"/>
  <c r="AP3" i="11"/>
  <c r="AI12" i="10"/>
  <c r="AO7" i="5"/>
  <c r="AO5" i="4"/>
  <c r="AO5" i="5"/>
  <c r="AO7" i="11"/>
  <c r="AO3" i="7"/>
  <c r="AP6" i="4"/>
  <c r="AO3" i="4"/>
  <c r="AI11" i="10"/>
  <c r="AP3" i="4"/>
  <c r="AO6" i="11"/>
  <c r="AP4" i="7"/>
  <c r="AO5" i="11"/>
  <c r="BD14" i="10"/>
  <c r="AO4" i="7"/>
  <c r="AP5" i="4"/>
  <c r="AP6" i="11"/>
  <c r="AO6" i="7"/>
  <c r="AO5" i="7"/>
  <c r="AO4" i="4"/>
  <c r="AO6" i="5"/>
  <c r="AI13" i="10"/>
  <c r="AO3" i="6"/>
  <c r="AI10" i="10"/>
  <c r="AO7" i="7"/>
  <c r="AP4" i="6"/>
  <c r="AP7" i="7"/>
  <c r="AP7" i="5"/>
  <c r="AP7" i="11"/>
  <c r="BD11" i="10"/>
  <c r="AP6" i="5"/>
  <c r="AO5" i="6"/>
  <c r="AI5" i="6"/>
  <c r="AP7" i="4"/>
  <c r="AP7" i="6"/>
  <c r="AP5" i="7"/>
  <c r="AK9" i="11"/>
  <c r="AO6" i="4"/>
  <c r="AO7" i="6"/>
  <c r="BD13" i="10"/>
  <c r="AP4" i="5"/>
  <c r="AO3" i="5"/>
  <c r="AP5" i="11"/>
  <c r="AP6" i="7"/>
  <c r="AP4" i="11"/>
  <c r="AP6" i="6"/>
  <c r="AP3" i="7"/>
  <c r="BD10" i="10"/>
  <c r="BD12" i="10"/>
  <c r="AO3" i="11"/>
  <c r="AO6" i="6"/>
  <c r="AO4" i="5"/>
  <c r="Z4" i="11" l="1"/>
  <c r="AH4" i="11"/>
  <c r="AD9" i="6"/>
  <c r="R10" i="6"/>
  <c r="AH10" i="6"/>
  <c r="Z4" i="7"/>
  <c r="T5" i="11"/>
  <c r="AD4" i="6"/>
  <c r="T5" i="4"/>
  <c r="AD8" i="5"/>
  <c r="C3" i="6"/>
  <c r="AD8" i="7"/>
  <c r="V10" i="7"/>
  <c r="V4" i="6"/>
  <c r="AB5" i="4"/>
  <c r="V8" i="5"/>
  <c r="AD6" i="7"/>
  <c r="AB5" i="11"/>
  <c r="Z6" i="11"/>
  <c r="V7" i="11"/>
  <c r="AH8" i="11"/>
  <c r="R9" i="4"/>
  <c r="AH9" i="7"/>
  <c r="Y5" i="6"/>
  <c r="Y3" i="6" s="1"/>
  <c r="C3" i="5"/>
  <c r="AF5" i="5"/>
  <c r="AH9" i="5"/>
  <c r="R6" i="5"/>
  <c r="AH6" i="5"/>
  <c r="V7" i="5"/>
  <c r="AD7" i="5"/>
  <c r="AH8" i="5"/>
  <c r="V9" i="5"/>
  <c r="AD9" i="5"/>
  <c r="Z10" i="5"/>
  <c r="Z4" i="5"/>
  <c r="AD6" i="5"/>
  <c r="U5" i="7"/>
  <c r="U3" i="7" s="1"/>
  <c r="V7" i="7"/>
  <c r="AB5" i="7"/>
  <c r="AH8" i="7"/>
  <c r="V9" i="7"/>
  <c r="Z10" i="7"/>
  <c r="R9" i="7"/>
  <c r="AC5" i="7"/>
  <c r="AC3" i="7" s="1"/>
  <c r="AF5" i="7"/>
  <c r="Y5" i="7"/>
  <c r="Y3" i="7" s="1"/>
  <c r="AH6" i="7"/>
  <c r="Z7" i="7"/>
  <c r="AD10" i="7"/>
  <c r="R7" i="7"/>
  <c r="P5" i="7"/>
  <c r="R8" i="7"/>
  <c r="AH4" i="7"/>
  <c r="R6" i="7"/>
  <c r="Z8" i="7"/>
  <c r="Z9" i="7"/>
  <c r="V4" i="7"/>
  <c r="AD4" i="7"/>
  <c r="T5" i="7"/>
  <c r="AG5" i="7"/>
  <c r="AG3" i="7" s="1"/>
  <c r="V8" i="7"/>
  <c r="AD9" i="7"/>
  <c r="R10" i="7"/>
  <c r="R4" i="7"/>
  <c r="AH10" i="7"/>
  <c r="V4" i="4"/>
  <c r="Z4" i="4"/>
  <c r="AH4" i="4"/>
  <c r="AG5" i="4"/>
  <c r="AG3" i="4" s="1"/>
  <c r="V7" i="4"/>
  <c r="AD7" i="4"/>
  <c r="AH8" i="4"/>
  <c r="V9" i="4"/>
  <c r="V10" i="4"/>
  <c r="U5" i="5"/>
  <c r="U3" i="5" s="1"/>
  <c r="P5" i="5"/>
  <c r="T5" i="5"/>
  <c r="V4" i="5"/>
  <c r="AD4" i="5"/>
  <c r="V10" i="5"/>
  <c r="R10" i="5"/>
  <c r="R8" i="5"/>
  <c r="R4" i="5"/>
  <c r="AH4" i="5"/>
  <c r="Z6" i="5"/>
  <c r="R7" i="5"/>
  <c r="Z8" i="5"/>
  <c r="R9" i="5"/>
  <c r="Z9" i="5"/>
  <c r="AN12" i="5"/>
  <c r="AG5" i="5"/>
  <c r="AG3" i="5" s="1"/>
  <c r="Y5" i="5"/>
  <c r="Y3" i="5" s="1"/>
  <c r="Q5" i="5"/>
  <c r="Q3" i="5" s="1"/>
  <c r="Z7" i="5"/>
  <c r="AH7" i="5"/>
  <c r="AD10" i="5"/>
  <c r="AC5" i="5"/>
  <c r="AC3" i="5" s="1"/>
  <c r="AH10" i="5"/>
  <c r="R8" i="4"/>
  <c r="C3" i="4"/>
  <c r="AD4" i="4"/>
  <c r="AD6" i="4"/>
  <c r="Z7" i="4"/>
  <c r="AH7" i="4"/>
  <c r="AD8" i="4"/>
  <c r="AH9" i="4"/>
  <c r="R10" i="4"/>
  <c r="R7" i="4"/>
  <c r="R6" i="4"/>
  <c r="R4" i="4"/>
  <c r="Q5" i="4"/>
  <c r="Q3" i="4" s="1"/>
  <c r="U5" i="4"/>
  <c r="U3" i="4" s="1"/>
  <c r="V8" i="4"/>
  <c r="Z9" i="4"/>
  <c r="Z10" i="4"/>
  <c r="AH10" i="4"/>
  <c r="Y5" i="4"/>
  <c r="Y3" i="4" s="1"/>
  <c r="AH6" i="4"/>
  <c r="AC5" i="4"/>
  <c r="AC3" i="4" s="1"/>
  <c r="Z8" i="4"/>
  <c r="AD9" i="4"/>
  <c r="AD10" i="4"/>
  <c r="V8" i="6"/>
  <c r="V9" i="6"/>
  <c r="Z9" i="6"/>
  <c r="AF5" i="6"/>
  <c r="AH8" i="6"/>
  <c r="AH9" i="6"/>
  <c r="AD10" i="6"/>
  <c r="T5" i="6"/>
  <c r="Z7" i="6"/>
  <c r="AH6" i="6"/>
  <c r="V6" i="6"/>
  <c r="AH7" i="6"/>
  <c r="Z8" i="6"/>
  <c r="AD6" i="6"/>
  <c r="V7" i="6"/>
  <c r="AD8" i="6"/>
  <c r="AC5" i="6"/>
  <c r="AC3" i="6" s="1"/>
  <c r="V10" i="6"/>
  <c r="R4" i="6"/>
  <c r="AG5" i="6"/>
  <c r="AG3" i="6" s="1"/>
  <c r="Z10" i="6"/>
  <c r="Z4" i="6"/>
  <c r="X5" i="6"/>
  <c r="AD7" i="6"/>
  <c r="P5" i="6"/>
  <c r="R8" i="6"/>
  <c r="Q5" i="6"/>
  <c r="Q3" i="6" s="1"/>
  <c r="R6" i="6"/>
  <c r="R9" i="6"/>
  <c r="R7" i="6"/>
  <c r="AH9" i="11"/>
  <c r="V10" i="11"/>
  <c r="V4" i="11"/>
  <c r="AD4" i="11"/>
  <c r="AC5" i="11"/>
  <c r="AC3" i="11" s="1"/>
  <c r="V9" i="11"/>
  <c r="AH6" i="11"/>
  <c r="AH7" i="11"/>
  <c r="AD8" i="11"/>
  <c r="AG5" i="11"/>
  <c r="AG3" i="11" s="1"/>
  <c r="R7" i="11"/>
  <c r="R9" i="11"/>
  <c r="R6" i="11"/>
  <c r="R10" i="11"/>
  <c r="R8" i="11"/>
  <c r="Y5" i="11"/>
  <c r="Y3" i="11" s="1"/>
  <c r="AD7" i="11"/>
  <c r="AD5" i="11" s="1"/>
  <c r="AD3" i="11" s="1"/>
  <c r="AB3" i="11" s="1"/>
  <c r="V8" i="11"/>
  <c r="Z9" i="11"/>
  <c r="Z10" i="11"/>
  <c r="AH10" i="11"/>
  <c r="R4" i="11"/>
  <c r="Q5" i="11"/>
  <c r="Q3" i="11" s="1"/>
  <c r="U5" i="11"/>
  <c r="U3" i="11" s="1"/>
  <c r="Z7" i="11"/>
  <c r="Z8" i="11"/>
  <c r="AD9" i="11"/>
  <c r="AD10" i="11"/>
  <c r="AQ4" i="11"/>
  <c r="AR4" i="11" s="1"/>
  <c r="AQ5" i="11"/>
  <c r="AR5" i="11" s="1"/>
  <c r="AQ7" i="11"/>
  <c r="AR7" i="11" s="1"/>
  <c r="AQ3" i="11"/>
  <c r="AR3" i="11" s="1"/>
  <c r="AQ6" i="11"/>
  <c r="AR6" i="11" s="1"/>
  <c r="P5" i="11"/>
  <c r="AF5" i="11"/>
  <c r="X5" i="11"/>
  <c r="V6" i="11"/>
  <c r="AN12" i="11"/>
  <c r="AQ7" i="7"/>
  <c r="AR7" i="7" s="1"/>
  <c r="AQ6" i="7"/>
  <c r="AR6" i="7" s="1"/>
  <c r="AQ3" i="7"/>
  <c r="AR3" i="7" s="1"/>
  <c r="AQ4" i="7"/>
  <c r="AR4" i="7" s="1"/>
  <c r="AQ5" i="7"/>
  <c r="AR5" i="7" s="1"/>
  <c r="AH7" i="7"/>
  <c r="X5" i="7"/>
  <c r="V6" i="7"/>
  <c r="AD7" i="7"/>
  <c r="AN12" i="7"/>
  <c r="Q5" i="7"/>
  <c r="Q3" i="7" s="1"/>
  <c r="Z6" i="7"/>
  <c r="AQ7" i="5"/>
  <c r="AR7" i="5" s="1"/>
  <c r="AQ4" i="5"/>
  <c r="AR4" i="5" s="1"/>
  <c r="AQ5" i="5"/>
  <c r="AR5" i="5" s="1"/>
  <c r="AQ3" i="5"/>
  <c r="AR3" i="5" s="1"/>
  <c r="AQ6" i="5"/>
  <c r="AR6" i="5" s="1"/>
  <c r="AB5" i="5"/>
  <c r="X5" i="5"/>
  <c r="V6" i="5"/>
  <c r="AQ7" i="4"/>
  <c r="AR7" i="4" s="1"/>
  <c r="AQ3" i="4"/>
  <c r="AR3" i="4" s="1"/>
  <c r="AQ4" i="4"/>
  <c r="AR4" i="4" s="1"/>
  <c r="AQ5" i="4"/>
  <c r="AR5" i="4" s="1"/>
  <c r="AQ6" i="4"/>
  <c r="AR6" i="4" s="1"/>
  <c r="P5" i="4"/>
  <c r="AF5" i="4"/>
  <c r="X5" i="4"/>
  <c r="V6" i="4"/>
  <c r="AN12" i="4"/>
  <c r="AQ7" i="6"/>
  <c r="AR7" i="6" s="1"/>
  <c r="AQ3" i="6"/>
  <c r="AR3" i="6" s="1"/>
  <c r="AQ4" i="6"/>
  <c r="AR4" i="6" s="1"/>
  <c r="AQ5" i="6"/>
  <c r="AR5" i="6" s="1"/>
  <c r="AQ6" i="6"/>
  <c r="AR6" i="6" s="1"/>
  <c r="U5" i="6"/>
  <c r="U3" i="6" s="1"/>
  <c r="AB5" i="6"/>
  <c r="Z6" i="6"/>
  <c r="R10" i="10"/>
  <c r="AM10" i="10"/>
  <c r="BH10" i="10"/>
  <c r="CC10" i="10"/>
  <c r="CX10" i="10"/>
  <c r="R11" i="10"/>
  <c r="AM11" i="10"/>
  <c r="BH11" i="10"/>
  <c r="CC11" i="10"/>
  <c r="CX11" i="10"/>
  <c r="R12" i="10"/>
  <c r="AM12" i="10"/>
  <c r="BH12" i="10"/>
  <c r="CC12" i="10"/>
  <c r="CX12" i="10"/>
  <c r="R13" i="10"/>
  <c r="AM13" i="10"/>
  <c r="BH13" i="10"/>
  <c r="CC13" i="10"/>
  <c r="CX13" i="10"/>
  <c r="R14" i="10"/>
  <c r="AM14" i="10"/>
  <c r="BH14" i="10"/>
  <c r="CC14" i="10"/>
  <c r="CX14" i="10"/>
  <c r="CX9" i="10"/>
  <c r="CC9" i="10"/>
  <c r="BH9" i="10"/>
  <c r="AM9" i="10"/>
  <c r="R9" i="10"/>
  <c r="AK5" i="5"/>
  <c r="AK3" i="5"/>
  <c r="AI3" i="6"/>
  <c r="AK9" i="6"/>
  <c r="Z5" i="6" l="1"/>
  <c r="Z3" i="6" s="1"/>
  <c r="X3" i="6" s="1"/>
  <c r="V5" i="6"/>
  <c r="V3" i="6" s="1"/>
  <c r="T3" i="6" s="1"/>
  <c r="Z5" i="11"/>
  <c r="Z3" i="11" s="1"/>
  <c r="X3" i="11" s="1"/>
  <c r="AH5" i="11"/>
  <c r="AH3" i="11" s="1"/>
  <c r="AF3" i="11" s="1"/>
  <c r="AD5" i="5"/>
  <c r="AD3" i="5" s="1"/>
  <c r="AB3" i="5" s="1"/>
  <c r="AH5" i="5"/>
  <c r="AH3" i="5" s="1"/>
  <c r="AF3" i="5" s="1"/>
  <c r="V5" i="5"/>
  <c r="V3" i="5" s="1"/>
  <c r="T3" i="5" s="1"/>
  <c r="AH5" i="7"/>
  <c r="AH3" i="7" s="1"/>
  <c r="AF3" i="7" s="1"/>
  <c r="Z5" i="7"/>
  <c r="Z3" i="7" s="1"/>
  <c r="X3" i="7" s="1"/>
  <c r="V5" i="7"/>
  <c r="V3" i="7" s="1"/>
  <c r="T3" i="7" s="1"/>
  <c r="R5" i="7"/>
  <c r="R3" i="7" s="1"/>
  <c r="P3" i="7" s="1"/>
  <c r="AD5" i="7"/>
  <c r="AD3" i="7" s="1"/>
  <c r="AB3" i="7" s="1"/>
  <c r="Z5" i="4"/>
  <c r="Z3" i="4" s="1"/>
  <c r="X3" i="4" s="1"/>
  <c r="AD5" i="4"/>
  <c r="AD3" i="4" s="1"/>
  <c r="AB3" i="4" s="1"/>
  <c r="R5" i="5"/>
  <c r="R3" i="5" s="1"/>
  <c r="P3" i="5" s="1"/>
  <c r="Z5" i="5"/>
  <c r="Z3" i="5" s="1"/>
  <c r="X3" i="5" s="1"/>
  <c r="AH5" i="4"/>
  <c r="AH3" i="4" s="1"/>
  <c r="AF3" i="4" s="1"/>
  <c r="R5" i="4"/>
  <c r="R3" i="4" s="1"/>
  <c r="P3" i="4" s="1"/>
  <c r="V5" i="4"/>
  <c r="V3" i="4" s="1"/>
  <c r="T3" i="4" s="1"/>
  <c r="AH5" i="6"/>
  <c r="AH3" i="6" s="1"/>
  <c r="AF3" i="6" s="1"/>
  <c r="AD5" i="6"/>
  <c r="AD3" i="6" s="1"/>
  <c r="AB3" i="6" s="1"/>
  <c r="R5" i="6"/>
  <c r="R3" i="6" s="1"/>
  <c r="P3" i="6" s="1"/>
  <c r="V5" i="11"/>
  <c r="V3" i="11" s="1"/>
  <c r="T3" i="11" s="1"/>
  <c r="R5" i="11"/>
  <c r="R3" i="11" s="1"/>
  <c r="P3" i="11" s="1"/>
  <c r="AJ16" i="7" l="1"/>
  <c r="AN16" i="7"/>
  <c r="AJ17" i="7"/>
  <c r="AN17" i="7"/>
  <c r="AJ18" i="7"/>
  <c r="AN18" i="7"/>
  <c r="AJ19" i="7"/>
  <c r="AN19" i="7"/>
  <c r="AJ20" i="7"/>
  <c r="AN20" i="7"/>
  <c r="AJ21" i="7"/>
  <c r="AN21" i="7"/>
  <c r="AJ22" i="7"/>
  <c r="AN22" i="7"/>
  <c r="AJ23" i="7"/>
  <c r="AN23" i="7"/>
  <c r="AJ24" i="7"/>
  <c r="AN24" i="7"/>
  <c r="AJ25" i="7"/>
  <c r="AN25" i="7"/>
  <c r="AJ26" i="7"/>
  <c r="AN26" i="7"/>
  <c r="AJ27" i="7"/>
  <c r="AN27" i="7"/>
  <c r="AJ28" i="7"/>
  <c r="AN28" i="7"/>
  <c r="AJ29" i="7"/>
  <c r="AN29" i="7"/>
  <c r="AJ30" i="7"/>
  <c r="AN30" i="7"/>
  <c r="AJ31" i="7"/>
  <c r="AN31" i="7"/>
  <c r="AJ32" i="7"/>
  <c r="AN32" i="7"/>
  <c r="AJ33" i="7"/>
  <c r="AN33" i="7"/>
  <c r="AJ15" i="7"/>
  <c r="AN17" i="5"/>
  <c r="AJ17" i="5"/>
  <c r="AN16" i="5"/>
  <c r="AJ16" i="5"/>
  <c r="AN15" i="5"/>
  <c r="AJ17" i="4"/>
  <c r="AN17" i="4"/>
  <c r="AJ18" i="4"/>
  <c r="AN18" i="4"/>
  <c r="AJ19" i="4"/>
  <c r="AN19" i="4"/>
  <c r="AJ20" i="4"/>
  <c r="AN20" i="4"/>
  <c r="AJ21" i="4"/>
  <c r="AN21" i="4"/>
  <c r="AJ22" i="4"/>
  <c r="AN22" i="4"/>
  <c r="AJ23" i="4"/>
  <c r="AN23" i="4"/>
  <c r="AJ24" i="4"/>
  <c r="AN24" i="4"/>
  <c r="AJ25" i="4"/>
  <c r="AN25" i="4"/>
  <c r="AJ26" i="4"/>
  <c r="AN26" i="4"/>
  <c r="AJ27" i="4"/>
  <c r="AN27" i="4"/>
  <c r="AJ28" i="4"/>
  <c r="AN28" i="4"/>
  <c r="AJ29" i="4"/>
  <c r="AN29" i="4"/>
  <c r="AJ30" i="4"/>
  <c r="AN30" i="4"/>
  <c r="AJ31" i="4"/>
  <c r="AN31" i="4"/>
  <c r="AJ32" i="4"/>
  <c r="AN32" i="4"/>
  <c r="AJ33" i="4"/>
  <c r="AN33" i="4"/>
  <c r="AJ34" i="4"/>
  <c r="AN34" i="4"/>
  <c r="AJ35" i="4"/>
  <c r="AN35" i="4"/>
  <c r="AJ36" i="4"/>
  <c r="AN36" i="4"/>
  <c r="AJ37" i="4"/>
  <c r="AN37" i="4"/>
  <c r="AJ38" i="4"/>
  <c r="AN38" i="4"/>
  <c r="AJ39" i="4"/>
  <c r="AN39" i="4"/>
  <c r="AJ40" i="4"/>
  <c r="AN40" i="4"/>
  <c r="AJ41" i="4"/>
  <c r="AN41" i="4"/>
  <c r="AJ42" i="4"/>
  <c r="AN42" i="4"/>
  <c r="AJ43" i="4"/>
  <c r="AN43" i="4"/>
  <c r="AJ44" i="4"/>
  <c r="AN44" i="4"/>
  <c r="AJ45" i="4"/>
  <c r="AN45" i="4"/>
  <c r="AJ46" i="4"/>
  <c r="AN46" i="4"/>
  <c r="AJ47" i="4"/>
  <c r="AN47" i="4"/>
  <c r="AJ48" i="4"/>
  <c r="AN48" i="4"/>
  <c r="AJ49" i="4"/>
  <c r="AN49" i="4"/>
  <c r="AJ50" i="4"/>
  <c r="AN50" i="4"/>
  <c r="AJ51" i="4"/>
  <c r="AN51" i="4"/>
  <c r="AJ52" i="4"/>
  <c r="AN52" i="4"/>
  <c r="AJ53" i="4"/>
  <c r="AN53" i="4"/>
  <c r="AJ54" i="4"/>
  <c r="AN54" i="4"/>
  <c r="AJ55" i="4"/>
  <c r="AN55" i="4"/>
  <c r="AJ56" i="4"/>
  <c r="AN56" i="4"/>
  <c r="AJ57" i="4"/>
  <c r="AN57" i="4"/>
  <c r="AJ58" i="4"/>
  <c r="AN58" i="4"/>
  <c r="AJ59" i="4"/>
  <c r="AN59" i="4"/>
  <c r="AJ60" i="4"/>
  <c r="AN60" i="4"/>
  <c r="AJ61" i="4"/>
  <c r="AN61" i="4"/>
  <c r="AJ62" i="4"/>
  <c r="AN62" i="4"/>
  <c r="AJ63" i="4"/>
  <c r="AN63" i="4"/>
  <c r="AJ64" i="4"/>
  <c r="AN64" i="4"/>
  <c r="AJ65" i="4"/>
  <c r="AN65" i="4"/>
  <c r="AJ66" i="4"/>
  <c r="AN66" i="4"/>
  <c r="AJ67" i="4"/>
  <c r="AN67" i="4"/>
  <c r="AJ68" i="4"/>
  <c r="AN68" i="4"/>
  <c r="AJ69" i="4"/>
  <c r="AN69" i="4"/>
  <c r="AJ70" i="4"/>
  <c r="AN70" i="4"/>
  <c r="AJ71" i="4"/>
  <c r="AN71" i="4"/>
  <c r="AJ72" i="4"/>
  <c r="AN72" i="4"/>
  <c r="AJ73" i="4"/>
  <c r="AN73" i="4"/>
  <c r="AJ74" i="4"/>
  <c r="AN74" i="4"/>
  <c r="AJ75" i="4"/>
  <c r="AN75" i="4"/>
  <c r="AJ76" i="4"/>
  <c r="AN76" i="4"/>
  <c r="AJ77" i="4"/>
  <c r="AN77" i="4"/>
  <c r="AN16" i="4"/>
  <c r="AJ16" i="4"/>
  <c r="AN15" i="4"/>
  <c r="AJ17" i="6"/>
  <c r="AN17" i="6"/>
  <c r="AJ18" i="6"/>
  <c r="AN18" i="6"/>
  <c r="AJ19" i="6"/>
  <c r="AN19" i="6"/>
  <c r="AJ20" i="6"/>
  <c r="AN20" i="6"/>
  <c r="AJ21" i="6"/>
  <c r="AN21" i="6"/>
  <c r="AJ22" i="6"/>
  <c r="AN22" i="6"/>
  <c r="AJ23" i="6"/>
  <c r="AN23" i="6"/>
  <c r="AJ24" i="6"/>
  <c r="AN24" i="6"/>
  <c r="AJ25" i="6"/>
  <c r="AN25" i="6"/>
  <c r="AJ26" i="6"/>
  <c r="AN26" i="6"/>
  <c r="AJ27" i="6"/>
  <c r="AN27" i="6"/>
  <c r="AJ28" i="6"/>
  <c r="AN28" i="6"/>
  <c r="AJ29" i="6"/>
  <c r="AN29" i="6"/>
  <c r="AJ30" i="6"/>
  <c r="AN30" i="6"/>
  <c r="AJ31" i="6"/>
  <c r="AN31" i="6"/>
  <c r="AJ32" i="6"/>
  <c r="AN32" i="6"/>
  <c r="AJ33" i="6"/>
  <c r="AN33" i="6"/>
  <c r="AJ34" i="6"/>
  <c r="AN34" i="6"/>
  <c r="AJ35" i="6"/>
  <c r="AN35" i="6"/>
  <c r="AJ36" i="6"/>
  <c r="AN36" i="6"/>
  <c r="AJ37" i="6"/>
  <c r="AN37" i="6"/>
  <c r="AJ38" i="6"/>
  <c r="AN38" i="6"/>
  <c r="AJ39" i="6"/>
  <c r="AN39" i="6"/>
  <c r="AJ40" i="6"/>
  <c r="AN40" i="6"/>
  <c r="AJ41" i="6"/>
  <c r="AN41" i="6"/>
  <c r="AJ42" i="6"/>
  <c r="AN42" i="6"/>
  <c r="AJ43" i="6"/>
  <c r="AN43" i="6"/>
  <c r="AJ44" i="6"/>
  <c r="AN44" i="6"/>
  <c r="AJ45" i="6"/>
  <c r="AN45" i="6"/>
  <c r="AJ46" i="6"/>
  <c r="AN46" i="6"/>
  <c r="AJ47" i="6"/>
  <c r="AN47" i="6"/>
  <c r="AJ48" i="6"/>
  <c r="AN48" i="6"/>
  <c r="AJ49" i="6"/>
  <c r="AN49" i="6"/>
  <c r="AJ50" i="6"/>
  <c r="AN50" i="6"/>
  <c r="AJ51" i="6"/>
  <c r="AN51" i="6"/>
  <c r="AJ52" i="6"/>
  <c r="AN52" i="6"/>
  <c r="AJ53" i="6"/>
  <c r="AN53" i="6"/>
  <c r="AJ54" i="6"/>
  <c r="AN54" i="6"/>
  <c r="AJ55" i="6"/>
  <c r="AN55" i="6"/>
  <c r="AJ56" i="6"/>
  <c r="AN56" i="6"/>
  <c r="AJ57" i="6"/>
  <c r="AN57" i="6"/>
  <c r="AJ58" i="6"/>
  <c r="AN58" i="6"/>
  <c r="AJ59" i="6"/>
  <c r="AN59" i="6"/>
  <c r="AJ60" i="6"/>
  <c r="AN60" i="6"/>
  <c r="AJ61" i="6"/>
  <c r="AN61" i="6"/>
  <c r="AJ62" i="6"/>
  <c r="AN62" i="6"/>
  <c r="AJ63" i="6"/>
  <c r="AN63" i="6"/>
  <c r="AJ64" i="6"/>
  <c r="AN64" i="6"/>
  <c r="AJ65" i="6"/>
  <c r="AN65" i="6"/>
  <c r="AJ66" i="6"/>
  <c r="AN66" i="6"/>
  <c r="AJ67" i="6"/>
  <c r="AN67" i="6"/>
  <c r="AJ68" i="6"/>
  <c r="AN68" i="6"/>
  <c r="AJ69" i="6"/>
  <c r="AN69" i="6"/>
  <c r="AJ70" i="6"/>
  <c r="AN70" i="6"/>
  <c r="AJ71" i="6"/>
  <c r="AN71" i="6"/>
  <c r="AJ72" i="6"/>
  <c r="AN72" i="6"/>
  <c r="AJ73" i="6"/>
  <c r="AN73" i="6"/>
  <c r="AJ74" i="6"/>
  <c r="AN74" i="6"/>
  <c r="AJ75" i="6"/>
  <c r="AN75" i="6"/>
  <c r="AJ76" i="6"/>
  <c r="AN76" i="6"/>
  <c r="AJ77" i="6"/>
  <c r="AN77" i="6"/>
  <c r="AJ78" i="6"/>
  <c r="AN78" i="6"/>
  <c r="AJ79" i="6"/>
  <c r="AN79" i="6"/>
  <c r="AJ80" i="6"/>
  <c r="AN80" i="6"/>
  <c r="AJ81" i="6"/>
  <c r="AN81" i="6"/>
  <c r="AJ82" i="6"/>
  <c r="AN82" i="6"/>
  <c r="AJ83" i="6"/>
  <c r="AN83" i="6"/>
  <c r="AJ84" i="6"/>
  <c r="AN84" i="6"/>
  <c r="AJ85" i="6"/>
  <c r="AN85" i="6"/>
  <c r="AJ86" i="6"/>
  <c r="AN86" i="6"/>
  <c r="AJ87" i="6"/>
  <c r="AN87" i="6"/>
  <c r="AJ88" i="6"/>
  <c r="AN88" i="6"/>
  <c r="AJ89" i="6"/>
  <c r="AN89" i="6"/>
  <c r="AJ90" i="6"/>
  <c r="AN90" i="6"/>
  <c r="AJ91" i="6"/>
  <c r="AN91" i="6"/>
  <c r="AJ92" i="6"/>
  <c r="AN92" i="6"/>
  <c r="AJ93" i="6"/>
  <c r="AN93" i="6"/>
  <c r="AJ94" i="6"/>
  <c r="AN94" i="6"/>
  <c r="AJ95" i="6"/>
  <c r="AN95" i="6"/>
  <c r="AJ96" i="6"/>
  <c r="AN96" i="6"/>
  <c r="AJ97" i="6"/>
  <c r="AN97" i="6"/>
  <c r="AJ98" i="6"/>
  <c r="AN98" i="6"/>
  <c r="AJ99" i="6"/>
  <c r="AN99" i="6"/>
  <c r="AJ100" i="6"/>
  <c r="AN100" i="6"/>
  <c r="AJ101" i="6"/>
  <c r="AN101" i="6"/>
  <c r="AJ102" i="6"/>
  <c r="AN102" i="6"/>
  <c r="AJ103" i="6"/>
  <c r="AN103" i="6"/>
  <c r="AJ104" i="6"/>
  <c r="AN104" i="6"/>
  <c r="AJ105" i="6"/>
  <c r="AN105" i="6"/>
  <c r="AJ106" i="6"/>
  <c r="AN106" i="6"/>
  <c r="AJ107" i="6"/>
  <c r="AN107" i="6"/>
  <c r="AJ108" i="6"/>
  <c r="AN108" i="6"/>
  <c r="AJ109" i="6"/>
  <c r="AN109" i="6"/>
  <c r="AJ110" i="6"/>
  <c r="AN110" i="6"/>
  <c r="AJ111" i="6"/>
  <c r="AN111" i="6"/>
  <c r="AJ112" i="6"/>
  <c r="AN112" i="6"/>
  <c r="AJ113" i="6"/>
  <c r="AN113" i="6"/>
  <c r="AJ114" i="6"/>
  <c r="AN114" i="6"/>
  <c r="AJ115" i="6"/>
  <c r="AN115" i="6"/>
  <c r="AJ116" i="6"/>
  <c r="AN116" i="6"/>
  <c r="AJ117" i="6"/>
  <c r="AN117" i="6"/>
  <c r="AJ118" i="6"/>
  <c r="AN118" i="6"/>
  <c r="AJ119" i="6"/>
  <c r="AN119" i="6"/>
  <c r="AJ120" i="6"/>
  <c r="AN120" i="6"/>
  <c r="AJ121" i="6"/>
  <c r="AN121" i="6"/>
  <c r="AJ122" i="6"/>
  <c r="AN122" i="6"/>
  <c r="AJ123" i="6"/>
  <c r="AN123" i="6"/>
  <c r="AJ124" i="6"/>
  <c r="AN124" i="6"/>
  <c r="AJ125" i="6"/>
  <c r="AN125" i="6"/>
  <c r="AJ126" i="6"/>
  <c r="AN126" i="6"/>
  <c r="AJ127" i="6"/>
  <c r="AN127" i="6"/>
  <c r="AJ128" i="6"/>
  <c r="AN128" i="6"/>
  <c r="AJ129" i="6"/>
  <c r="AN129" i="6"/>
  <c r="AJ130" i="6"/>
  <c r="AN130" i="6"/>
  <c r="AJ131" i="6"/>
  <c r="AN131" i="6"/>
  <c r="AJ132" i="6"/>
  <c r="AN132" i="6"/>
  <c r="AJ133" i="6"/>
  <c r="AN133" i="6"/>
  <c r="AJ134" i="6"/>
  <c r="AN134" i="6"/>
  <c r="AJ135" i="6"/>
  <c r="AN135" i="6"/>
  <c r="AJ136" i="6"/>
  <c r="AN136" i="6"/>
  <c r="AN16" i="6"/>
  <c r="AJ16" i="6"/>
  <c r="AN15" i="6"/>
  <c r="BN12" i="10"/>
  <c r="CB14" i="10"/>
  <c r="W14" i="10"/>
  <c r="I8" i="11"/>
  <c r="AK3" i="4"/>
  <c r="CT14" i="10"/>
  <c r="BY14" i="10"/>
  <c r="AI6" i="11"/>
  <c r="X13" i="10"/>
  <c r="AK3" i="11"/>
  <c r="AK8" i="11"/>
  <c r="AR12" i="10"/>
  <c r="I5" i="5"/>
  <c r="AK9" i="7"/>
  <c r="AK4" i="6"/>
  <c r="AI9" i="6"/>
  <c r="W10" i="10"/>
  <c r="BY9" i="10"/>
  <c r="J4" i="4"/>
  <c r="AI7" i="11"/>
  <c r="CH12" i="10"/>
  <c r="AZ10" i="10"/>
  <c r="AR10" i="10"/>
  <c r="Q14" i="10"/>
  <c r="I5" i="4"/>
  <c r="I4" i="11"/>
  <c r="DK13" i="10"/>
  <c r="CH13" i="10"/>
  <c r="AR9" i="10"/>
  <c r="AI9" i="4"/>
  <c r="DO13" i="10"/>
  <c r="BY13" i="10"/>
  <c r="AK7" i="5"/>
  <c r="AK6" i="4"/>
  <c r="J6" i="6"/>
  <c r="X9" i="10"/>
  <c r="I4" i="6"/>
  <c r="X11" i="10"/>
  <c r="BU10" i="10"/>
  <c r="AI5" i="11"/>
  <c r="AI9" i="11"/>
  <c r="CP13" i="10"/>
  <c r="BM9" i="10"/>
  <c r="I6" i="11"/>
  <c r="J5" i="4"/>
  <c r="AK4" i="11"/>
  <c r="AK7" i="7"/>
  <c r="AL13" i="10"/>
  <c r="DO9" i="10"/>
  <c r="AI9" i="5"/>
  <c r="I6" i="5"/>
  <c r="AS10" i="10"/>
  <c r="AI4" i="4"/>
  <c r="J8" i="7"/>
  <c r="BN9" i="10"/>
  <c r="BN14" i="10"/>
  <c r="AE13" i="10"/>
  <c r="CH10" i="10"/>
  <c r="AS11" i="10"/>
  <c r="CI11" i="10"/>
  <c r="CT13" i="10"/>
  <c r="BU11" i="10"/>
  <c r="AK3" i="6"/>
  <c r="BM12" i="10"/>
  <c r="I6" i="6"/>
  <c r="BM14" i="10"/>
  <c r="DC9" i="10"/>
  <c r="CH14" i="10"/>
  <c r="DK14" i="10"/>
  <c r="AI7" i="7"/>
  <c r="AI8" i="6"/>
  <c r="CI13" i="10"/>
  <c r="J8" i="11"/>
  <c r="AE9" i="10"/>
  <c r="J5" i="7"/>
  <c r="I8" i="4"/>
  <c r="AI3" i="5"/>
  <c r="J4" i="6"/>
  <c r="AI8" i="4"/>
  <c r="CT9" i="10"/>
  <c r="DC13" i="10"/>
  <c r="AK5" i="7"/>
  <c r="DD10" i="10"/>
  <c r="BG13" i="10"/>
  <c r="AL14" i="10"/>
  <c r="BY10" i="10"/>
  <c r="DD11" i="10"/>
  <c r="AI5" i="4"/>
  <c r="CP14" i="10"/>
  <c r="CI12" i="10"/>
  <c r="CP12" i="10"/>
  <c r="J8" i="5"/>
  <c r="DK12" i="10"/>
  <c r="DC14" i="10"/>
  <c r="I8" i="5"/>
  <c r="CT11" i="10"/>
  <c r="AI7" i="4"/>
  <c r="I6" i="4"/>
  <c r="AI8" i="5"/>
  <c r="J8" i="6"/>
  <c r="AS14" i="10"/>
  <c r="I4" i="7"/>
  <c r="AI5" i="7"/>
  <c r="W11" i="10"/>
  <c r="DC11" i="10"/>
  <c r="AI8" i="7"/>
  <c r="DD12" i="10"/>
  <c r="AK4" i="7"/>
  <c r="AS13" i="10"/>
  <c r="AR13" i="10"/>
  <c r="AK9" i="5"/>
  <c r="X10" i="10"/>
  <c r="Q10" i="10"/>
  <c r="W13" i="10"/>
  <c r="BY12" i="10"/>
  <c r="DO14" i="10"/>
  <c r="AK8" i="6"/>
  <c r="DC10" i="10"/>
  <c r="CP11" i="10"/>
  <c r="AE10" i="10"/>
  <c r="W9" i="10"/>
  <c r="CB13" i="10"/>
  <c r="AE11" i="10"/>
  <c r="BU9" i="10"/>
  <c r="DD14" i="10"/>
  <c r="AK5" i="4"/>
  <c r="AI3" i="11"/>
  <c r="AI4" i="5"/>
  <c r="AI5" i="5"/>
  <c r="AK5" i="11"/>
  <c r="AK6" i="11"/>
  <c r="I5" i="7"/>
  <c r="AR11" i="10"/>
  <c r="DO11" i="10"/>
  <c r="I6" i="7"/>
  <c r="J4" i="5"/>
  <c r="CP10" i="10"/>
  <c r="AK7" i="6"/>
  <c r="Q12" i="10"/>
  <c r="CT10" i="10"/>
  <c r="BN13" i="10"/>
  <c r="I4" i="5"/>
  <c r="X12" i="10"/>
  <c r="AZ12" i="10"/>
  <c r="DO10" i="10"/>
  <c r="AS12" i="10"/>
  <c r="AI8" i="11"/>
  <c r="X14" i="10"/>
  <c r="I8" i="6"/>
  <c r="AK4" i="5"/>
  <c r="I4" i="4"/>
  <c r="BY11" i="10"/>
  <c r="AI9" i="7"/>
  <c r="CI10" i="10"/>
  <c r="AI4" i="11"/>
  <c r="AZ13" i="10"/>
  <c r="AK8" i="7"/>
  <c r="AK6" i="7"/>
  <c r="AK8" i="5"/>
  <c r="BN10" i="10"/>
  <c r="J8" i="4"/>
  <c r="AK6" i="5"/>
  <c r="AK4" i="4"/>
  <c r="BU12" i="10"/>
  <c r="AI6" i="4"/>
  <c r="I5" i="6"/>
  <c r="BU14" i="10"/>
  <c r="BM13" i="10"/>
  <c r="CI14" i="10"/>
  <c r="BU13" i="10"/>
  <c r="AI3" i="7"/>
  <c r="AK5" i="6"/>
  <c r="AR14" i="10"/>
  <c r="W12" i="10"/>
  <c r="BN11" i="10"/>
  <c r="AI6" i="7"/>
  <c r="AI7" i="6"/>
  <c r="J5" i="6"/>
  <c r="AK6" i="6"/>
  <c r="AE12" i="10"/>
  <c r="J5" i="5"/>
  <c r="J6" i="7"/>
  <c r="AI4" i="7"/>
  <c r="Q11" i="10"/>
  <c r="AE14" i="10"/>
  <c r="AZ11" i="10"/>
  <c r="AI7" i="5"/>
  <c r="DD9" i="10"/>
  <c r="BM10" i="10"/>
  <c r="Q13" i="10"/>
  <c r="AK8" i="4"/>
  <c r="DK11" i="10"/>
  <c r="DD13" i="10"/>
  <c r="AZ14" i="10"/>
  <c r="Q9" i="10"/>
  <c r="CP9" i="10"/>
  <c r="DK9" i="10"/>
  <c r="AS9" i="10"/>
  <c r="AK7" i="11"/>
  <c r="CH9" i="10"/>
  <c r="AK7" i="4"/>
  <c r="CH11" i="10"/>
  <c r="DK10" i="10"/>
  <c r="I5" i="11"/>
  <c r="AI6" i="6"/>
  <c r="J6" i="4"/>
  <c r="AZ9" i="10"/>
  <c r="DO12" i="10"/>
  <c r="AI3" i="4"/>
  <c r="I8" i="7"/>
  <c r="CI9" i="10"/>
  <c r="J6" i="5"/>
  <c r="CT12" i="10"/>
  <c r="J4" i="7"/>
  <c r="BM11" i="10"/>
  <c r="DC12" i="10"/>
  <c r="BG14" i="10"/>
  <c r="AI10" i="6" l="1"/>
  <c r="AJ10" i="6" s="1"/>
  <c r="AJ12" i="6" s="1"/>
  <c r="AI10" i="5"/>
  <c r="AJ10" i="5" s="1"/>
  <c r="AJ12" i="5" s="1"/>
  <c r="AK10" i="5"/>
  <c r="AK10" i="4"/>
  <c r="AI10" i="4"/>
  <c r="AJ10" i="4" s="1"/>
  <c r="AJ12" i="4" s="1"/>
  <c r="AK10" i="7"/>
  <c r="AK10" i="6"/>
  <c r="AI10" i="7"/>
  <c r="AJ10" i="7" s="1"/>
  <c r="AJ12" i="7" s="1"/>
  <c r="AI10" i="11"/>
  <c r="AJ10" i="11" s="1"/>
  <c r="AJ12" i="11" s="1"/>
  <c r="AK10" i="11"/>
  <c r="AJ16" i="11"/>
  <c r="AJ17" i="11"/>
  <c r="AJ18" i="11"/>
  <c r="AJ19" i="11"/>
  <c r="AJ20" i="11"/>
  <c r="AJ21" i="11"/>
  <c r="AJ22" i="11"/>
  <c r="AJ23" i="11"/>
  <c r="AJ24" i="11"/>
  <c r="AJ25" i="11"/>
  <c r="AJ26" i="11"/>
  <c r="AJ27" i="11"/>
  <c r="AJ28" i="11"/>
  <c r="AJ29" i="11"/>
  <c r="AJ30" i="11"/>
  <c r="AJ31" i="11"/>
  <c r="AJ32" i="11"/>
  <c r="AJ33" i="11"/>
  <c r="AJ34" i="11"/>
  <c r="AJ35" i="11"/>
  <c r="AJ36" i="11"/>
  <c r="AJ37" i="11"/>
  <c r="AJ38" i="11"/>
  <c r="AJ39" i="11"/>
  <c r="AJ40" i="11"/>
  <c r="AJ41" i="11"/>
  <c r="AJ42" i="11"/>
  <c r="AJ43" i="11"/>
  <c r="AJ44" i="11"/>
  <c r="AJ45" i="11"/>
  <c r="AJ46" i="11"/>
  <c r="AJ47" i="11"/>
  <c r="AJ15" i="11"/>
  <c r="BG11" i="10"/>
  <c r="CB10" i="10"/>
  <c r="AL11" i="10"/>
  <c r="CB9" i="10"/>
  <c r="J6" i="11"/>
  <c r="BG9" i="10"/>
  <c r="CB12" i="10"/>
  <c r="BG10" i="10"/>
  <c r="J4" i="11"/>
  <c r="AL10" i="10"/>
  <c r="BG12" i="10"/>
  <c r="J5" i="11"/>
  <c r="AL12" i="10"/>
  <c r="CB11" i="10"/>
  <c r="AL9" i="10"/>
  <c r="AN47" i="11" l="1"/>
  <c r="AN46" i="11"/>
  <c r="AN45" i="11"/>
  <c r="AN44" i="11"/>
  <c r="AN43" i="11"/>
  <c r="AN42" i="11"/>
  <c r="AN41" i="11"/>
  <c r="AN40" i="11"/>
  <c r="AN39" i="11"/>
  <c r="AN38" i="11"/>
  <c r="AN37" i="11"/>
  <c r="AN36" i="11"/>
  <c r="AN35" i="11"/>
  <c r="AN34" i="11"/>
  <c r="AN33" i="11"/>
  <c r="AN32" i="11"/>
  <c r="AN31" i="11"/>
  <c r="AN30" i="11"/>
  <c r="AN29" i="11"/>
  <c r="AN28" i="11"/>
  <c r="AN27" i="11"/>
  <c r="AN26" i="11"/>
  <c r="AN25" i="11"/>
  <c r="AN24" i="11"/>
  <c r="AN23" i="11"/>
  <c r="AN22" i="11"/>
  <c r="AN21" i="11"/>
  <c r="AN20" i="11"/>
  <c r="AN19" i="11"/>
  <c r="AN18" i="11"/>
  <c r="AN17" i="11"/>
  <c r="AN16" i="11"/>
  <c r="AN15" i="11"/>
  <c r="AN15" i="7"/>
  <c r="AN41" i="5"/>
  <c r="AN40" i="5"/>
  <c r="AN39" i="5"/>
  <c r="AN38" i="5"/>
  <c r="AN37" i="5"/>
  <c r="AN36" i="5"/>
  <c r="AN35" i="5"/>
  <c r="AN34" i="5"/>
  <c r="AN33" i="5"/>
  <c r="AN32" i="5"/>
  <c r="AN31" i="5"/>
  <c r="AN30" i="5"/>
  <c r="AN29" i="5"/>
  <c r="AN28" i="5"/>
  <c r="AN27" i="5"/>
  <c r="AN26" i="5"/>
  <c r="AN25" i="5"/>
  <c r="AN24" i="5"/>
  <c r="AN23" i="5"/>
  <c r="AN22" i="5"/>
  <c r="AN21" i="5"/>
  <c r="AN20" i="5"/>
  <c r="AN19" i="5"/>
  <c r="AN18" i="5"/>
  <c r="G13" i="10"/>
  <c r="L13" i="10"/>
  <c r="E13" i="10"/>
  <c r="O13" i="10"/>
  <c r="N13" i="10"/>
  <c r="K13" i="10"/>
  <c r="M13" i="10"/>
  <c r="H13" i="10"/>
  <c r="J13" i="10" l="1"/>
  <c r="I13" i="10"/>
  <c r="F13" i="10"/>
  <c r="G9" i="10"/>
  <c r="S8" i="10" l="1"/>
  <c r="T8" i="10"/>
  <c r="R8" i="10" l="1"/>
  <c r="BI8" i="10" l="1"/>
  <c r="CZ8" i="10"/>
  <c r="AE8" i="10"/>
  <c r="W8" i="10"/>
  <c r="CE8" i="10"/>
  <c r="CD8" i="10"/>
  <c r="AO8" i="10"/>
  <c r="BJ8" i="10"/>
  <c r="AN8" i="10"/>
  <c r="CY8" i="10"/>
  <c r="X8" i="10"/>
  <c r="E10" i="10"/>
  <c r="K14" i="10"/>
  <c r="E9" i="10"/>
  <c r="N14" i="10"/>
  <c r="H12" i="10"/>
  <c r="O11" i="10"/>
  <c r="M12" i="10"/>
  <c r="L9" i="10"/>
  <c r="O12" i="10"/>
  <c r="K12" i="10"/>
  <c r="L11" i="10"/>
  <c r="N10" i="10"/>
  <c r="M9" i="10"/>
  <c r="K9" i="10"/>
  <c r="H9" i="10"/>
  <c r="K11" i="10"/>
  <c r="L14" i="10"/>
  <c r="E14" i="10"/>
  <c r="H14" i="10"/>
  <c r="N12" i="10"/>
  <c r="O9" i="10"/>
  <c r="G11" i="10"/>
  <c r="M14" i="10"/>
  <c r="G14" i="10"/>
  <c r="H11" i="10"/>
  <c r="G12" i="10"/>
  <c r="O10" i="10"/>
  <c r="H10" i="10"/>
  <c r="E12" i="10"/>
  <c r="E11" i="10"/>
  <c r="L12" i="10"/>
  <c r="M11" i="10"/>
  <c r="O14" i="10"/>
  <c r="N9" i="10"/>
  <c r="M10" i="10"/>
  <c r="K10" i="10"/>
  <c r="G10" i="10"/>
  <c r="N11" i="10"/>
  <c r="L10" i="10"/>
  <c r="H8" i="10" l="1"/>
  <c r="I9" i="10"/>
  <c r="F14" i="10"/>
  <c r="I14" i="10"/>
  <c r="M8" i="10"/>
  <c r="J12" i="10"/>
  <c r="F11" i="10"/>
  <c r="I11" i="10"/>
  <c r="F9" i="10"/>
  <c r="E8" i="10"/>
  <c r="J14" i="10"/>
  <c r="L8" i="10"/>
  <c r="J11" i="10"/>
  <c r="N8" i="10"/>
  <c r="I10" i="10"/>
  <c r="G8" i="10"/>
  <c r="F10" i="10"/>
  <c r="I12" i="10"/>
  <c r="F12" i="10"/>
  <c r="J10" i="10"/>
  <c r="J9" i="10"/>
  <c r="K8" i="10"/>
  <c r="CX8" i="10"/>
  <c r="BH8" i="10"/>
  <c r="AM8" i="10"/>
  <c r="CC8" i="10"/>
  <c r="I8" i="10" l="1"/>
  <c r="J8" i="10"/>
  <c r="F8" i="10"/>
  <c r="DD8" i="10"/>
  <c r="CI8" i="10"/>
  <c r="DK8" i="10"/>
  <c r="AS8" i="10"/>
  <c r="AZ8" i="10"/>
  <c r="CP8" i="10"/>
  <c r="DC8" i="10"/>
  <c r="AR8" i="10"/>
  <c r="BN8" i="10"/>
  <c r="CH8" i="10"/>
  <c r="BM8" i="10"/>
  <c r="BU8" i="10"/>
  <c r="CJ9" i="10"/>
  <c r="V9" i="10"/>
  <c r="U9" i="10" l="1"/>
  <c r="DF9" i="10"/>
  <c r="CQ9" i="10"/>
  <c r="BO9" i="10"/>
  <c r="BT9" i="10"/>
  <c r="Y9" i="10"/>
  <c r="AU9" i="10"/>
  <c r="DJ9" i="10"/>
  <c r="AV9" i="10"/>
  <c r="CO9" i="10"/>
  <c r="BP9" i="10"/>
  <c r="DE9" i="10"/>
  <c r="AT9" i="10"/>
  <c r="AC9" i="10"/>
  <c r="BW9" i="10"/>
  <c r="AX9" i="10"/>
  <c r="DI9" i="10"/>
  <c r="AY9" i="10"/>
  <c r="DL9" i="10"/>
  <c r="CL9" i="10"/>
  <c r="CN9" i="10"/>
  <c r="CK9" i="10"/>
  <c r="DB9" i="10"/>
  <c r="AG9" i="10"/>
  <c r="Z9" i="10"/>
  <c r="BS9" i="10"/>
  <c r="DM9" i="10"/>
  <c r="CR9" i="10"/>
  <c r="AF9" i="10"/>
  <c r="BA9" i="10"/>
  <c r="BV9" i="10"/>
  <c r="AD9" i="10"/>
  <c r="DG9" i="10"/>
  <c r="AA9" i="10"/>
  <c r="BQ9" i="10"/>
  <c r="BB9" i="10"/>
  <c r="DA9" i="10" l="1"/>
  <c r="AW9" i="10"/>
  <c r="AQ9" i="10"/>
  <c r="AP9" i="10" l="1"/>
  <c r="AB9" i="10"/>
  <c r="BL9" i="10"/>
  <c r="DH9" i="10"/>
  <c r="CM9" i="10"/>
  <c r="BK9" i="10" l="1"/>
  <c r="BR9" i="10"/>
  <c r="CG9" i="10"/>
  <c r="CF9" i="10" l="1"/>
  <c r="V10" i="10"/>
  <c r="U10" i="10" l="1"/>
  <c r="AA10" i="10"/>
  <c r="DM10" i="10"/>
  <c r="CJ10" i="10"/>
  <c r="CK10" i="10"/>
  <c r="BO10" i="10"/>
  <c r="BV10" i="10"/>
  <c r="CO10" i="10"/>
  <c r="BW10" i="10"/>
  <c r="AG10" i="10"/>
  <c r="CN10" i="10"/>
  <c r="AX10" i="10"/>
  <c r="AC10" i="10"/>
  <c r="AU10" i="10"/>
  <c r="BS10" i="10"/>
  <c r="BP10" i="10"/>
  <c r="DB10" i="10"/>
  <c r="AT10" i="10"/>
  <c r="BT10" i="10"/>
  <c r="DJ10" i="10"/>
  <c r="DF10" i="10"/>
  <c r="AV10" i="10"/>
  <c r="Z10" i="10"/>
  <c r="DG10" i="10"/>
  <c r="AD10" i="10"/>
  <c r="BB10" i="10"/>
  <c r="BQ10" i="10"/>
  <c r="CL10" i="10"/>
  <c r="DE10" i="10"/>
  <c r="Y10" i="10"/>
  <c r="CQ10" i="10"/>
  <c r="CR10" i="10"/>
  <c r="AY10" i="10"/>
  <c r="DI10" i="10"/>
  <c r="AF10" i="10"/>
  <c r="BA10" i="10"/>
  <c r="DL10" i="10"/>
  <c r="DA10" i="10" l="1"/>
  <c r="AW10" i="10"/>
  <c r="AQ10" i="10"/>
  <c r="AP10" i="10" l="1"/>
  <c r="AB10" i="10"/>
  <c r="BL10" i="10"/>
  <c r="CM10" i="10"/>
  <c r="DH10" i="10"/>
  <c r="BK10" i="10" l="1"/>
  <c r="BR10" i="10"/>
  <c r="CG10" i="10"/>
  <c r="CF10" i="10" l="1"/>
  <c r="AC12" i="10"/>
  <c r="DB12" i="10"/>
  <c r="CG12" i="10"/>
  <c r="AY12" i="10"/>
  <c r="AB12" i="10"/>
  <c r="AX12" i="10"/>
  <c r="DJ12" i="10"/>
  <c r="CR12" i="10"/>
  <c r="AT12" i="10"/>
  <c r="BP12" i="10"/>
  <c r="BS12" i="10"/>
  <c r="DE12" i="10"/>
  <c r="V12" i="10"/>
  <c r="BR12" i="10"/>
  <c r="DM12" i="10"/>
  <c r="AG12" i="10"/>
  <c r="CN12" i="10"/>
  <c r="BV12" i="10"/>
  <c r="BA12" i="10"/>
  <c r="BB12" i="10"/>
  <c r="AW12" i="10"/>
  <c r="CJ12" i="10"/>
  <c r="CK12" i="10"/>
  <c r="BW12" i="10"/>
  <c r="AF12" i="10"/>
  <c r="CQ12" i="10"/>
  <c r="DI12" i="10"/>
  <c r="BO12" i="10"/>
  <c r="CM12" i="10"/>
  <c r="Y12" i="10"/>
  <c r="DF12" i="10"/>
  <c r="DA12" i="10" l="1"/>
  <c r="CF12" i="10"/>
  <c r="U12" i="10"/>
  <c r="Z12" i="10"/>
  <c r="BL12" i="10"/>
  <c r="AU12" i="10"/>
  <c r="BK12" i="10" l="1"/>
  <c r="BT12" i="10"/>
  <c r="AQ12" i="10"/>
  <c r="CO12" i="10"/>
  <c r="AV12" i="10"/>
  <c r="CL12" i="10"/>
  <c r="AA12" i="10"/>
  <c r="DH12" i="10"/>
  <c r="AD12" i="10"/>
  <c r="BQ12" i="10"/>
  <c r="DG12" i="10"/>
  <c r="DL12" i="10"/>
  <c r="AP12" i="10" l="1"/>
  <c r="V11" i="10"/>
  <c r="U11" i="10" l="1"/>
  <c r="AV11" i="10"/>
  <c r="AF11" i="10"/>
  <c r="AX11" i="10"/>
  <c r="BB11" i="10"/>
  <c r="BT11" i="10"/>
  <c r="AC11" i="10"/>
  <c r="CR11" i="10"/>
  <c r="BW11" i="10"/>
  <c r="DJ11" i="10"/>
  <c r="Y11" i="10"/>
  <c r="CN11" i="10"/>
  <c r="DG11" i="10"/>
  <c r="CO11" i="10"/>
  <c r="BS11" i="10"/>
  <c r="BO11" i="10"/>
  <c r="BV11" i="10"/>
  <c r="AG11" i="10"/>
  <c r="CJ11" i="10"/>
  <c r="DB11" i="10"/>
  <c r="AD11" i="10"/>
  <c r="AT11" i="10"/>
  <c r="DF11" i="10"/>
  <c r="Z11" i="10"/>
  <c r="BP11" i="10"/>
  <c r="CQ11" i="10"/>
  <c r="BQ11" i="10"/>
  <c r="AA11" i="10"/>
  <c r="CL11" i="10"/>
  <c r="DM11" i="10"/>
  <c r="DE11" i="10"/>
  <c r="BA11" i="10"/>
  <c r="CK11" i="10"/>
  <c r="AU11" i="10"/>
  <c r="DI11" i="10"/>
  <c r="DL11" i="10"/>
  <c r="AY11" i="10"/>
  <c r="DA11" i="10" l="1"/>
  <c r="AQ11" i="10"/>
  <c r="AW11" i="10"/>
  <c r="AP11" i="10" l="1"/>
  <c r="BL11" i="10"/>
  <c r="CM11" i="10"/>
  <c r="DH11" i="10"/>
  <c r="AB11" i="10"/>
  <c r="BK11" i="10" l="1"/>
  <c r="BR11" i="10"/>
  <c r="CG11" i="10"/>
  <c r="CF11" i="10" l="1"/>
  <c r="V14" i="10"/>
  <c r="DB14" i="10"/>
  <c r="AQ14" i="10"/>
  <c r="DG14" i="10"/>
  <c r="AG14" i="10"/>
  <c r="CO14" i="10"/>
  <c r="DM14" i="10"/>
  <c r="AA14" i="10"/>
  <c r="AB14" i="10"/>
  <c r="BT14" i="10"/>
  <c r="DI14" i="10"/>
  <c r="BV14" i="10"/>
  <c r="CK14" i="10"/>
  <c r="Z14" i="10"/>
  <c r="CL14" i="10"/>
  <c r="CQ14" i="10"/>
  <c r="BB14" i="10"/>
  <c r="BA14" i="10"/>
  <c r="BP14" i="10"/>
  <c r="BO14" i="10"/>
  <c r="DF14" i="10"/>
  <c r="CN14" i="10"/>
  <c r="BW14" i="10"/>
  <c r="CG14" i="10"/>
  <c r="CR14" i="10"/>
  <c r="BR14" i="10"/>
  <c r="CM14" i="10"/>
  <c r="DE14" i="10"/>
  <c r="BS14" i="10"/>
  <c r="AU14" i="10"/>
  <c r="AC14" i="10"/>
  <c r="AD14" i="10"/>
  <c r="Y14" i="10"/>
  <c r="AV14" i="10"/>
  <c r="AY14" i="10"/>
  <c r="AW14" i="10"/>
  <c r="DL14" i="10"/>
  <c r="AX14" i="10"/>
  <c r="DJ14" i="10"/>
  <c r="BL14" i="10"/>
  <c r="AF14" i="10"/>
  <c r="AT14" i="10"/>
  <c r="DH14" i="10"/>
  <c r="CJ14" i="10"/>
  <c r="BQ14" i="10"/>
  <c r="CF14" i="10" l="1"/>
  <c r="AP14" i="10"/>
  <c r="DA14" i="10"/>
  <c r="BK14" i="10"/>
  <c r="U14" i="10"/>
  <c r="V13" i="10"/>
  <c r="U13" i="10" l="1"/>
  <c r="V8" i="10"/>
  <c r="U8" i="10" s="1"/>
  <c r="BW13" i="10"/>
  <c r="CO13" i="10"/>
  <c r="DJ13" i="10"/>
  <c r="AV13" i="10"/>
  <c r="BO13" i="10"/>
  <c r="AX13" i="10"/>
  <c r="BB13" i="10"/>
  <c r="DL13" i="10"/>
  <c r="DM13" i="10"/>
  <c r="AC13" i="10"/>
  <c r="BV13" i="10"/>
  <c r="AT13" i="10"/>
  <c r="DI13" i="10"/>
  <c r="CQ13" i="10"/>
  <c r="AG13" i="10"/>
  <c r="BP13" i="10"/>
  <c r="CL13" i="10"/>
  <c r="DF13" i="10"/>
  <c r="BS13" i="10"/>
  <c r="CK13" i="10"/>
  <c r="AY13" i="10"/>
  <c r="AF13" i="10"/>
  <c r="BQ13" i="10"/>
  <c r="BA13" i="10"/>
  <c r="CR13" i="10"/>
  <c r="DB13" i="10"/>
  <c r="AU13" i="10"/>
  <c r="CN13" i="10"/>
  <c r="Y13" i="10"/>
  <c r="DE13" i="10"/>
  <c r="Z13" i="10"/>
  <c r="AD13" i="10"/>
  <c r="CJ13" i="10"/>
  <c r="DG13" i="10"/>
  <c r="AA13" i="10"/>
  <c r="BT13" i="10"/>
  <c r="BA8" i="10" l="1"/>
  <c r="AY8" i="10"/>
  <c r="AA8" i="10"/>
  <c r="AU8" i="10"/>
  <c r="DG8" i="10"/>
  <c r="CR8" i="10"/>
  <c r="AV8" i="10"/>
  <c r="BW8" i="10"/>
  <c r="CJ8" i="10"/>
  <c r="DE8" i="10"/>
  <c r="CL8" i="10"/>
  <c r="AC8" i="10"/>
  <c r="CN8" i="10"/>
  <c r="AT8" i="10"/>
  <c r="DM8" i="10"/>
  <c r="BS8" i="10"/>
  <c r="CO8" i="10"/>
  <c r="BQ8" i="10"/>
  <c r="AG8" i="10"/>
  <c r="AX8" i="10"/>
  <c r="Z8" i="10"/>
  <c r="BO8" i="10"/>
  <c r="BB8" i="10"/>
  <c r="DL8" i="10"/>
  <c r="BT8" i="10"/>
  <c r="DF8" i="10"/>
  <c r="CQ8" i="10"/>
  <c r="Y8" i="10"/>
  <c r="BV8" i="10"/>
  <c r="AF8" i="10"/>
  <c r="DJ8" i="10"/>
  <c r="CK8" i="10"/>
  <c r="DI8" i="10"/>
  <c r="AD8" i="10"/>
  <c r="BP8" i="10"/>
  <c r="DA13" i="10"/>
  <c r="DB8" i="10"/>
  <c r="DA8" i="10" s="1"/>
  <c r="AQ13" i="10"/>
  <c r="AW13" i="10"/>
  <c r="AW8" i="10" l="1"/>
  <c r="AP13" i="10"/>
  <c r="AQ8" i="10"/>
  <c r="AP8" i="10" s="1"/>
  <c r="BL13" i="10"/>
  <c r="CM13" i="10"/>
  <c r="AB13" i="10"/>
  <c r="DH13" i="10"/>
  <c r="AB8" i="10" l="1"/>
  <c r="CM8" i="10"/>
  <c r="DH8" i="10"/>
  <c r="BK13" i="10"/>
  <c r="BL8" i="10"/>
  <c r="BK8" i="10" s="1"/>
  <c r="BR13" i="10"/>
  <c r="CG13" i="10"/>
  <c r="BR8" i="10" l="1"/>
  <c r="CF13" i="10"/>
  <c r="CG8" i="10"/>
  <c r="CF8" i="10" s="1"/>
</calcChain>
</file>

<file path=xl/comments1.xml><?xml version="1.0" encoding="utf-8"?>
<comments xmlns="http://schemas.openxmlformats.org/spreadsheetml/2006/main">
  <authors>
    <author/>
  </authors>
  <commentList>
    <comment ref="I38" authorId="0" shapeId="0">
      <text>
        <r>
          <rPr>
            <sz val="9"/>
            <color indexed="81"/>
            <rFont val="Tahoma"/>
            <family val="2"/>
          </rPr>
          <t>Auto change Active Build mode when import project
&lt;e2studio_2.0.1.3, CCRX E2.01.00a&gt;
1. Create RX Sample Project (default) with 2 build mode “HardwareDebug” and “Release”
2. Set active build mode is “HardwareDebug”
3. Remove project 
4. Import project again
 Expected:
    "HardwareDebug?" build mode should be active build mode
Actual:
    "Release" build mode is active build mode</t>
        </r>
      </text>
    </comment>
    <comment ref="I98" authorId="0" shapeId="0">
      <text>
        <r>
          <rPr>
            <sz val="9"/>
            <color indexed="81"/>
            <rFont val="Tahoma"/>
            <family val="2"/>
          </rPr>
          <t>→ Bug?</t>
        </r>
        <r>
          <rPr>
            <b/>
            <sz val="9"/>
            <color indexed="81"/>
            <rFont val="Tahoma"/>
            <family val="2"/>
          </rPr>
          <t>Muoi Nguyen:</t>
        </r>
        <r>
          <rPr>
            <sz val="9"/>
            <color indexed="81"/>
            <rFont val="Tahoma"/>
            <family val="2"/>
          </rPr>
          <t xml:space="preserve">
</t>
        </r>
      </text>
    </comment>
    <comment ref="I106" authorId="0" shapeId="0">
      <text>
        <r>
          <rPr>
            <sz val="9"/>
            <color indexed="81"/>
            <rFont val="Tahoma"/>
            <family val="2"/>
          </rPr>
          <t>→ Bug?</t>
        </r>
      </text>
    </comment>
  </commentList>
</comments>
</file>

<file path=xl/sharedStrings.xml><?xml version="1.0" encoding="utf-8"?>
<sst xmlns="http://schemas.openxmlformats.org/spreadsheetml/2006/main" count="7396" uniqueCount="1322">
  <si>
    <t>Pass</t>
  </si>
  <si>
    <t>Simulator</t>
  </si>
  <si>
    <t>Ju120_RT401</t>
  </si>
  <si>
    <t>RVC/HueL 
GCSTrangT</t>
  </si>
  <si>
    <t>8. Verified that there is no exception reported in error log
9. Verified that there is no exception reported in error log</t>
  </si>
  <si>
    <t>[Multiple Configuration]: Selection of different optimization level throws exception for KPIT GNU toolchain projects.
1. Create a any GNU toolchain project.
2. Create a custom configuration as 'Custom_debug' using existing configuration as 'Debug'.
3. Go to MBS Settings and select Multiple configuration from 'MBS &gt; C/C++ build &gt; Setting &gt; Configuration'
4. Select Custom_Debug and Debug.
5. Go to MBS &gt; C/C++ build &gt; Settings &gt; Compiler &gt; Object &gt; Optimization level.
6. Select Optimization level as "NONE".
7. Press apply.
8. Check error log tab. 
9. Repeat steps 6 to 8 for all optimization levels.</t>
  </si>
  <si>
    <t>Multiple configuration</t>
  </si>
  <si>
    <t>#6191</t>
  </si>
  <si>
    <t>4.Verify that no Exception occurs
5.Verify that no Exception occurs 
6.Verify that no Exception occurs
7.Verify that ClassCastException does not occur</t>
  </si>
  <si>
    <t xml:space="preserve">Case 3: custom configuration
1. Create any KPIT-GNU toolchain project.
2. Create a custom configuration "Custom".
3. Go to project properties &gt; C/C++ build &gt; settings &gt; Compiler object.
4. Select Optimization level as "Speed Optimization"
5. Select Optimization level as "Code size Optimization"
6. Select Optimization level as "Speed and Code size Optimization", press apply.
7. Press OK
</t>
  </si>
  <si>
    <t>#6160_03</t>
  </si>
  <si>
    <t xml:space="preserve">4. Verify that no Exception occurs
5. Verify that ClassCastException does not occur 
6. Verify that no Exception occurs
7. Verify that ClassCastException does not occur </t>
  </si>
  <si>
    <t xml:space="preserve">Case 2: "All configurations"
1. Create any KPIT-GNU toolchain project.
2. Go to project properties &gt; C/C++ build &gt; settings &gt; Compiler object.
3. Change configuration from top menu to "All configurations"
4. Select Optimization level as "Speed Optimization"
Issue: Unhandled event loop exception
5. Press "Apply"
6. Select Optimization level as "Code size Optimization"
Issue: [Error Log] Unhandled event loop exception
7. Press "Apply"
</t>
  </si>
  <si>
    <t>#6160_02</t>
  </si>
  <si>
    <t xml:space="preserve">4. Verify that no Exception occurs 
Issue: Unhandled event loop exception
5. Verify that ClassCastException does not occur 
6. Verify that no Exception occurs 
7. Verify that ClassCastException does not occur </t>
  </si>
  <si>
    <t xml:space="preserve">Toolchain: GNURXv15.01-ELF
Case 1: "Multiple configurations"
1. Create any KPIT-GNU toolchain project.
2. Go to project properties &gt; C/C++ build &gt; settings &gt; Compiler object.
3. Change configuration from top menu to "Multiple configurations"
4. Select Optimization level as "Speed Optimization"
5. Press "Apply"
6. Select Optimization level as "Code size Optimization"
Issue: [Error Log] Unhandled event loop exception
7. Press "Apply"
</t>
  </si>
  <si>
    <t xml:space="preserve">Application </t>
  </si>
  <si>
    <t>#6160_01</t>
  </si>
  <si>
    <t>Fail (Known)</t>
  </si>
  <si>
    <t>Trac #7305</t>
  </si>
  <si>
    <t>5. Build successfully</t>
  </si>
  <si>
    <t>1. Create GNURX project for RX63T target with all the configurations.
2. Create a new Custom configurations
3. Go to [Compiler[ &gt; [CPU] &gt; check on [Enable linker relaxation(-mrelax)]
4. Go to [Linker] &gt; [Miscellaneous] &gt; check on [Optimise for memory usage (-no-keep-memory)]
5. Build the project for all Custom configurations.</t>
  </si>
  <si>
    <t>#6447_02</t>
  </si>
  <si>
    <t>5. Build successfully
*Limitation: Project build fails for Release configuration if user passes the '-no-keep-memory' and '-mrelax' options at the same time. (reported #6580)</t>
  </si>
  <si>
    <t>1. Create GNURX project for RX63T target with all the configurations.
2. Go to [Compiler[ &gt; [CPU] &gt; check on [Enable linker relaxation(-mrelax)]
3. Go to [Linker] &gt; [Miscellaneous] &gt; check on [Optimise for memory usage (-no-keep-memory)]
4. Repeat steps 2,3 for Debug, Hardware, Release build configuration
5. Build the project for all the configurations.
6. Project build successfully for "HardwareDebug" and "Debug" configurations.</t>
  </si>
  <si>
    <t>Application</t>
  </si>
  <si>
    <t>#6447_01</t>
  </si>
  <si>
    <t>GCS/MuoiN</t>
  </si>
  <si>
    <t xml:space="preserve">RVC/HueL 
GCSTrangT </t>
  </si>
  <si>
    <t xml:space="preserve">3. Section FIXEDVECT should be mapped to .fvectors 
4. Project gets build successfully  </t>
  </si>
  <si>
    <t xml:space="preserve">Case 2:
1. Create CCRX project for any targets other than RX64M/RX17M targets
2. Use CCRX conversion to convert project to GNURX
3. In properties for project, setting tab chooes Linker Section UI 
4. Build project.
</t>
  </si>
  <si>
    <t>6757_2</t>
  </si>
  <si>
    <t>3. Sections RESETVECT and EXCEPTVECT should be mapped
4. Project gets build successfully</t>
  </si>
  <si>
    <t>Case 1:
1. Create CCRX project for RX64M/RX17M targets
2. Delete project (not delete on disk).
3. Import using CCRX conversion to convert project to GNURX
3. Go to properties for project, setting tab &gt; choose Linker Section UI . 
 to .fvectors and .exvectors sections respectively 
4. Build project.</t>
  </si>
  <si>
    <t>6757_1</t>
  </si>
  <si>
    <t>[GCS] Bug4.2.0_19 -&gt; Spec</t>
  </si>
  <si>
    <t xml:space="preserve">1. Create new executable and library projects for GNURL78.
2. Go to MBS settings &gt; Compiler &gt; Object &gt; Optimization level -&gt;  Specify 'Code size optimization' 
3. Build project
4. Go to MBS settings &gt; Compiler &gt; Object &gt; Optimization level -&gt;  Not Specify 'Code size optimization' 
5. Build project
</t>
  </si>
  <si>
    <t>#6475_02</t>
  </si>
  <si>
    <t>1.- Verify that [Enable linker relaxation(-mrelax)] is supported at Compiler &gt; CPU.
3.- Verified that '-mrelax' is added to All options dialog and Output build command line of Compiler phase. -PASS
- Verified that '-mrelax' is added to All options dialog and Output build command line of Assembler phase. -FAIL
Issue:
      +  With Executable project:  All options dialog: -relax; Output build command: -mrelax
      +  With Library project:  All options dialog: -relax; Output build command: -relax
- Verified that '-relax' is added to All options dialog and Output build command line of Linker phase. -PASS
- Verified that '--assembler-options=-relax' is added to All options dialog and Output build command line of Library Generator phase. -PASS</t>
  </si>
  <si>
    <t xml:space="preserve">1. Create GNURL78 executable and library projects.
2. Check on [Enable linker relaxation(-mrelax)]
3. Build project
</t>
  </si>
  <si>
    <t>#6475_01</t>
  </si>
  <si>
    <t>Ju153_RT410</t>
  </si>
  <si>
    <t xml:space="preserve"> 1. Create project with GNURL78v15.01 tool chain (RL78/G10)
 2. Build project
 3. Go to MBS &gt; C/C++ build &gt; Settings &gt; Linker &gt; Sections
 4. Choose a linker scripts with applicable device in Override linker
 scripts box &gt; click OK and apply
 5. Initialized and un-initialized data testing : 
 6. '.data' and '.bss' section initialization code testing : </t>
  </si>
  <si>
    <t>2.
-mrelax will show in CPU tab of compiler tool
'-relax' will show in Object tab of Assembler
'-relax' will show in Output tab of linker tool
3
-mrelax won't show in CPU tab of compiler tool
 '-relax' won't show in Object tab of Assembler
'-relax' won't show inOutput tab of linker tool
4. '-relax' show in Assembler
5. '-relax' show in Linker
6. '-mrelax' show in CPU tab of compiler tool
7. '-mrelax'  won't  show in CPU tab of compiler tool</t>
  </si>
  <si>
    <t xml:space="preserve">Case2:
1.Create C/C++ projects of GNURL78 toolchain.
2. Enable MBS &gt; Compiler &gt; CPU &gt; Enable linker relaxation(-mrelax).
3. Disable MBS &gt; Compiler &gt; CPU &gt; Enable linker relaxation(-mrelax).
4. Enable MBS &gt; Assembler &gt; Object &gt; Enable linker relaxation(-relax).
5. Enable MBS &gt; Linker &gt; Output &gt; Enable linker relaxation(-relax).
6. Enable MBS &gt; Compiler &gt; CPU &gt; Enable linker relaxation(-mrelax).
7. Return initial condition: Disable MBS &gt; Compiler &gt; CPU &gt; Enable linker relaxation(-mrelax).
</t>
  </si>
  <si>
    <t>6785_2</t>
  </si>
  <si>
    <t>2.
-mrelax will show in CPU tab of compiler tool
'-relax' will show in Object tab of Assembler 
'-relax' will show in Output tab of linker tool
3.
 -mrelax won't show in CPU tab of compiler tool
 '-relax' won't show in Object tab of Assembler
 '-relax' won't show inOutput tab of linker tool
4.  '-relax' show in Assembler
5.  '-relax' show in Linker
6.  '-mrelax' show in CPU tab of compiler tool
7. '-mrelax'  won't  show in CPU tab of compiler tool</t>
  </si>
  <si>
    <t xml:space="preserve">Case 1:
1. Create C/C++ projects of GNURX toolchain.
2. Enable MBS &gt; Compiler &gt; CPU &gt; Enable linker relaxation(-mrelax).
3. Disable MBS &gt; Compiler &gt; CPU &gt; Enable linker relaxation(-mrelax).
4. Enable MBS &gt; Assembler &gt; Object &gt; Enable linker relaxation(-relax).
5. Enable MBS &gt; Linker &gt; Output &gt; Enable linker relaxation(-relax).
6. Enable MBS &gt; Compiler &gt; CPU &gt; Enable linker relaxation(-mrelax).
7. Return initial condition: Disable MBS &gt; Compiler &gt; CPU &gt; Enable linker relaxation(-mrelax).
</t>
  </si>
  <si>
    <t>6785_1</t>
  </si>
  <si>
    <t xml:space="preserve">3. An 'Expression' and 'Keyword' appear.
4. An 'Expression' and 'Keyword' can delete. 
8. An 'Expression' and 'Keyword' appear. 
9. An 'Expression' and 'Keyword' can delete. </t>
  </si>
  <si>
    <t xml:space="preserve">1. Create a project for GNU toolchain
2. Go to 'MBS &gt; Settings &gt; Linker &gt; Sections'. 
3. Add a new 'Expression' and  new 'Keyword'
4. Choose each 'Expression' and 'Keyword' have just created and delete using icon delete
5. Create a new custom configuration using debug configuration.
6. Select custom configuration as Active configuration
7. Go to 'MBS &gt; Settings &gt; Linker &gt; Sections'. 
8. Add a new 'Expression' and  new 'Keyword'
9. Choose each 'Expression' and 'Keyword' have just created and delete using icon delete
</t>
  </si>
  <si>
    <t>10.Following paths are observed : 
"${CONFIGDIR}"
"${TCINSTALL}/rx-elf/lib"
"${TCINSTALL}/lib/gcc/rx-elf/${GCC_VERSION}"</t>
  </si>
  <si>
    <t xml:space="preserve">1. Create GNURX default project using 14.01 toolchain.
2. Open MBS, create a custom configuration using debug configuration.
3. Select custom configuration as Active configuration
4. Click Apply and OK
6. Open MBS
7. Go to Linker&gt; Archives &gt; Archive Search directories.
Following paths are observed
"${CONFIGDIR}"
"${TCINSTALL}/rx-elf/lib"
"${TCINSTALL}/lib/gcc/rx-elf/${GCC_VERSION}"
8. Go to C/C++ Build &gt; Change Toolchain Version Tab
9. Switch from v14.01 to v15.01. Apply OK.
10. Go to Linker&gt; Archives &gt; Archive Search directories.
</t>
  </si>
  <si>
    <t>Manual/SIM</t>
  </si>
  <si>
    <t>Test cases on JIRA</t>
  </si>
  <si>
    <t xml:space="preserve">2. Verified that "Enable unaligned word and halfword accesses to packed data" is HIDE.
-&gt; Verified that "Disable unaligned word and halfword accesses to packed data" is visible
3. Verified that "-mno-unaligned-access" will be passed in Compiler phase.
4. Verified that "-mno-unaligned-access" will be appear in C/CPP file.
</t>
  </si>
  <si>
    <t xml:space="preserve">Verified on e2_studio_5.0.0.N20160309 - PASS
==
Precondtion: at least 1 asm file exists in the test project
1. Create C/CPP project using GNUARM-NONE toolchain
2. Go to: MBS-Compiler -&gt;CPU
-&gt;  VISIBLE.
3. Check on "Disable unaligned word and halfword accesses to packed data"
-&gt; 
4. Build project
-&gt; 
*Note: "-mno-unaligned-access" is not present in Assembler options in Build Setting dialog,
but this option exists in Assembler options in Build Console view when building project.
</t>
  </si>
  <si>
    <t>IDE-7833</t>
  </si>
  <si>
    <t>RVC/LoiN</t>
  </si>
  <si>
    <t>Case 3:
1. Create a Synergy project based on the S7G2 DK + RTOS template with SSP 1.1.0
2. At New Thread, Add 'find="false"' to prevent auto-fulfill Framework module"USBX Device Class CDC ACM on ux_device_class_cdc_acm"
3. Add Framework module "USBX Device Class CDC ACM on ux_device_class_cdc_acm"
4. Add Framework module"USBX Source"
-&gt; Verified that Framework module"USBX Source" is filled with USBX instance -PASS</t>
  </si>
  <si>
    <t>IDE-8557_3</t>
  </si>
  <si>
    <t>Case 2:
1. Create a Synergy project based on the S7G2 DK + RTOS template with SSP 1.1.0
2. Add an instance of the Framework module "Communications Framework on sf_uart_comms" to the new thread
3. Save and Synergy Configuration Editor
4. Find '&lt;requires id="module.framework.sf_comms_on_sf_uart_comms.requires.uart" interface="interface.driver.uart" display="Add UART Driver" /&gt;'
5. Add 'find="false"' into step 4
6. Save the file
7. Open the Synergy Configuration Editor
-&gt; Verify Framework module "Communications Framework on sf_uart_comms" doesn't have any change or duplicate -PASS</t>
  </si>
  <si>
    <t>IDE-8557_2</t>
  </si>
  <si>
    <t>GCS note steps:
-Config Synergy licenses=&gt; Copy arm folder from SSP pack to e2/internal/projectgen</t>
  </si>
  <si>
    <t>Device:S124
Debugger: No
Compiler: GCC ARM Embedded
Reproduced: No
Verified: e2_studio_5.1.0.N20160419 -PASS
--------------------------------------------------
Verified steps:
Case 1:
1. Create a Synergy project based on the S7G2 DK + RTOS template with SSP 1.1.0
2. Go to Window &gt; Show View &gt; Navigator view and edit the project file ".module_descriptions/Renesas##Framework Services##all##sf_uart_comms####1.1.0.xml"
3. Find '&lt;requires id="module.framework.sf_comms_on_sf_uart_comms.requires.uart" interface="interface.driver.uart" display="Add UART Driver" /&gt;'
4. Add 'find="false"' into step 3
5. Save the file
6. Open the Synergy Configuration Editor
7. Create a new thread
8. Add an instance of the Framework module "Communications Framework on sf_uart_comms" to the thread
-&gt; Verified that an instance of the Driver module "UART Driver" is not automatically added - PASS
9. Delete the setting 'find="false"'
-&gt; Verified that ISDE will autofill all dependencies -PASS
10. Change the setting of step 4 to 'find="true"'
-&gt; Verified that ISDE will autofill all dependencies again -PASS</t>
  </si>
  <si>
    <t>Add attribute to not auto-fulfill &lt;requires&gt;</t>
  </si>
  <si>
    <t>IDE-8557_1</t>
  </si>
  <si>
    <t>RVC/ThuyTran</t>
  </si>
  <si>
    <t>Case2: Check select Delete on context menu
1. Create default new CCRX project
2. Create new some C files and add some folders "/src/abc"
3. Select C files and select Delete on context menu
-&gt; Verified that "Move to Recycle Bin' checkbox is appeared and checked in 'Delete Resources' dialog - PASS
4. Select OK button
-&gt; C files are moved to recycle bin - PASS
5. Select "abc" folder and select Delete on context menu
-&gt;Verified that "Move to Recycle Bin' checkbox is appeared and checked in 'Delete Resources' dialog - PASS
6. Select OK
-&gt;'Folder are moved to recycle bin - PASS
7. Select multiple folders/files from project explorer select Delete on context menu
-&gt;Verified that "Move to Recycle Bin' checkbox is appeared and checked in 'Delete Resources' dialog - PASS
8. Select OK
-&gt; Multiple folders/files are moved to recycle bin - PASS
9. Select project and select Delete on context menu
-&gt; Verified that 'Delete project contents on disk (cannot be undone) checkbox is appeared and unchecked in 'Delete Resources' dialog - PASS
10. Select OK
-&gt;Project are not moved to recycle bin - PASS
*Note: There is another issue reported by IDE-8857</t>
  </si>
  <si>
    <t>IDE-3076_2</t>
  </si>
  <si>
    <t>Device: CCRX
Debugger: Simulator
Compiler: Renesas CCRX
Reproduced: Yes (e2_studio_5.0.0.038)
Verified: e2_studio_5.1.0.N20160403 -PASS
===================
Case1: Check press Delete keyboard
1. Create default new CCRX project
2. Create new some C files and add some folders "/src/abc"
3. Select C files and press Delete button on keyboard
-&gt; Verified that "Move to Recycle Bin' checkbox is appeared and checked in 'Delete Resources' dialog - PASS
4. Select OK button
-&gt; C files are moved to recycle bin - PASS
5. Select "abc" folder and press Delete button on keyboard
-&gt; Verified that "Move to Recycle Bin' checkbox is appeared and checked in 'Delete Resources' dialog - PASS
6. Select OK
-&gt;'Folder are moved to recycle bin -PASS
7. Select multiple folders/files from project explorer and press Delete button on keyboard
-&gt; Verified that "Move to Recycle Bin' checkbox is appeared and checked in 'Delete Resources' dialog - PASS
8. Select OK
-&gt; Multiple folders/files are moved to recycle bin - PASS
9. Select project and press Delete button on keyboard
-&gt; Verified that 'Delete project contents on disk (cannot be undone) checkbox is appeared and unchecked in 'Delete Resources' dialog - PASS
10. Select OK
-&gt; Project are not moved to recycle bin - PASS</t>
  </si>
  <si>
    <t>When deleting files in Project Explorer, no check-box shown to keep files on disk</t>
  </si>
  <si>
    <t>IDE-3076_1</t>
  </si>
  <si>
    <t>Date</t>
  </si>
  <si>
    <t>GCS note steps:
1. Login to https://developer.mbed.org/account/login/
User/Pass: RVC/gcsvn123@
2. Create mbed project (Blink LED Hello World)
3. Export to e2
4. Import this project to e2
5. Copy renesas_gr-peach.cfg file from test data to C:\Program Files\GNU ARM Eclipse\OpenOCD\0.10.0-201601101000-dev\scripts\board</t>
  </si>
  <si>
    <t>Device: GR-PEACH RZ/A1H
Debugger:-
Compiler: GCC ARM Embedded
Reproduced: No
Verified: e2_studio_5.1.0.N20160509 -PASS
=====================================
Verified steps:
1. Import mbed project into e2 studio
-&gt; Verified that project have:
Debug configuration
Release configuration
Debug launch file -PASS
2. Go to MBS -&gt; Settings
-&gt; Verified that imported project is configured with correct toolchain(GCC ARM Embedded, Verison: 4.9 2014q4) for:
[Tool setting]
[Toolchain]- PASS
3. Build project
-&gt; Verified that project is build successfully -PASS
4. Copy renesas_gr-peach.cfg into scripts\board(Get this file at ARM
mbed Requirement )
5. In Debug configuration -&gt; Clicks on the project -&gt; Debugger tab
-&gt; Verified that The launch file configured with
-f board/renesas_grpeach.cfg -PASS
6. Open e2 studio Installation Details -&gt; Plug-in
-&gt; Verified that OCD Plugins is added -PASS
7. At Window-&gt; Preference -&gt; Open OCD
8. Edit something -&gt; Click OK
-&gt; Verified that the Edit content is saved -PASS
Notes: Unable to debug due to lack of environment</t>
  </si>
  <si>
    <t>Mbed project import in e2 studio 5.0</t>
  </si>
  <si>
    <t>IDE-7880</t>
  </si>
  <si>
    <t>Ju149_RT410</t>
  </si>
  <si>
    <t xml:space="preserve">RVC 
GCSTrangT </t>
  </si>
  <si>
    <t>- CRC combo box is enable
- Output address is disable
- Target range is disable</t>
  </si>
  <si>
    <t xml:space="preserve">&lt;Continue above steps&gt;
10. Select imported project
11. Go to [Linker][Output][Advanced]
12. Press "Restore Default" 
</t>
  </si>
  <si>
    <t>34-29-012</t>
  </si>
  <si>
    <t>Project is built successfully</t>
  </si>
  <si>
    <t>34-29-011</t>
  </si>
  <si>
    <t xml:space="preserve">&lt;Continue above steps&gt;
9. Select imported project
10. Go to [Linker][Output][Advanced]
11. Press "Restore Default" 
</t>
  </si>
  <si>
    <t>34-29-010</t>
  </si>
  <si>
    <t>1. Created new project in HEW
2. Convert project to e2 studio
3. Go to [Linker][Output][Advanced]
4. Click on [Selects whether to generate CRC code] drop-down list box
5. Select "Yes (CRC-CCITT, Automatic endian)"
6. Input [Output address] field: default
7. Click on [Ok] button
8. Build the project</t>
  </si>
  <si>
    <t>Verify with project import from HEW/CS+</t>
  </si>
  <si>
    <t>34-29-009</t>
  </si>
  <si>
    <t>new Tcs (add from RT for v3.1) (refer IT of builder)</t>
  </si>
  <si>
    <t>_ No build command is added into command line</t>
  </si>
  <si>
    <t>34-29-008</t>
  </si>
  <si>
    <t>34-29-007</t>
  </si>
  <si>
    <t>34-29-006</t>
  </si>
  <si>
    <t>34-29-005</t>
  </si>
  <si>
    <t>34-29-004</t>
  </si>
  <si>
    <t>34-29-003</t>
  </si>
  <si>
    <t>34-29-002</t>
  </si>
  <si>
    <t>_ Control type: drop-down list box
_ Always visible
_ Default value: No
_ Drop-down list box content following items:
    + Yes (CRC-CCITT, Automatic endian)
    + Yes (CRC-CCITT, Big-endian data)
    + Yes (CRC-CCITT, Little-endian data)
    + Yes (CRC-16, Automatic endian)
    + Yes (CRC-16, Big-endian data )
    +  Yes (CRC-16, Little-endian data)
    +  No</t>
  </si>
  <si>
    <t>1. Create new C executable project named "test" using Renesas RXC Toolchain
2. Click on project tree and press “Alt + T”
3. Select “Linker/Output/Advanced”
4. Verify control [Selects whether to generate CRC code]</t>
  </si>
  <si>
    <t>Verify generating CRC code</t>
  </si>
  <si>
    <t>34-29-001</t>
  </si>
  <si>
    <t>-</t>
  </si>
  <si>
    <t>34-29&gt; CRC-CCITT Checksum feature</t>
  </si>
  <si>
    <t>3. 
- warning message displays
- Conversion properties is shown about:
   + CCRX (Toolchain, Device, Active Configuration)
   + GNURX (Toolchain, Device, Active Configuration)
- [Finish] button is enable</t>
  </si>
  <si>
    <t>Ensure Device information is not found for the selected project.
1. Continue above
2. Goto [Select Project] editor &gt; specify CCRX project path
3. Check the result</t>
  </si>
  <si>
    <t>Import CCRX project
(Warning case)</t>
  </si>
  <si>
    <t>34-27-1-009</t>
  </si>
  <si>
    <t>3. 
- error message displays
Selected project is &lt;toochain_name&gt; project. Select a valid CCRX project
- Conversion properties is not shown
- [Finish] button is disable</t>
  </si>
  <si>
    <t>34-27-1-008</t>
  </si>
  <si>
    <t>34-27-1-007</t>
  </si>
  <si>
    <t>3. 
- error message displays
Invalid project directory or some mandatory files e.g., .info, .project, .cproject are missing. Please select a valid CCRX project
- Conversion properties is not shown
- [Finish] button is disable</t>
  </si>
  <si>
    <t>34-27-1-006</t>
  </si>
  <si>
    <t>3. 
- error message displays
Select a valid CCRX project.
- Conversion properties is not shown
- [Finish] button is disable</t>
  </si>
  <si>
    <t>Ensure Selected project is not a CCRX project, or not a valid CCRX project.
1. Continue above
2. Goto [Select Project] editor &gt; specify CCRX project path
3. Check the result</t>
  </si>
  <si>
    <t>34-27-1-005</t>
  </si>
  <si>
    <t>4. 
- error message displays
GNURX toolchain is not integrated. Please install from "www.kpitgnutools.com/downloadCenter.php" and integrate.
- Conversion properties is not shown
- [Finish] button is disable</t>
  </si>
  <si>
    <t>Import CCRX project
(Error case)</t>
  </si>
  <si>
    <t>34-27-1-004</t>
  </si>
  <si>
    <t>3. 
- no error/warning
- Conversion properties is shown about:
   + CCRX (Toolchain, Device, Active Configuration)
   + GNURX (Toolchain, Device, Active Configuration)
- [Finish] button is enable
4. Build no error</t>
  </si>
  <si>
    <t>34-27-1-003</t>
  </si>
  <si>
    <t>Import CCRX project
(valid case)</t>
  </si>
  <si>
    <t>34-27-1-002</t>
  </si>
  <si>
    <t>will add in e2s v3.0.1</t>
  </si>
  <si>
    <t>Content as:
- Select Project
- Project Name
- Converter tool options</t>
  </si>
  <si>
    <t>1. Select [File] &gt; [Import…]
2. Goto [Import] dialog &gt; select [General] &gt; [Convert CCRX to GNURX Project] item
3. Check [Import and convert] dialog</t>
  </si>
  <si>
    <t>Where to specify</t>
  </si>
  <si>
    <t>34-27-1-001</t>
  </si>
  <si>
    <t>34-27&gt; CCRX to GCC Conversion</t>
  </si>
  <si>
    <t>IDE-9112</t>
  </si>
  <si>
    <t>4. Build no error
    Debug no error</t>
  </si>
  <si>
    <t>Export project</t>
  </si>
  <si>
    <t>34-24-1-005</t>
  </si>
  <si>
    <t>4. Build no error
5. Debug no error</t>
  </si>
  <si>
    <t>34-24-1-004</t>
  </si>
  <si>
    <t>3. Build no error
4. Debug no error</t>
  </si>
  <si>
    <t>1. Import HEW project in version less than 2.1
2. Change Toolchain version to 2.1
3. Build project
4. Debug project</t>
  </si>
  <si>
    <t>34-24-1-003</t>
  </si>
  <si>
    <t>3. Build no error
4. Debug no error
6. Open project no error
7. Build no error</t>
  </si>
  <si>
    <t>1. Open project in version less than 2.1
2. Change Toolchain version to 2.1
3. Build project
4. Debug project
5. Save project
6. Open project
7. Build project</t>
  </si>
  <si>
    <t>Change toolchain version</t>
  </si>
  <si>
    <t>34-24-1-002</t>
  </si>
  <si>
    <t>1. New project
2. Select CCRX 2.1
3. Build project
4. Debug project
5. Save project
6. Open project
7. Build project</t>
  </si>
  <si>
    <t>New project</t>
  </si>
  <si>
    <t>34-24-1-001</t>
  </si>
  <si>
    <t>34-24&gt; CCRX 2.1 support</t>
  </si>
  <si>
    <t>Build project with existing dependencies</t>
  </si>
  <si>
    <t>34-23-1-003</t>
  </si>
  <si>
    <t>Scan for dependecies and build project</t>
  </si>
  <si>
    <t>34-23-1-002</t>
  </si>
  <si>
    <t>Fail when import HEW project</t>
  </si>
  <si>
    <t>Build project without dependencies</t>
  </si>
  <si>
    <t>34-23-1-001</t>
  </si>
  <si>
    <t>34-23&gt; Manual dependency scanning</t>
  </si>
  <si>
    <t xml:space="preserve">34-19-2&gt; Resource Custom Build Steps </t>
  </si>
  <si>
    <t>new creation in RT of v3.1 (refer Help of e2 3.01)</t>
  </si>
  <si>
    <t>- Build successful
-  “a.obj” is generated</t>
  </si>
  <si>
    <t>34-19-1-010</t>
  </si>
  <si>
    <t>The “New Custom Tool” has been added to [Used tools] of [Properties for...] page</t>
  </si>
  <si>
    <t>&lt;Continue above steps&gt;
5. Click [OK] button</t>
  </si>
  <si>
    <t>34-19-1-009</t>
  </si>
  <si>
    <t>The “New Custom Tool” has been added to the [Used tools] list</t>
  </si>
  <si>
    <t>34-19-1-008</t>
  </si>
  <si>
    <t xml:space="preserve">- New custom tool name "Custom build tool" is on Custom Tools table after restarting
</t>
  </si>
  <si>
    <t xml:space="preserve">Generate files </t>
  </si>
  <si>
    <t>34-19-1-007</t>
  </si>
  <si>
    <t>34-19-1-006</t>
  </si>
  <si>
    <t xml:space="preserve"> "Custom build tool" is removed from Custom Tools table</t>
  </si>
  <si>
    <t>34-19-1-005</t>
  </si>
  <si>
    <t>- Custom tools setting dialog is closed
- New edition is save</t>
  </si>
  <si>
    <t>&lt;Continue above steps&gt;
3. Modiy “Command line pattern” &gt; OK</t>
  </si>
  <si>
    <t>34-19-1-004</t>
  </si>
  <si>
    <t>Custom tools setting dialog is shown</t>
  </si>
  <si>
    <t>1. Select "Custom build tool"on Custom Tools table
2. Select [Edit] button</t>
  </si>
  <si>
    <t>34-19-1-003</t>
  </si>
  <si>
    <t>- New custom tool name "Custom build tool" is added to Custom Tools table</t>
  </si>
  <si>
    <t>&lt;Continue above steps&gt;
5. Fill information:
- Name: a build custom tool name ex: Custom build tool
- Command: name of tool ex: xyztool
- Sources: the suffix of intermediate files ex: xyz
- Outputs: file suffix for subsequent compilation ex: obj
- Command line pattern: the ordering of input file, output file and any optional command flags on the command line of the tool
Ex: ${COMMAND} ${FLAGS}  ${INPUTS}
6. OK</t>
  </si>
  <si>
    <t>34-19-1-002</t>
  </si>
  <si>
    <t>Custom tools setting dialog</t>
  </si>
  <si>
    <t>34-19-1-001</t>
  </si>
  <si>
    <t>34-19-1&gt; Custom Tools</t>
  </si>
  <si>
    <t>34-19&gt; Custom phases</t>
  </si>
  <si>
    <t>new creation in RT of v3.1 (refer spec. of v3.0)</t>
  </si>
  <si>
    <t>refer Appendix_Builder_PCL 34-4</t>
  </si>
  <si>
    <t xml:space="preserve">1. Select Window &gt; Preferences &gt; C/C++ &gt; Code Analysis
2. Check defauilt CODAN settings
</t>
  </si>
  <si>
    <t>Codan
(note: "Cppcheck" section is not be supported in V3.1)</t>
  </si>
  <si>
    <t>34-4-001</t>
  </si>
  <si>
    <t>34-4&gt; CODAN</t>
  </si>
  <si>
    <t>Ju148_RT410</t>
  </si>
  <si>
    <t>new Tcs (add from RT for v3.0)</t>
  </si>
  <si>
    <t xml:space="preserve">4. ".\src\abcd.obj" is removed from custom linkage order list and LinkerSubCommand.tmp file </t>
  </si>
  <si>
    <t xml:space="preserve">&lt;Continue above steps&gt;
4. Delete source file “abcd.c”
5. Build project
</t>
  </si>
  <si>
    <t>29-1-3-013</t>
  </si>
  <si>
    <t xml:space="preserve">3. 
- ".\src\abc.obj" is removed from custom linkage order list and LinkerSubCommand.tmp file 
- ".\src\abcd.obj" is add to custom linkage order list and LinkerSubCommand.tmp file 
</t>
  </si>
  <si>
    <t>&lt;Continue TC 29-1-2-017&gt;
3. Rename “abc.c” &gt; “abcd.c”
4. Build project</t>
  </si>
  <si>
    <t>29-1-3-012</t>
  </si>
  <si>
    <t xml:space="preserve">3. ".\src\abc.obj" is add to custom linkage order list and LinkerSubCommand.tmp file 
</t>
  </si>
  <si>
    <t xml:space="preserve">1. Create new Static Library C project, Renesas RXC toolchain  “StaticLib_RXC”
2. Add file “abc.c”  to project tree
&gt; Build project
</t>
  </si>
  <si>
    <t>29-1-3-010</t>
  </si>
  <si>
    <t>- Can edit file path
- Build successful</t>
  </si>
  <si>
    <t xml:space="preserve">&lt;Continue with TC 29-1-2-009&gt;
&lt;Continue with above steps&gt;
1. Project(Menu) &gt; Properties &gt; Settings &gt; Tool Setting &gt; Linker &gt; Input &gt; Advanced
2. Select “a.lib” &gt; “Edit” 
3. Click “File System” in “Edit file path”dialog &gt; Browse to a valid file &gt; OK 
4. Build project
</t>
  </si>
  <si>
    <t>29-1-3-009</t>
  </si>
  <si>
    <t>new Tcs (add from RT for v3.0)
Trac #4596</t>
  </si>
  <si>
    <t xml:space="preserve">&lt;Continue with above steps&gt;
1. Project(Menu) &gt; Properties &gt; Settings &gt; Tool Setting &gt; Linker &gt; Input &gt; Advanced
2. Select “a.lib” &gt; “Edit” 
3. Click “Workspace” in “Edit file path”dialog &gt; Browse to a valid file &gt; OK 
4. Build project
</t>
  </si>
  <si>
    <t>29-1-3-008</t>
  </si>
  <si>
    <t>1. Project(Menu) &gt; Properties &gt; Settings &gt; Tool Setting &gt; Linker &gt; Input &gt; Advanced
2. Ensure that ‘Use custom linkage order’ checkbox is selected
3. Select “Add” and add an invalid file path (“a.lib”) (“H:\ a.lib”)
4. Click Apply button &gt; Click OK button
5. Build project
6. Verify the existence of following item in "Console" tab:
+ rlink
+ Build complete.
+ LinkerSubCommand.tmp</t>
  </si>
  <si>
    <t>29-1-3-007</t>
  </si>
  <si>
    <t>- User can add / delete the new items. All the objects/libraries will be passed to the linker through the LinkerSubCommand.tmp file
- Following item exist in the tab "Console":
+ rlink
+ Build complete.
+ LinkerSubCommand.tmp</t>
  </si>
  <si>
    <t>1. Project(Menu) &gt; Properties &gt; Settings &gt; Tool Setting &gt; Linker &gt; Input &gt; Advanced
2. Ensure that ‘Use custom linkage order’ checkbox is selected
3. Select “Add” and add a valid file path
4. Click Apply button &gt; Click OK button
5. Build project
6. Verify the existence of following item in "Console" tab:
+ rlink
+ Build complete.
+ LinkerSubCommand.tmp</t>
  </si>
  <si>
    <t>29-1-3-006</t>
  </si>
  <si>
    <t xml:space="preserve">- Object/library is removed
-  Deleting object/library from ‘Additional input files’ option will also remove file from Linker &gt; Input&gt; Advanced &gt; Linkage order list and LinkerSubCommand.tmp file </t>
  </si>
  <si>
    <t>29-1-3-005</t>
  </si>
  <si>
    <t xml:space="preserve">&lt;Continue with TC 29-1-2-013&gt;
&lt;Continue with above steps&gt;
1. Project(Menu) &gt; Properties &gt; Settings &gt; Tool Setting &gt; Linker &gt; Input
2. Select “a.lib” &gt; “Edit” 
3. Click “File System” in “Edit file path”dialog &gt; Browse to a valid file &gt; OK 
4. Build project
</t>
  </si>
  <si>
    <t>29-1-3-004</t>
  </si>
  <si>
    <t xml:space="preserve">&lt;Continue with above steps&gt;
1. Project(Menu) &gt; Properties &gt; Settings &gt; Tool Setting &gt; Linker &gt; Input
2. Select “a.lib” &gt; “Edit” 
3. Click “Workspace” in “Edit file path”dialog &gt; Browse to a valid file &gt; OK 
4. Build project
</t>
  </si>
  <si>
    <t>29-1-3-003</t>
  </si>
  <si>
    <t>new Tcs (add from RT for v3.0)
Trac #4669</t>
  </si>
  <si>
    <t>1. Create new Static Library C project, Renesas RXC toolchain  “StaticLib_RXC”
2. Project(Menu) &gt; Properties &gt; Settings &gt; Tool Setting &gt; Linker &gt; Input
3. Select “Add” and add an invalid file path “a.lib”
4. Click Apply button &gt; Click OK button
5. Build project
6. Verify the existence of following item in "Console" tab:
+ rlink
+ Build complete.
+ LinkerSubCommand.tmp</t>
  </si>
  <si>
    <t>29-1-3-002</t>
  </si>
  <si>
    <t>1. Create new Static Library C project, Renesas RXC toolchain  “StaticLib_RXC”
2. Project(Menu) &gt; Properties &gt; Settings &gt; Tool Setting &gt; Linker &gt; Input
3. Select “Add” and add a valid file path
4. Click Apply button &gt; Click OK button
5. Build project
6. Verify the existence of following item in "Console" tab:
+ rlink
+ Build complete.
+ LinkerSubCommand.tmp</t>
  </si>
  <si>
    <t>Check with Static Library project- RXC toolchain</t>
  </si>
  <si>
    <t>29-1-3-001</t>
  </si>
  <si>
    <t>Added file existing in list. Please specify another file</t>
  </si>
  <si>
    <t>User adds duplicate file</t>
  </si>
  <si>
    <t>29-1-2-026</t>
  </si>
  <si>
    <t>Could not edit project internal .obj/ .lib/ .libelf file. Please specify another file</t>
  </si>
  <si>
    <t>User edits project file: User will not be able to edit the object / library which is part of the project.</t>
  </si>
  <si>
    <t>29-1-2-025</t>
  </si>
  <si>
    <t>Could not remove project internal .obj/ .lib/ .libelf file. Please specify another file</t>
  </si>
  <si>
    <t>User removes project file: User will not be able to delete the object / library which is part of the project.</t>
  </si>
  <si>
    <t>29-1-2-024</t>
  </si>
  <si>
    <t>Added file is invalid. Please specify an existing .obj/ .lib/ .libelf/ .rel/ .bin file.</t>
  </si>
  <si>
    <t>Validations for custom linkage order
(RXC toolchain)</t>
  </si>
  <si>
    <t>29-1-2-023</t>
  </si>
  <si>
    <t xml:space="preserve">7. Custom linkage order list and LinkerSubCommand.tmp file is updated
</t>
  </si>
  <si>
    <t xml:space="preserve">&lt;Continue above steps&gt;
6. Modify new source files
7. Change linkage order and re-build project
</t>
  </si>
  <si>
    <t>29-1-2-022</t>
  </si>
  <si>
    <t>5. Custom linkage order list and LinkerSubCommand.tmp file is correct</t>
  </si>
  <si>
    <t>29-1-2-021</t>
  </si>
  <si>
    <t xml:space="preserve">&lt;Continue above steps&gt;
4. Delete source file “abcd.c”
</t>
  </si>
  <si>
    <t>29-1-2-020</t>
  </si>
  <si>
    <t xml:space="preserve">- ".\src\abc.obj" is removed from custom linkage order list and LinkerSubCommand.tmp file 
- ".\src\abcd.obj" is add to custom linkage order list and LinkerSubCommand.tmp file 
</t>
  </si>
  <si>
    <t>29-1-2-019</t>
  </si>
  <si>
    <t>29-1-2-017</t>
  </si>
  <si>
    <t>29-1-2-016</t>
  </si>
  <si>
    <t>29-1-2-015</t>
  </si>
  <si>
    <t>29-1-2-014</t>
  </si>
  <si>
    <t>29-1-2-013</t>
  </si>
  <si>
    <t>- The object/library files added to ‘Additional input files’
-  Additional input files will also be added to Linker &gt; Input&gt; Advanced &gt; Linkage order list
- Following item exist in the tab "Console":
+ rlink
+ Build complete.
+ LinkerSubCommand.tmp</t>
  </si>
  <si>
    <t>29-1-2-012</t>
  </si>
  <si>
    <t xml:space="preserve">&lt;Continue with TC 29-1-2-009&gt;
&lt;Continue with above steps&gt;
1. Project(Menu) &gt; Properties &gt; Settings &gt; Tool Setting &gt; Linker &gt; Input &gt; Advance
2. Select “a.lib” &gt; “Edit” 
3. Click “File System” in “Edit file path”dialog &gt; Browse to a valid file &gt; OK 
4. Build project
</t>
  </si>
  <si>
    <t>29-1-2-011</t>
  </si>
  <si>
    <t xml:space="preserve">&lt;Continue with above steps&gt;
1. Project(Menu) &gt; Properties &gt; Settings &gt; Tool Setting &gt; Linker &gt; Input &gt; Advance
2. Select “a.lib” &gt; “Edit” 
3. Click “Workspace” in “Edit file path”dialog &gt; Browse to a valid file &gt; OK 
4. Build project
</t>
  </si>
  <si>
    <t>29-1-2-010</t>
  </si>
  <si>
    <t>- User can add / delete the new items. All the objects/libraries will be passed to the linker through the LinkerSubCommand.tmp file
- Following item exist in the tab "Console":
+ rlink
+ Build complete (not exist)
+ LinkerSubCommand.tmp
- Build Error: Cannot open file “a.lib”/ “H:/a.lib”</t>
  </si>
  <si>
    <t>29-1-2-009</t>
  </si>
  <si>
    <t>Object/library updated in linkage order
(Check with RXC toolchain)</t>
  </si>
  <si>
    <t>29-1-2-008</t>
  </si>
  <si>
    <t>- ‘Use custom linkage order’ checkbox is unselected
- The order of objects/ libraries is restored to default</t>
  </si>
  <si>
    <t>1. Project(Menu) &gt; Properties &gt; Settings &gt; Tool Setting &gt; Linker &gt; Input &gt; Advanced
2. Ensure that ‘Use custom linkage order’ checkbox is selected, change the order of objects/libraries to be linked
3. Select Restore Defaults button</t>
  </si>
  <si>
    <t>29-1-2-007</t>
  </si>
  <si>
    <t>1. Ensure that ‘Use custom linkage order’ checkbox is selected, change the order of objects/libraries to be linked
2. Click Apply button
3. Click OK button
4. Build project</t>
  </si>
  <si>
    <t>Reordered linkage build
(Check with RXC)</t>
  </si>
  <si>
    <t>29-1-2-006</t>
  </si>
  <si>
    <t>1. Invoke e2 studio
2. Select a project
3. Project(Menu) &gt; Properties &gt; Settings &gt; Tool Setting &gt; Linker &gt; Input &gt; Advance. Select 'Use custom linkage order' checkbox
4. Check status of buttons and Linkage order list</t>
  </si>
  <si>
    <t>Selection of Use custom linkage order option
(Check with RXC toolchain)</t>
  </si>
  <si>
    <t>29-1-2-005</t>
  </si>
  <si>
    <t>- Label display right.
- "Auto" is selected on Prelinker control.
- Use entry point checkbox is unchecked and textbox is disable
- Use custom linkage order is unchecked and list box is disable</t>
  </si>
  <si>
    <t>29-1-2-004</t>
  </si>
  <si>
    <t>1. Create new C++ executable project usingRenesas RXC Toolchain
2. Click on project tree and press “Alt + T”
3. Choose “Settings &gt; Tool Setting &gt; Linker &gt; Input &gt; Advanced”
4. Check each UI node</t>
  </si>
  <si>
    <t>29-1-2-003</t>
  </si>
  <si>
    <t>1. Create new C static library project using Renesas RXC Toolchain
2. Select a project &gt; Properties
3. Choose “Settings &gt; Tool Setting &gt; Linker &gt; Input &gt; Advanced”
4. Check each UI node is existed</t>
  </si>
  <si>
    <t>29-1-2-002</t>
  </si>
  <si>
    <t>1. Create new C executable project using Renesas RXC Toolchain
2. Select a project &gt; Properties
3. Choose “Settings &gt; Tool Setting &gt; Linker &gt; Input &gt; Advanced”
4. Check each UI node</t>
  </si>
  <si>
    <t>Check the existence of linkage UI when project is created in Renesas RXC Toolchain</t>
  </si>
  <si>
    <t>29-1-2-001</t>
  </si>
  <si>
    <t>Message box: “Cannot edit project file”</t>
  </si>
  <si>
    <t>29-1-1-012</t>
  </si>
  <si>
    <t>Message box: “Cannot remove project file”</t>
  </si>
  <si>
    <t>29-1-1-011</t>
  </si>
  <si>
    <t>Message box: “File already exists in the list”</t>
  </si>
  <si>
    <t>29-1-1-010</t>
  </si>
  <si>
    <t>Fail (Existing)</t>
  </si>
  <si>
    <t>Trac #5480</t>
  </si>
  <si>
    <t>1. User adds invalid file: Only ‘.o’, ‘.a’ and ‘.rel’ extensions are supported.
2. Rename to a valid file (extension .o)
3. Add a new invalid file (.lib)
4. Check message box is shown</t>
  </si>
  <si>
    <t>Validations for custom linkage order
(GNURX-ELF toolchain)</t>
  </si>
  <si>
    <t>29-1-1-009</t>
  </si>
  <si>
    <t xml:space="preserve">1. Project(Menu) &gt; Properties &gt; Settings &gt; Tool Setting &gt; Linker &gt; Input
2. Select “Delete”
</t>
  </si>
  <si>
    <t>29-1-1-008</t>
  </si>
  <si>
    <t>new Tcs (add from RT for v3.0)
rx-elf-gcc: error: CreateProcess: No such file or directory</t>
  </si>
  <si>
    <t>- The object/library files added to ‘Additional input files’
-  Additional input files will also be added to Linker &gt; Input&gt; Advanced &gt; Linkage order list and LinkerSubCommand.tmp file
- Following item exist in the tab "Console":
+ rlink
+ Build complete.
+ LinkerSubCommand.tmp</t>
  </si>
  <si>
    <t>29-1-1-007</t>
  </si>
  <si>
    <t>1. Project(Menu) &gt; Properties &gt; Settings &gt; Tool Setting &gt; Linker &gt; Input
2. Ensure that ‘Use custom linkage order’ check-box is selected
3. Select “Add” and add file path
4. Click Apply button &gt; Click OK button
5. Build project
6. Verify the existence of following item in "Console" tab:
+ rlink
+ Build complete.
+ LinkerSubCommand.tmp</t>
  </si>
  <si>
    <t>Object/library updated in linkage order
(Check with GNURX-ELF toolchain)</t>
  </si>
  <si>
    <t>29-1-1-006</t>
  </si>
  <si>
    <t>1. Project(Menu) &gt; Properties &gt; Settings &gt; Tool Setting &gt; Linker &gt; Input
2. Ensure that ‘Use custom linkage order’ check-box is selected, change the order of objects/libraries to be linked
3. Select Restore Defaults button</t>
  </si>
  <si>
    <t>29-1-1-005</t>
  </si>
  <si>
    <t>1. Ensure that ‘Use custom linkage order’ check-box is selected, change the order of objects/libraries to be linked
2. Click Apply button
3. Click OK button
4. Build project</t>
  </si>
  <si>
    <t>Reordered linkage build
(Check with GNURX-ELF toolchain)</t>
  </si>
  <si>
    <t>29-1-1-004</t>
  </si>
  <si>
    <t>1. Invoke e2 studio
2. Select a project
3. Project(Menu) &gt; Properties &gt; Settings &gt; Tool Setting &gt; Linker &gt; Input &gt; Select 'Use custom linkage order' check-box
4. Check status of buttons and Linkage order list</t>
  </si>
  <si>
    <t>Selection of Use custom linkage order option
(Check GNURX-ELF toolchain)</t>
  </si>
  <si>
    <t>29-1-1-003</t>
  </si>
  <si>
    <t>- Label display right.
- "Additional input files" option: Only [Add] button enable. Other buttons and list box are disable
- "Use custom linkage order" option checkbox is uncheck default.- All  buttons and list box are disable</t>
  </si>
  <si>
    <t>1. Create new C++ executable project using KPIT GNURX-ELF Toolchain
2. Click on project tree and press “Alt + T”
3. Choose “Settings &gt; Tool Setting &gt; Linker &gt; Input”
4. Check each UI node</t>
  </si>
  <si>
    <t>29-1-1-002</t>
  </si>
  <si>
    <t>1. Create new C executable project using KPIT GNURX-ELF Toolchain
2. Select a project &gt; Properties
3. Choose “Settings &gt; Tool Setting &gt; Linker &gt; Input”
4. Check each UI node</t>
  </si>
  <si>
    <t>Check the existence of linkage UI when project is created in KPIT GNURX-ELF Toolchain</t>
  </si>
  <si>
    <t>29-1-1-001</t>
  </si>
  <si>
    <t>29&gt; e2 studio Custom Linkage Order e2 studio Custom Linkage order</t>
  </si>
  <si>
    <t>Ju147_RT410</t>
  </si>
  <si>
    <t>Projects are set dependencies (references)</t>
  </si>
  <si>
    <t>2-1-5-12-002</t>
  </si>
  <si>
    <t>&gt; Creating Project References
(refer Appendix)</t>
  </si>
  <si>
    <t>2-1-5-12-001</t>
  </si>
  <si>
    <t>Create Project type Makefile Project with Existing code</t>
  </si>
  <si>
    <t>&gt; Creating a make target</t>
  </si>
  <si>
    <t>2-1-5-11-001</t>
  </si>
  <si>
    <t>NOT Save resources before manual builds</t>
  </si>
  <si>
    <t>1. Click Window &gt; Preferences. 
2. Select General &gt; Workspace from the list.
3. On the Workspace page, de-select the Save automatically before build check box. 
4. Click OK.</t>
  </si>
  <si>
    <t>2-1-5-10-002</t>
  </si>
  <si>
    <t>Save resources before manual builds</t>
  </si>
  <si>
    <t>1. Click Window &gt; Preferences. 
2. Select General &gt; Workspace from the list.
3. On the Workspace page, select the Save automatically before build check box. 
4. Click OK.</t>
  </si>
  <si>
    <t>&gt; Auto saving on a build</t>
  </si>
  <si>
    <t>2-1-5-10-001</t>
  </si>
  <si>
    <t>Not to build projects automatically</t>
  </si>
  <si>
    <t>1. Click Project &gt; Build Automatically : OFF</t>
  </si>
  <si>
    <t>&gt; Removing Build Automatically</t>
  </si>
  <si>
    <t>2-1-5-9-001</t>
  </si>
  <si>
    <t>2. Project is built successfully
4. Project is built successfully (Linker phase)</t>
  </si>
  <si>
    <t>1. Create project
2. Select Build Project
3. Edit Linker options
4. Select Build Project</t>
  </si>
  <si>
    <t>2-1-5-8-004</t>
  </si>
  <si>
    <t>2. Project is built successfully
4. Project is built successfully (Assembler phase)</t>
  </si>
  <si>
    <t>1. Create C project
2. Select Build Project
3. Modify ASM source file
4. Select Build Project</t>
  </si>
  <si>
    <t>2-1-5-8-003</t>
  </si>
  <si>
    <t>2. Project is built successfully
4. Project is built successfully (Compiler phase)</t>
  </si>
  <si>
    <t>1. Create project
2. Select Build Project
3. Modify C/C++ source file
4. Select Build Project</t>
  </si>
  <si>
    <t>2-1-5-8-002</t>
  </si>
  <si>
    <t>2. Project is built successfully
3. Project is NOT rebuilt</t>
  </si>
  <si>
    <t>1. Create project
2. Select Build Project
3. Select Build Project</t>
  </si>
  <si>
    <t>&gt; Building Manually</t>
  </si>
  <si>
    <t>2-1-5-8-001</t>
  </si>
  <si>
    <t>Error of compiler is not detected (not listed in Problems panel)</t>
  </si>
  <si>
    <t>1.In the C/C++ Projects view, right-click the project, and select Properties.
2.Expand C/C++ Build.
3.Select Settings.
4.Click the Error Parsers tab.
5.In the Error parsers list, select error parsers.
   eg. Renesas C/C++ Error Parser
6.Click OK.</t>
  </si>
  <si>
    <t>&gt; Tuning Error Parsers</t>
  </si>
  <si>
    <t>2-1-5-4-001</t>
  </si>
  <si>
    <t>Edit a previously defined variable</t>
  </si>
  <si>
    <t>&lt;Edit Existing Build Variable&gt;
1. Click Window &gt; Preferences &gt; C/C++ &gt; Build &gt; Build Variables
2. Select the local build variable to edit in the Build Variables preference panel
3. Click Edit... to open the Edit Existing Build Variable dialog box
4. Change the variable type (optional)
5. Edit the variables value (optional)
6. Click OK</t>
  </si>
  <si>
    <t>2-1-5-3-002</t>
  </si>
  <si>
    <t>Add a previously defined variable</t>
  </si>
  <si>
    <t>&lt;Define a New Build Variable&gt;
1. Click Window &gt; Preferences &gt; C/C++ &gt; Build &gt; Build Variables
2. Click Add... in the Build Variables preference panel to open the Define a New Build Variables dialog box
3. Enter the variable name
4. Choose a variable type
5. Enter the variables value
6. Click OK</t>
  </si>
  <si>
    <t>&gt; Adding and Editing Build Variables
(refer Appendix)</t>
  </si>
  <si>
    <t>2-1-5-3-001</t>
  </si>
  <si>
    <t>PCL is updated later</t>
  </si>
  <si>
    <t xml:space="preserve">2. Stop the build when an error is encountered
3. Use the default make command
</t>
  </si>
  <si>
    <t>1. C/C++ Projects view &gt; Right-click the project &gt; Select Properties &gt; Select C/C++ Build
2. Select [Behaviour] tab &gt; Select [Stop on first build error]
3. Select [Builder Settings] tab &gt; Select the [Use Default] check box
4. Click OK</t>
  </si>
  <si>
    <t>&gt; Defining Project Build settings
(refer Appendix)</t>
  </si>
  <si>
    <t>2-1-5-2-001</t>
  </si>
  <si>
    <t>1. The edit box is activated for the selected project.
3. Project is rename
    Previous settings for this project are still correct</t>
  </si>
  <si>
    <t xml:space="preserve">1. In the C/C++ Projects view &gt; Right-click a project &gt; Select Rename
2. Type a new name
3. Press Enter.
</t>
  </si>
  <si>
    <t>&gt; Renaming a project</t>
  </si>
  <si>
    <t>2-1-5-1-001</t>
  </si>
  <si>
    <t>2-1-5&gt; Building projects</t>
  </si>
  <si>
    <t>Refer 1-1-11-5-001 to run an external tool -&gt; can import</t>
  </si>
  <si>
    <t>External tool is executed for building project</t>
  </si>
  <si>
    <t>&lt;set up and run an external tool to build a project&gt;
1. Project Explorer view &gt; Select the project
2. Pop-up menu &gt; Choose Properties. 
3. Click Builders
4. Configure the tool
     - New
     - Import
     - Edit...
     - Remove
     - Up
     - Down</t>
  </si>
  <si>
    <t>1-1-11-5-004</t>
  </si>
  <si>
    <t>External tool is executed</t>
  </si>
  <si>
    <t>&lt;run tools that are not part of the Workbench&gt;
1. Click  Run &gt; External Tools &gt; External Tools Configurations.... 
2. Select the Program configuration 
3. Click New button
4. Enter a name for external tool (eg, My External Tool)
5. Click [Browse File System] button
6. Find the tool want to run (.exe or .bat)
7. In the Arguments field enter the necessary arguments for the tool. 
8. In the Working directory field enter the working directory for the tool. 
9. Click Run</t>
  </si>
  <si>
    <t>1-1-11-5-003</t>
  </si>
  <si>
    <t>1-1-11-5-002</t>
  </si>
  <si>
    <t>&gt; Running external tools</t>
  </si>
  <si>
    <t>1-1-11-5-001</t>
  </si>
  <si>
    <t>3. State of these buttons are correct in these cases
    - [Save automatically before build] = ON
    - No project
    - 1 project
    - 2 or more project
4. Build is performed as defined order</t>
  </si>
  <si>
    <t>1-1-11-4-004</t>
  </si>
  <si>
    <t>1-1-11-4-003</t>
  </si>
  <si>
    <t xml:space="preserve"> Trac #3495
fixed (on V.2.1.0.11)</t>
  </si>
  <si>
    <t>1-1-11-4-002</t>
  </si>
  <si>
    <t xml:space="preserve">Use default build order </t>
  </si>
  <si>
    <t>&gt; Changing build order</t>
  </si>
  <si>
    <t>1-1-11-4-001</t>
  </si>
  <si>
    <t>Automatically save all modified resources in the Workbench before a manual build is done</t>
  </si>
  <si>
    <t>1. Window &gt; Preferences &gt; General &gt; Workspace
2. Check ON [Save automatically before build] check-box
3. Click OK</t>
  </si>
  <si>
    <t>&gt; Saving resources automatically before a manual build</t>
  </si>
  <si>
    <t>1-1-11-3-001</t>
  </si>
  <si>
    <t>Clean project (Output files are deleted)
Build NOT occurs</t>
  </si>
  <si>
    <t>1-1-11-2-019</t>
  </si>
  <si>
    <t>1-1-11-2-018</t>
  </si>
  <si>
    <t>Clean project (Output files are deleted)
Build occurs</t>
  </si>
  <si>
    <t>1-1-11-2-017</t>
  </si>
  <si>
    <t>1-1-11-2-016</t>
  </si>
  <si>
    <t>1-1-11-2-015</t>
  </si>
  <si>
    <t>1-1-11-2-014</t>
  </si>
  <si>
    <t>1-1-11-2-013</t>
  </si>
  <si>
    <t>1-1-11-2-012</t>
  </si>
  <si>
    <t>_ Clean project (Output files are deleted)
_ Project selected are build successful</t>
  </si>
  <si>
    <t>1-1-11-2-011</t>
  </si>
  <si>
    <t>1-1-11-2-010</t>
  </si>
  <si>
    <t xml:space="preserve">_ Clean project (Output files are deleted)
_ 2 project are build successful with only build configuration active
</t>
  </si>
  <si>
    <t>1-1-11-2-009</t>
  </si>
  <si>
    <t xml:space="preserve">_ Clean project (Output files are deleted)
_ Project are build successful
</t>
  </si>
  <si>
    <t>1-1-11-2-008</t>
  </si>
  <si>
    <t xml:space="preserve">
Selected project is build successful</t>
  </si>
  <si>
    <t>1-1-11-2-007</t>
  </si>
  <si>
    <t>1-1-11-2-006</t>
  </si>
  <si>
    <t>&lt;Build action – Build&gt;
1. Create C project with RX
2. Select project and [Project] menu &gt; Build Project</t>
  </si>
  <si>
    <t>1-1-11-2-005</t>
  </si>
  <si>
    <t xml:space="preserve">
3. Open Clean and Rebuild Configurations dialog
_Display all build configuation of project (Debug, HardwaredDebug, Release, CustomDebug, HewDebug)
_ Auto checked to Active build
_ Clean selected configurations checkbox is checked
_ Build selected confugurations checkbox is checked
4. Build successful</t>
  </si>
  <si>
    <t>1-1-11-2-004</t>
  </si>
  <si>
    <t xml:space="preserve">
_ 2 project are build successful with only build configuration active</t>
  </si>
  <si>
    <t>1-1-11-2-003</t>
  </si>
  <si>
    <t xml:space="preserve">
All build configuration are build successful for the project selected.</t>
  </si>
  <si>
    <t>1-1-11-2-002</t>
  </si>
  <si>
    <t>&gt; Performing builds manually</t>
  </si>
  <si>
    <t>1-1-11-2-001</t>
  </si>
  <si>
    <t>Select  [Build on resource save(Auto bulid)] in Project Properties&gt; C/C++ Build &gt;Behaviour</t>
  </si>
  <si>
    <t>Perform builds automatically whenever create new project / import project</t>
  </si>
  <si>
    <t>1. Window &gt; Preferences &gt; General &gt; Workspace
2. Check ON [Build automatically] check-box
3. Click OK</t>
  </si>
  <si>
    <t>&gt; Performing builds automatically</t>
  </si>
  <si>
    <t>1-1-11-1-001</t>
  </si>
  <si>
    <t>1-1-11&gt; Building resources</t>
  </si>
  <si>
    <t>Remark</t>
  </si>
  <si>
    <t>Tester</t>
  </si>
  <si>
    <t>Result</t>
  </si>
  <si>
    <t>Auto</t>
  </si>
  <si>
    <t>PCL notes</t>
  </si>
  <si>
    <t>PCL creator</t>
  </si>
  <si>
    <t>Expected result</t>
  </si>
  <si>
    <t>Test cases</t>
  </si>
  <si>
    <t>Test items</t>
  </si>
  <si>
    <t>ID</t>
  </si>
  <si>
    <t>Level of manual TC</t>
  </si>
  <si>
    <t>New</t>
  </si>
  <si>
    <t>Fail (Degrade)</t>
  </si>
  <si>
    <t>Fail (New)</t>
  </si>
  <si>
    <t>Fail</t>
  </si>
  <si>
    <t>Executed TCs</t>
  </si>
  <si>
    <t>Manual</t>
  </si>
  <si>
    <t>Total</t>
  </si>
  <si>
    <t>Total test cases</t>
  </si>
  <si>
    <t>Revision history</t>
  </si>
  <si>
    <t>Version</t>
  </si>
  <si>
    <t>Sheet</t>
  </si>
  <si>
    <t>Comment</t>
  </si>
  <si>
    <t>Written by</t>
  </si>
  <si>
    <t>Checked by</t>
  </si>
  <si>
    <t>Approved by</t>
  </si>
  <si>
    <t>1.0</t>
  </si>
  <si>
    <t>All</t>
  </si>
  <si>
    <t>Component/Plug-in</t>
  </si>
  <si>
    <t>Executed test cases</t>
  </si>
  <si>
    <t>Skipped test cases</t>
  </si>
  <si>
    <t>Existing</t>
  </si>
  <si>
    <t>Sum</t>
  </si>
  <si>
    <t>Reason of skipping</t>
  </si>
  <si>
    <t>#</t>
  </si>
  <si>
    <t>Number of test cases</t>
  </si>
  <si>
    <t>Bu_#1</t>
  </si>
  <si>
    <t>Builder_Common</t>
  </si>
  <si>
    <t>Builder_Enhancement_3.1</t>
  </si>
  <si>
    <t>Builder_Rename&amp;ImportProject</t>
  </si>
  <si>
    <t>Builder_SimultaneousBuild</t>
  </si>
  <si>
    <t>Toolchain_Management_Regression</t>
  </si>
  <si>
    <t>CustomPhases</t>
  </si>
  <si>
    <t>Ju106_RT410</t>
  </si>
  <si>
    <t>No error in build
1st pass:
   Linker (*)
2nd pass:
   Dep. Scan (C files)
   SIM Compiler
   Linker
   Convertor
   X Convertor
Project is not rebuilt in (3)</t>
  </si>
  <si>
    <t>Build
    Change Standard Library output</t>
  </si>
  <si>
    <t>34-28-2-031</t>
  </si>
  <si>
    <t>34-28-2-030</t>
  </si>
  <si>
    <t>No error in build
1st pass:
   Library Generator
   Linker (*)
2nd pass:
   Dep. Scan (C files)
   SIM Compiler
   Linker
   Convertor
   X Convertor</t>
  </si>
  <si>
    <t>34-28-2-029</t>
  </si>
  <si>
    <t>No error in build
1st pass:
   Dep. Scan (*) (C files)
   SIM Compiler (*)
   Dep. Scan (*) (ASM files)
   SIM Assembler
   Library Generator
   Linker (*)
2nd pass:
   Dep. Scan (C files)
   SIM Compiler
   Linker
   Convertor
   X Convertor</t>
  </si>
  <si>
    <t>34-28-2-028</t>
  </si>
  <si>
    <t>Ju106_RT401</t>
  </si>
  <si>
    <t>Build phases (single GCS</t>
  </si>
  <si>
    <t>0. Continue above
1. Change Compiler output to: .p/.pp
2. Build project</t>
  </si>
  <si>
    <t>Build
    Change Compiler output</t>
  </si>
  <si>
    <t>34-28-2-027</t>
  </si>
  <si>
    <t>1. Open project
2. Change Compiler output to: .src
3. Build project
4. Build project</t>
  </si>
  <si>
    <t>34-28-2-026</t>
  </si>
  <si>
    <t>No error in build
1st GCS:
   Linker (*)
2nd GCS:
   Dep. Scan (C files)
   SIM Compiler
   Linker
   Convertor
   X Convertor
Project is not rebuilt in (4)</t>
  </si>
  <si>
    <t>0. Continue above
1. Change Linker output to: .bin/.hex
2. Build project
3. Build project</t>
  </si>
  <si>
    <t>Build
    Change Linker output</t>
  </si>
  <si>
    <t>34-28-2-025</t>
  </si>
  <si>
    <t>0. Continue above
1. Change Linker output to: .rel/.lib
2. Build project
3. Build project</t>
  </si>
  <si>
    <t>34-28-2-024</t>
  </si>
  <si>
    <t>1. Open project
2. Change Linker output to: .abs
3. Build project
4. Build project</t>
  </si>
  <si>
    <t>34-28-2-023</t>
  </si>
  <si>
    <t>No error in build
Build phases (single GCS</t>
  </si>
  <si>
    <t>0. Continue above
1. Remove .x file
2. Build project</t>
  </si>
  <si>
    <t>Default setting build
    Remove .x &gt; build</t>
  </si>
  <si>
    <t>34-28-2-022</t>
  </si>
  <si>
    <t>No error in build
2nd GCS:
   Convertor
   X Convertor
Project is not rebuilt in (3)</t>
  </si>
  <si>
    <t>0. Continue above
1. Remove .mot file
2. Build project
3. Build project</t>
  </si>
  <si>
    <t>Default setting build
    Remove .mot &gt; build</t>
  </si>
  <si>
    <t>34-28-2-021</t>
  </si>
  <si>
    <t>No error in build
1st GCS:
   Linker (*)
2nd GCS:
   Dep. Scan (C files)
   SIM Compiler
   Linker
   Convertor
   X Convertor
Project is not rebuilt in (3)</t>
  </si>
  <si>
    <t>0. Continue above
1. Remove .abs file
2. Build project
3. Build project</t>
  </si>
  <si>
    <t>Default setting build
    Remove .abs &gt; build</t>
  </si>
  <si>
    <t>34-28-2-020</t>
  </si>
  <si>
    <t>0. Continue above
1. Remove/Exclude ASM source file
2. Build project
3. Build project</t>
  </si>
  <si>
    <t>Default setting build
    Remove/Exclude file &gt; build</t>
  </si>
  <si>
    <t>34-28-2-019</t>
  </si>
  <si>
    <t>0. Continue above
1. Remove/Exclude C/C++ source file
2. Build project
3. Build project</t>
  </si>
  <si>
    <t>34-28-2-018</t>
  </si>
  <si>
    <t>No error in build
1st GCS:
   Dep. Scan (for removed files)
   SIM Assembler
   Linker (*)
2nd GCS:
   Dep. Scan (C files)
   SIM Compiler
   Linker
   Convertor
   X Convertor
Project is not rebuilt in (3)</t>
  </si>
  <si>
    <t>0. Continue above
1. Remove a Assembler .d file
2. Build project
3. Build project</t>
  </si>
  <si>
    <t>Default setting build
    Remove .d &gt; build</t>
  </si>
  <si>
    <t>34-28-2-017</t>
  </si>
  <si>
    <t>No error in build
1st GCS:
   SIM Assembler
   Linker (*)
2nd GCS:
   Dep. Scan (C files)
   SIM Compiler
   Linker
   Convertor
   X Convertor
Project is not rebuilt in (3)</t>
  </si>
  <si>
    <t>0. Continue above
1. Remove a Assembler .obj file
2. Build project
3. Build project</t>
  </si>
  <si>
    <t>Default setting build
    Remove .obj &gt; build</t>
  </si>
  <si>
    <t>34-28-2-016</t>
  </si>
  <si>
    <t>No error in build
2nd GCS:
   Dep. Scan (C files)
   SIM Compiler
   Linker
   Convertor
   X Convertor
Project is not rebuilt in (3)</t>
  </si>
  <si>
    <t>0. Continue above
1. Remove a Compiler .d file in [BuildConfig/src]
2. Build project
3. Build project</t>
  </si>
  <si>
    <t>34-28-2-015</t>
  </si>
  <si>
    <t>No error in build
2nd GCS:
   SIM Compiler
   Linker
   Convertor
   X Convertor
Project is not rebuilt in (3)</t>
  </si>
  <si>
    <t>0. Continue above
1. Remove a Compiler .obj file in [BuildConfig/src]
2. Build project
3. Build project</t>
  </si>
  <si>
    <t>34-28-2-014</t>
  </si>
  <si>
    <t>No error in build
1st GCS:
   Dep. Scan (*) (for removed files)
   SIM Compiler (*)
   Linker (*)
2nd GCS:
   Dep. Scan (C files)
   SIM Compiler
   Linker
   Convertor
   X Convertor
Project is not rebuilt in (3)</t>
  </si>
  <si>
    <t>0. Continue above
1. Remove a Compiler .d file in [1st/src]
2. Build project
3. Build project</t>
  </si>
  <si>
    <t>34-28-2-013</t>
  </si>
  <si>
    <t>No error in build
1st GCS:
   SIM Compiler (*)
   Linker (*)
2nd GCS:
   Dep. Scan (C files)
   SIM Compiler
   Linker
   Convertor
   X Convertor
Project is not rebuilt in (3)</t>
  </si>
  <si>
    <t>0. Continue above
1. Remove a Compiler .obj file in [1st/src]
2. Build project
3. Build project</t>
  </si>
  <si>
    <t>34-28-2-012</t>
  </si>
  <si>
    <t>No error in build
1st GCS:
   Dep. Scan (for modified file)
   SIM Assembler
   Linker (*)
2nd GCS:
   Dep. Scan (C files)
   SIM Compiler
   Linker
   Convertor
   X Convertor
Project is not rebuilt in (3)</t>
  </si>
  <si>
    <t>0. Continue above
1. Modify ASM source file
2. Build project
3. Build project</t>
  </si>
  <si>
    <t>Default setting build
    Add file &gt; build</t>
  </si>
  <si>
    <t>34-28-2-011</t>
  </si>
  <si>
    <t>No error in build
1st GCS:
   Dep. Scan (*) (for modified file)
   SIM Compiler (*)
   Linker (*)
2nd GCS:
   Dep. Scan (C files)
   SIM Compiler
   Linker
   Convertor
   X Convertor
Project is not rebuilt in (3)</t>
  </si>
  <si>
    <t>0. Continue above
1. Modify C/C++ source file
2. Build project
3. Build project</t>
  </si>
  <si>
    <t>34-28-2-010</t>
  </si>
  <si>
    <t>0. Continue above
1. Modify a Converter option
2. Build project
3. Build project</t>
  </si>
  <si>
    <t>Default setting build
    Modify option &gt; build</t>
  </si>
  <si>
    <t>34-28-2-009</t>
  </si>
  <si>
    <t>0. Continue above
1. Modify a Linker option
2. Build project
3. Build project</t>
  </si>
  <si>
    <t>34-28-2-008</t>
  </si>
  <si>
    <t>No error in build
1st GCS:
   Library Generator
   Linker (*)
2nd GCS:
   Dep. Scan (C files)
   SIM Compiler
   Linker
   Convertor
   X Convertor
Project is not rebuilt in (3)</t>
  </si>
  <si>
    <t>0. Continue above
1. Modify a Std. Lib option
2. Build project
3. Build project</t>
  </si>
  <si>
    <t>34-28-2-007</t>
  </si>
  <si>
    <t>No error in build
1st GCS:
   Dep. Scan (ASM files)
   SIM Assembler
   Linker (*)
2nd GCS:
   Dep. Scan (C files)
   SIM Compiler
   Linker
   Convertor
   X Convertor
Project is not rebuilt in (3)</t>
  </si>
  <si>
    <t>0. Continue above
1. Modify a Assembler option
2. Build project
3. Build project</t>
  </si>
  <si>
    <t>34-28-2-006</t>
  </si>
  <si>
    <t>No error in build
1st GCS:
   Dep. Scan (*) (C files)
   SIM Compiler (*)
   Linker (*)
2nd GCS:
   Dep. Scan (C files)
   SIM Compiler
   Linker
   Convertor
   X Convertor
Project is not rebuilt in (3)</t>
  </si>
  <si>
    <t>0. Continue above
1. Modify a Compiler option
2. Build project
3. Build project</t>
  </si>
  <si>
    <t>34-28-2-005</t>
  </si>
  <si>
    <t>Build phases:
   No build</t>
  </si>
  <si>
    <t>0. Continue above
1. Restart e2 studio
2. Build project</t>
  </si>
  <si>
    <t>Default setting build
    Restart &gt; build</t>
  </si>
  <si>
    <t>34-28-2-004</t>
  </si>
  <si>
    <t>No error in build
1st GCS:
   Dep. Scan (for added files)
   SIM Assembler
   Linker (*)
2nd GCS:
   Dep. Scan (C files)
   SIM Compiler
   Linker
   Convertor
   X Convertor
Project is not rebuilt in (3)</t>
  </si>
  <si>
    <t>0. Continue above
1. Add ASM source file
2. Build project
3. Build project</t>
  </si>
  <si>
    <t>34-28-2-003</t>
  </si>
  <si>
    <t>No error in build
1st GCS:
   Dep. Scan (*) (for added files)
   SIM Compiler (*)
   Linker (*)
2nd GCS:
   Dep. Scan (C files)
   SIM Compiler
   Linker
   Convertor
   X Convertor
Project is not rebuilt in (3)</t>
  </si>
  <si>
    <t>0. Continue above
1. Add C/C++ source file
2. Build project
3. Build project</t>
  </si>
  <si>
    <t>34-28-2-002</t>
  </si>
  <si>
    <t>No error in build
1st GCS:
   Dep. Scan (*) (C files)
   SIM Compiler (*)
   Dep. Scan (ASM files)
   SIM Assembler
   Library Generator
   Linker (*)
2nd GCS:
   Dep. Scan (C files)
   SIM Compiler
   Linker
   Convertor
   X Convertor
Project is not rebuilt in (3)</t>
  </si>
  <si>
    <t>1. Open project (RT_004_RXC)
2. Build project
3. Build project</t>
  </si>
  <si>
    <t>Default setting build
    New build</t>
  </si>
  <si>
    <t>34-28-2-001</t>
  </si>
  <si>
    <t>34-28-2&gt; SIM + MAP build feature</t>
  </si>
  <si>
    <t>Build phases:
   Linker
   Convertor
   X Convertor
Project is not rebuilt in (3)</t>
  </si>
  <si>
    <t>0. Continue above
1. Change Linker Standard Library output to: "Not use"
2. Build project
3. Build project</t>
  </si>
  <si>
    <t>34-28-1-029</t>
  </si>
  <si>
    <t>0. Continue above
1. Change Linker Standard Library output to: "Use existing"
2. Build project
3. Build project</t>
  </si>
  <si>
    <t>34-28-1-028</t>
  </si>
  <si>
    <t>Build phases:
   Library Generator
   Linker
   Convertor
   X Convertor</t>
  </si>
  <si>
    <t>0. Continue above
1. Build project</t>
  </si>
  <si>
    <t>34-28-1-027</t>
  </si>
  <si>
    <t>1. Open project
2. Change Linker Standard Library output to: "Always"
3. Build project</t>
  </si>
  <si>
    <t>34-28-1-026</t>
  </si>
  <si>
    <t>Build phases (single GCS)</t>
  </si>
  <si>
    <t xml:space="preserve">0. Continue above
1. Change Compiler output to: .p/.pp
2. Build project
</t>
  </si>
  <si>
    <t>34-28-1-025</t>
  </si>
  <si>
    <t>34-28-1-024</t>
  </si>
  <si>
    <t>34-28-1-023</t>
  </si>
  <si>
    <t>34-28-1-022</t>
  </si>
  <si>
    <t>Build phases:
   Linker
   X Convertor
Project is not rebuilt in (3)</t>
  </si>
  <si>
    <t>34-28-1-021</t>
  </si>
  <si>
    <t>34-28-1-020</t>
  </si>
  <si>
    <t>Build phases:
   Convertor
   X Convertor
Project is not rebuilt in (3)</t>
  </si>
  <si>
    <t>34-28-1-019</t>
  </si>
  <si>
    <t>34-28-1-018</t>
  </si>
  <si>
    <t>34-28-1-017</t>
  </si>
  <si>
    <t>34-28-1-016</t>
  </si>
  <si>
    <t>Build phases:
   Dep. Scan (for removed file)
   SIM Assembler
   Linker
   Convertor
   X Convertor
Project is not rebuilt in (3)</t>
  </si>
  <si>
    <t>34-28-1-015</t>
  </si>
  <si>
    <t>Build phases:
   SIM Assembler
   Linker
   Convertor
   X Convertor
Project is not rebuilt in (3)</t>
  </si>
  <si>
    <t>34-28-1-014</t>
  </si>
  <si>
    <t>Build phases:
   Dep. Scan (for removed file)
   SIM Compiler
   Linker
   Convertor
   X Convertor
Project is not rebuilt in (3)</t>
  </si>
  <si>
    <t>0. Continue above
1. Remove a Compiler .d file
2. Build project
3. Build project</t>
  </si>
  <si>
    <t>34-28-1-013</t>
  </si>
  <si>
    <t>Build phases:
   SIM Compiler
   Linker
   Convertor
   X Convertor
Project is not rebuilt in (3)</t>
  </si>
  <si>
    <t>0. Continue above
1. Remove a Compiler .obj file
2. Build project
3. Build project</t>
  </si>
  <si>
    <t>34-28-1-012</t>
  </si>
  <si>
    <t>34-28-1-011</t>
  </si>
  <si>
    <t>Build phases:
   Dep. Scan (for modified file)
   SIM Compiler
   Linker
   Convertor
   X Convertor
Project is not rebuilt in (3)</t>
  </si>
  <si>
    <t>34-28-1-010</t>
  </si>
  <si>
    <t>34-28-1-009</t>
  </si>
  <si>
    <t>34-28-1-008</t>
  </si>
  <si>
    <t>Build phases:
   Library Generator
   Linker
   Convertor
   X Convertor
Project is not rebuilt in (3)</t>
  </si>
  <si>
    <t>34-28-1-007</t>
  </si>
  <si>
    <t>34-28-1-006</t>
  </si>
  <si>
    <t>Build phases:
   Dep. Scan (C files)
   SIM Compiler
   Linker
   Convertor
   X Convertor
Project is not rebuilt in (3)</t>
  </si>
  <si>
    <t>34-28-1-005</t>
  </si>
  <si>
    <t>0. Continue above
1. Restart e2 studio
2. Build project
3. Build project</t>
  </si>
  <si>
    <t>34-28-1-004</t>
  </si>
  <si>
    <t>34-28-1-003</t>
  </si>
  <si>
    <t>34-28-1-002</t>
  </si>
  <si>
    <t>34-28-1-001</t>
  </si>
  <si>
    <t>34-28-1&gt; SIM build feature</t>
  </si>
  <si>
    <t>34-28&gt; Simultaneous build</t>
  </si>
  <si>
    <t>Ju123_RT420</t>
  </si>
  <si>
    <t>GCSTrangTo</t>
  </si>
  <si>
    <t>6. Can  successful
_ Can build project successful</t>
  </si>
  <si>
    <t>&gt; Rename &amp; Import Existing C/C++ Project &gt; Select archive file &gt; GNURZ</t>
  </si>
  <si>
    <t>D012846_13_3.9.10-021</t>
  </si>
  <si>
    <t>D012846_13_3.9.10-020</t>
  </si>
  <si>
    <t>&gt; Rename &amp; Import Existing C/C++ Project &gt; Select root directory &gt; GNURZ</t>
  </si>
  <si>
    <t>D012846_13_3.9.10-019</t>
  </si>
  <si>
    <t>D012846_13_3.9.10-018</t>
  </si>
  <si>
    <t>D012846_13_3.9.10&gt; GNURZ</t>
  </si>
  <si>
    <t>&gt; Rename &amp; Import Existing C/C++ Project &gt; Select archive file &gt; GNU-RL</t>
  </si>
  <si>
    <t>D012846_13_3.9.10-017</t>
  </si>
  <si>
    <t>D012846_13_3.9.10-016</t>
  </si>
  <si>
    <t>&gt; Rename &amp; Import Existing C/C++ Project &gt; Select root directory &gt; GNU-RL</t>
  </si>
  <si>
    <t>D012846_13_3.9.10-015</t>
  </si>
  <si>
    <t>D012846_13_3.9.10-014</t>
  </si>
  <si>
    <t>D012846_13_3.9.10&gt; GNU-RL</t>
  </si>
  <si>
    <t>&gt; Rename &amp; Import Existing C/C++ Project &gt; Select archive file &gt; GNU-RX</t>
  </si>
  <si>
    <t>D012846_13_3.9.10-013</t>
  </si>
  <si>
    <t>D012846_13_3.9.10-012</t>
  </si>
  <si>
    <t>&gt; Rename &amp; Import Existing C/C++ Project &gt; Select root directory &gt; GNU-RX</t>
  </si>
  <si>
    <t>D012846_13_3.9.10-011</t>
  </si>
  <si>
    <t>D012846_13_3.9.10-010</t>
  </si>
  <si>
    <t>D012846_13_3.9.10&gt; GNU-RX</t>
  </si>
  <si>
    <t>&gt; Rename &amp; Import Existing C/C++ Project &gt; Select archive file &gt; Renesas RL</t>
  </si>
  <si>
    <t>D012846_13_3.9.10-009</t>
  </si>
  <si>
    <t>D012846_13_3.9.10-008</t>
  </si>
  <si>
    <t>&gt; Rename &amp; Import Existing C/C++ Project &gt; Select root directory &gt; Renesas RL</t>
  </si>
  <si>
    <t>D012846_13_3.9.10-007</t>
  </si>
  <si>
    <t>D012846_13_3.9.10-006</t>
  </si>
  <si>
    <t>D012846_13_3.9.10&gt; Renesas RL</t>
  </si>
  <si>
    <t>3. Show warning message: "No projects are found to import"
_Cannot select [Finish] button, [Next &gt;] button
_Can select [&lt; Back] button, [Cancel] button
5. Show warning message: "No projects are found to import"
_Cannot select [Finish] button, [Next &gt;] button
_Can select [&lt; Back] button, [Cancel] button</t>
  </si>
  <si>
    <t>&gt; Rename &amp; Import Existing C/C++ Project &gt; Import invalid project &gt; Renesas RX</t>
  </si>
  <si>
    <t>D012846_13_3.9.10-005</t>
  </si>
  <si>
    <t>&gt; Rename &amp; Import Existing C/C++ Project &gt; Select archive file &gt; Renesas RX</t>
  </si>
  <si>
    <t>D012846_13_3.9.10-004</t>
  </si>
  <si>
    <t>D012846_13_3.9.10-003</t>
  </si>
  <si>
    <t>&gt; Rename &amp; Import Existing C/C++ Project &gt; Select root directory &gt; Renesas RX</t>
  </si>
  <si>
    <t>D012846_13_3.9.10-002</t>
  </si>
  <si>
    <t>D012846_13_3.9.10-001</t>
  </si>
  <si>
    <t>D012846_13_3.9.10&gt; Renesas RX</t>
  </si>
  <si>
    <t>D012846_13_3.9.10&gt; Rename &amp; Import Existing C/C++ Project</t>
  </si>
  <si>
    <t>Ju109_RT401</t>
  </si>
  <si>
    <t>No build error and “-nostuff” option for C++ file is added to Console view</t>
  </si>
  <si>
    <t xml:space="preserve">1. Launch e2studio and Create RTOS C++ project
2. Set “-nostuff” as individual option during build BY select a C++ file in Project Explorer → press “Alt+T” → C/C++ Build Settings → Compiler → Object → Check ON all of items of “Matching the alignment value” property → Click OK
3. Build project
</t>
  </si>
  <si>
    <t>35-50-004</t>
  </si>
  <si>
    <t>No build error and “-nostuff” option for C file is added to Console view</t>
  </si>
  <si>
    <t xml:space="preserve">1. Launch e2studio and Create RTOS C project
2. Set “-nostuff” as individual option during build BY select a C file in Project Explorer → press “Alt+T” → C/C++ Build Settings → Compiler → Object → Check ON all of items of “Matching the alignment value” property → Click OK
3. Build project
</t>
  </si>
  <si>
    <t>35-50-003</t>
  </si>
  <si>
    <t>[2] Verify the presence of "Reset_program.c" in summary dialog at the end of project creation
[3] Verify the presence of "abort" function in 'cpp_prj_test.c' of RTOS project
[4] No build error and "Symbol is not resolved" error is not generated</t>
  </si>
  <si>
    <t>35-50-002</t>
  </si>
  <si>
    <t>[2] Verify the presence of "Reset_program.c" in summary dialog at the end of project creation
[3] Verify the presence of "abort" function in 'c_prj_test.c' of RTOS project
[4] No build error and "Symbol is not resolved" error is not generated</t>
  </si>
  <si>
    <t>1. Run RI600V4_Object_Release_V10400.exe to install RTOS instaler package
2. Launch e2studio and Create RTOS C project (Project Name: c_prj_test)
3. Open c_prj_test.c file
4. Build project</t>
  </si>
  <si>
    <t>35-50-001</t>
  </si>
  <si>
    <t>35-50&gt; To support the RTOS project creation and build (Trac #5094)</t>
  </si>
  <si>
    <t>Ju109_RT410</t>
  </si>
  <si>
    <t>Original device file version and the date has been added in the .sfrx files such as:
  &lt;header&gt;
    &lt;device&gt;R5F10AAA&lt;/device&gt;
    &lt;deviceFile&gt;
      &lt;name&gt;DR5F10AAA.DVF&lt;/name&gt;
      &lt;version&gt;V1.10&lt;/version&gt;
      &lt;date&gt;2014-08-05&lt;/date&gt;
      &lt;copyright&gt;Copyright(C) 2014 Renesas&lt;/copyright&gt;
    &lt;/deviceFile&gt;
    &lt;fileToolVersion&gt;3.1.1&lt;/fileToolVersion&gt;
    &lt;generated&gt;2014-09-01T13:29:38.7232786+09:00&lt;/generated&gt;
  &lt;/header&gt;</t>
  </si>
  <si>
    <t>1. Launch e2studio
2. Create any default C/C++ project (RL78 target)
3. Build and debug it
4. Check the .sfrx files which is in the location $e2studio_home\internal\IoFiles</t>
  </si>
  <si>
    <t>35-43-002</t>
  </si>
  <si>
    <t>Original device file version and the date has been added in the .sfrx files such as:
  &lt;header&gt;
    &lt;device&gt;RX64M&lt;/device&gt;
    &lt;deviceFile&gt;
      &lt;name&gt;rx64m.ddi&lt;/name&gt;
      &lt;version&gt;V0.90a&lt;/version&gt;
      &lt;copyright&gt;© 2013, 2014 Renesas Electronics Corporation&lt;/copyright&gt;
    &lt;/deviceFile&gt;
    &lt;fileToolVersion&gt;3.0.1&lt;/fileToolVersion&gt;
    &lt;generated&gt;2014-08-18T09:54:12.5479809+09:00&lt;/generated&gt;
  &lt;/header&gt;</t>
  </si>
  <si>
    <t>1. Launch e2studio
2. Create any default C/C++ project (RX target)
3. Build and debug it
4. Check the .sfrx files which is in the location $e2studio_home\internal\IoFiles</t>
  </si>
  <si>
    <t>35-43-001</t>
  </si>
  <si>
    <t>35-43&gt; .sfrx to have the version and the date of original device info files (RL and RX) (Trac #4791)</t>
  </si>
  <si>
    <t xml:space="preserve">version &amp; timestamp of original device file has been added in header such as V1.12 (2012/04/03) </t>
  </si>
  <si>
    <t>1. Launch e2studio
2. Create default RL78 project
3. Open iodefine.h file</t>
  </si>
  <si>
    <t>35-42-001</t>
  </si>
  <si>
    <t>35-42&gt; iodefine.h to have the version and the date of original device files (Trac #4790)</t>
  </si>
  <si>
    <t xml:space="preserve">"Symbol is not resolved" error is not generated in Console view
</t>
  </si>
  <si>
    <t>35-41-003</t>
  </si>
  <si>
    <t>35-41-002</t>
  </si>
  <si>
    <t xml:space="preserve">1. Create CCRX project with default settings.
2. Add code as below:
#ifndef NULL
#define NULL ((void*) 0)
#endif
 Void main (void)
{
  void* localNULL = NULL;
}
3. Build the project.
</t>
  </si>
  <si>
    <t>35-41-001</t>
  </si>
  <si>
    <t>35-41&gt; Symbol is not resolved error is generated by CODAN (Trac #4740)</t>
  </si>
  <si>
    <t>[3] “New Make Target” toolbar option is enable
[4] Opens the Create Make Target dialog box 
[7] Can Edits currently selected target in the Modify Make Target dialog box</t>
  </si>
  <si>
    <t>1. Launch e2studio
2. Create projects in e2studio
3. Open Make Target view and select the project listed under there
4. Click on “New Make Target” toolbar options
5. Define a new make target (ex: Newton)
6. Select “Newton”
7. Click on “Edit Make Target” toolbar options</t>
  </si>
  <si>
    <t>35-40-002</t>
  </si>
  <si>
    <t xml:space="preserve">“New Make Target” toolbar option is disable
</t>
  </si>
  <si>
    <t xml:space="preserve">1. Launch e2studio
2. Create projects in e2studio
3. Open Make Target view and don't select the project listed under there
</t>
  </si>
  <si>
    <t>35-40-001</t>
  </si>
  <si>
    <t>35-40&gt; Create Make Target menu to be enabled (Trac #4720)</t>
  </si>
  <si>
    <t>Test case is of GCS 
Bug#4.2.0_30
[GCS-20151110]
GCS created Bug#4.2.0_30 and wait RVC feedback</t>
  </si>
  <si>
    <t>GCSTrangT</t>
  </si>
  <si>
    <t>Text File Encoding is “Default (Cp1252)”</t>
  </si>
  <si>
    <t>1. Launch e2studio
2. Open "Window &gt; Preferences &gt; General &gt; Workspace
3. Set Text File Encoding is “Default (Cp1252)”
4. Click OK on Preferences dialog
5. Open "Window &gt; Preferences &gt; General &gt; Workspace</t>
  </si>
  <si>
    <t>35-39-003</t>
  </si>
  <si>
    <t>Test case is of GCS 
Bug#4.2.0_31
[GCS-20151110]
GCS created Bug#4.2.0_31 and wait RVC feedback</t>
  </si>
  <si>
    <t>1. Launch e2studio
2. Open "Window &gt; Preferences &gt; General &gt; Workspace
3. Click Restore Defaults on Preferences dialog</t>
  </si>
  <si>
    <t>35-39-002</t>
  </si>
  <si>
    <t>[2] UTF-8 is set as default
[5] String contain Japanese characters is displayed in Console view</t>
  </si>
  <si>
    <t xml:space="preserve">Pre-condition:
Already install Japanese font.
1. Launch e2studio
2. Check "Window &gt; Preferences &gt; General &gt; Workspace &gt; Text File Encoding 
3. Create RXC toolchain default project.
4. Set command “echo” to display a string contain Japanese characters in Pre-build steps
(Go to [C/C++ Build] -&gt; [Settings] -&gt; [Build Steps] )
(ex: echo “スキーに行くのが好きです”)
5. Build Project.
</t>
  </si>
  <si>
    <t>35-39-001</t>
  </si>
  <si>
    <t>35-39&gt; UTF-8 encoding as default (Trac #4719)</t>
  </si>
  <si>
    <t>Dialog will be closed and toolchain is updated to RXC v2.01</t>
  </si>
  <si>
    <t>1. Launch e2studio
→ Support RXC v2.01
2. Create multiple project (RXC v1.02)
3. Select Help menu &gt;&gt; Add Renesas Toolchains
→ Check OFF RXC v1.02
4. Select all project name in Project Explorer → Press “Ctrl+B”
5. Toolchain update information dialog is shown
6. Click OK on dialog</t>
  </si>
  <si>
    <t>35-38-006</t>
  </si>
  <si>
    <t>Script detect this is bug but can't manual reproduce</t>
  </si>
  <si>
    <t>Dialog will be closed and toolchain is updated to RXC v1.02</t>
  </si>
  <si>
    <t>1. Launch e2studio
2. Create multiple project (RXC v2.01)
3. Select Help menu &gt;&gt; Add Renesas Toolchains
→ Check OFF RXC v2.01
4. Select all project name in Project Explorer → Press “Ctrl+B”
5. Toolchain update information dialog is shown
6. Click OK on dialog</t>
  </si>
  <si>
    <t>35-38-005</t>
  </si>
  <si>
    <t>Dialog will be closed and toolchain is updated to RXC v2</t>
  </si>
  <si>
    <t>1. Ensure e2s support RXC v2 only
2. Import a HEW project contain multiple sub-projects 
(Used and Build with RXC v1)
3. Toolchain update information dialog is shown
4. Click OK on dialog</t>
  </si>
  <si>
    <t>35-38-0041</t>
  </si>
  <si>
    <t>1. Ensure e2s support RXC v2 only
2. Import a CS+ project contain multiple sub-projects 
(Used and Build with RXC v1)
3. Toolchain update information dialog is shown
4. Click OK on dialog</t>
  </si>
  <si>
    <t>35-38-004</t>
  </si>
  <si>
    <t>Dialog will be closed and toolchain is updated to RXC v1</t>
  </si>
  <si>
    <t>1. Ensure e2s support RXC v1 only
2. Import a CS+ project contain multiple sub-projects 
(Used and Build with RXC v2)
3. Toolchain update information dialog is shown
4. Click OK on dialog</t>
  </si>
  <si>
    <t>35-38-003</t>
  </si>
  <si>
    <t>1. Ensure e2s support RXC v2 only
2. Import a e2s project contain multiple sub-projects 
(Used and Build with RXC v1)
3. Toolchain update information dialog is shown
4. Click OK on dialog</t>
  </si>
  <si>
    <t>35-38-002</t>
  </si>
  <si>
    <t>1. Ensure e2s support RXC v1 only
2. Import a e2s project contain multiple sub-projects 
(Used and Build with RXC v2)
3. Toolchain update information dialog is shown
4. Click OK on dialog</t>
  </si>
  <si>
    <t>35-38-001</t>
  </si>
  <si>
    <t>35-38&gt; OK for all button (Trac #4717)</t>
  </si>
  <si>
    <t>“Apply” and “Restore” button is full form</t>
  </si>
  <si>
    <t>35-27-002</t>
  </si>
  <si>
    <t>Check GUI of MBS page</t>
  </si>
  <si>
    <t>35-27-001</t>
  </si>
  <si>
    <t>35-27&gt; "Apply" or "Restore default" button is not easy to be pushed. Because scroll is needed to push them (#4353)</t>
  </si>
  <si>
    <t>Debug program no error</t>
  </si>
  <si>
    <t>1. Continue above (Have Japanese in project path name)
2. Debug program
3. Check if Debug program no error</t>
  </si>
  <si>
    <t>35-18-2-003</t>
  </si>
  <si>
    <t>Build project no error</t>
  </si>
  <si>
    <t>1. Continue above (Have Japanese in project path name)
2. Build project
3. Check if Build project no error</t>
  </si>
  <si>
    <t>35-18-2-002</t>
  </si>
  <si>
    <t>Project is created without error</t>
  </si>
  <si>
    <t>1. New project
- Toolchain: CCRX
- Device: RX610
- Have Japanese in project path name
2. Check if project is created without error</t>
  </si>
  <si>
    <t>Japanese in project path name</t>
  </si>
  <si>
    <t>35-18-2-001</t>
  </si>
  <si>
    <t>1. Continue above (Have Chinese in project path name)
2. Debug program
3. Check if Debug program no error</t>
  </si>
  <si>
    <t>35-18-1-003</t>
  </si>
  <si>
    <t>1. Continue above (Have Chinese in project path name)
2. Build project
3. Check if Build project no error</t>
  </si>
  <si>
    <t>35-18-1-002</t>
  </si>
  <si>
    <t>1. New project
- Toolchain: CCRX
- Device: RX610
- Have Chinese in project path name
2. Check if project is created without error</t>
  </si>
  <si>
    <t>Chinese in project path name</t>
  </si>
  <si>
    <t>35-18-1-001</t>
  </si>
  <si>
    <t>35-18&gt; Chinese language support (#4770)</t>
  </si>
  <si>
    <t>Files are not different</t>
  </si>
  <si>
    <t>1. Create new project
- Toolchain: CCRX
- Device: RX111
2. Save .cproject in the project as a different file name. (ex. cproject_org.log)
3. Click the project and open "Renesas Tool Settings"
4. Without any change on the settings, click Cancel button
5. Save .cproject in the project as a different file name. (ex. cproject_after_Cancel.log)
6. Compare below files:
- cproject_org.log
- cproject_after_Cancel.log</t>
  </si>
  <si>
    <t>"Cancel" button</t>
  </si>
  <si>
    <t>35-16-4-001</t>
  </si>
  <si>
    <t>35-16-3-003</t>
  </si>
  <si>
    <t>Files are different</t>
  </si>
  <si>
    <t>1. Create new project
- Toolchain: CCRX
- Device: RX111
2. Save .cproject in the project as a different file name. (ex. cproject_org.log)
3. Click the project and open "Renesas Tool Settings"
4. With some changes on the settings, click OK button
5. Save .cproject in the project as a different file name. (ex. cproject_after_OK.log)
6. Compare below files:
- cproject_org.log
- cproject_after_OK.log</t>
  </si>
  <si>
    <t>35-16-3-002</t>
  </si>
  <si>
    <t>1. Create new project
- Toolchain: CCRX
- Device: RX111
2. Save .cproject in the project as a different file name. (ex. cproject_org.log)
3. Click the project and open "Renesas Tool Settings"
4. Without any change on the settings, click OK button
5. Save .cproject in the project as a different file name. (ex. cproject_after_OK.log)
6. Compare below files:
- cproject_org.log
- cproject_after_OK.log</t>
  </si>
  <si>
    <t>"OK" button</t>
  </si>
  <si>
    <t>35-16-3-001</t>
  </si>
  <si>
    <t>"Apply" - "Cancel" button</t>
  </si>
  <si>
    <t>35-16-2-001</t>
  </si>
  <si>
    <t>"Apply" - "OK" button</t>
  </si>
  <si>
    <t>35-16-1-001</t>
  </si>
  <si>
    <t>35-16&gt; .cproject has a lot of diff even without changing settings (#4550)</t>
  </si>
  <si>
    <t>Display new control in main-page with values as sub-page and build project success</t>
  </si>
  <si>
    <t>1. Open old project (e2 studio V3.00)
2. Go [RTOS] page
-&gt; check option
3. Build project</t>
  </si>
  <si>
    <t>35-14-6-008</t>
  </si>
  <si>
    <t>[4] Same value</t>
  </si>
  <si>
    <t>1. Create Application/Library RXC project
2. Select [RTOS] page
3. Specify value "c1"
4. Close project -&gt; Save
-&gt; check values</t>
  </si>
  <si>
    <t>35-14-6-007</t>
  </si>
  <si>
    <t>[4] Not affect by specified values of [RTOS]</t>
  </si>
  <si>
    <t>1. Create Application/Library RXC project
2. Select [RTOS] page
3. Select Add/Move Up/Move Down/Edit/Delete
4. Select main-page of other phases (Compiler, Assemble, Linker, LibGen)
-&gt; check values</t>
  </si>
  <si>
    <t>35-14-6-006</t>
  </si>
  <si>
    <t>[5] The values and the order in main-page is the same the sub-page.</t>
  </si>
  <si>
    <t>35-14-6-005</t>
  </si>
  <si>
    <t>[4] The values and the order in main-page is the same the sub-page.</t>
  </si>
  <si>
    <t>35-14-6-004</t>
  </si>
  <si>
    <t>[4] The values and the order in sub-page is the same the main-page.
[5] Output build command line for specified values regarding to their order</t>
  </si>
  <si>
    <t>35-14-6-003</t>
  </si>
  <si>
    <t>35-14-6-002</t>
  </si>
  <si>
    <t>Create control for [User Defined] in StringList format</t>
  </si>
  <si>
    <t>1. Create Application/Library RXC project
2. Select [RTOS] page
-&gt; check control</t>
  </si>
  <si>
    <t>Check [RTOS] page</t>
  </si>
  <si>
    <t>35-14-6-001</t>
  </si>
  <si>
    <t>1. Open old project (e2 studio V3.00)
2. Go [LibGen] page
-&gt; check option
3. Build project</t>
  </si>
  <si>
    <t>35-14-5-008</t>
  </si>
  <si>
    <t>1. Create Application/Library RXC project
2. Select [LibGen] page
3. Specify value "c1"
4. Close project -&gt; Save
-&gt; check values</t>
  </si>
  <si>
    <t>35-14-5-007</t>
  </si>
  <si>
    <t>[4] Not affect by specified values of [LibGen]</t>
  </si>
  <si>
    <t>1. Create Application/Library RXC project
2. Select [LibGen] page
3. Select Add/Move Up/Move Down/Edit/Delete
4. Select main-page of other phases (Compiler, Assemble, Linker, Converter)
-&gt; check values</t>
  </si>
  <si>
    <t>35-14-5-006</t>
  </si>
  <si>
    <t>35-14-5-005</t>
  </si>
  <si>
    <t>35-14-5-004</t>
  </si>
  <si>
    <t>35-14-5-003</t>
  </si>
  <si>
    <t>35-14-5-002</t>
  </si>
  <si>
    <t>1. Create Application/Library RXC project
2. Select [LibGen] page
-&gt; check control</t>
  </si>
  <si>
    <t>Check [LibGen] page</t>
  </si>
  <si>
    <t>35-14-5-001</t>
  </si>
  <si>
    <t>1. Open old project (e2 studio V3.00)
2. Go [Converter] page
-&gt; check option
3. Build project</t>
  </si>
  <si>
    <t>35-14-4-008</t>
  </si>
  <si>
    <t>1. Create Application/Library RXC project
2. Select [Converter] page
3. Specify value "c1"
4. Close project -&gt; Save
-&gt; check values</t>
  </si>
  <si>
    <t>35-14-4-007</t>
  </si>
  <si>
    <t>[4] Not affect by specified values of [Converter]</t>
  </si>
  <si>
    <t>1. Create Application/Library RXC project
2. Select [Converter] page
3. Select Add/Move Up/Move Down/Edit/Delete
4. Select main-page of other phases (Compiler, Assemble, Linker, LibGen)
-&gt; check values</t>
  </si>
  <si>
    <t>35-14-4-006</t>
  </si>
  <si>
    <t>35-14-4-005</t>
  </si>
  <si>
    <t>35-14-4-004</t>
  </si>
  <si>
    <t>35-14-4-003</t>
  </si>
  <si>
    <t>35-14-4-002</t>
  </si>
  <si>
    <t>1. Create Application/Library RXC project
2. Select [Converter] page
-&gt; check control</t>
  </si>
  <si>
    <t>Check [Converter] page</t>
  </si>
  <si>
    <t>35-14-4-001</t>
  </si>
  <si>
    <t>1. Open old project (e2 studio V3.00)
2. Go [Linker] page
-&gt; check option
3. Build project</t>
  </si>
  <si>
    <t>35-14-3-008</t>
  </si>
  <si>
    <t>1. Create Application/Library RXC project
2. Select [Linker] page
3. Specify value "c1"
4. Close project -&gt; Save
-&gt; check values</t>
  </si>
  <si>
    <t>35-14-3-007</t>
  </si>
  <si>
    <t>[4] Not affect by specified values of [Linker]</t>
  </si>
  <si>
    <t>1. Create Application/Library RXC project
2. Select [Linker] page
3. Select Add/Move Up/Move Down/Edit/Delete
4. Select main-page of other phases (Compiler, Assemble, Converter, LibGen)
-&gt; check values</t>
  </si>
  <si>
    <t>35-14-3-006</t>
  </si>
  <si>
    <t>35-14-3-005</t>
  </si>
  <si>
    <t>35-14-3-004</t>
  </si>
  <si>
    <t>35-14-3-003</t>
  </si>
  <si>
    <t>35-14-3-002</t>
  </si>
  <si>
    <t>1. Create Application/Library RXC project
2. Select [Linker] page
-&gt; check control</t>
  </si>
  <si>
    <t>Check [Linker] page</t>
  </si>
  <si>
    <t>35-14-3-001</t>
  </si>
  <si>
    <t>1. Open old project (e2 studio V3.00)
2. Go [Assembler] page
-&gt; check option
3. Build project</t>
  </si>
  <si>
    <t>35-14-2-009</t>
  </si>
  <si>
    <t>1. Create Application/Library RXC project
2. Select [Assembler] page
3. Specify value "c1"
4. Close project -&gt; Save
-&gt; check values</t>
  </si>
  <si>
    <t>35-14-2-008</t>
  </si>
  <si>
    <t>[4] Not affect by specified values of [Assembler]</t>
  </si>
  <si>
    <t>1. Create Application/Library RXC project
2. Select [Assembler] page
3. Select Add/Move Up/Move Down/Edit/Delete
4. Select main-page of other phases (Compiler, Linker, Converter, LibGen)
-&gt; check values</t>
  </si>
  <si>
    <t>35-14-2-007</t>
  </si>
  <si>
    <t>[5] The values and the order in sub-page is the same the main-page.
[6] Output build command line Individual Assemble source file for specified values regarding to their order</t>
  </si>
  <si>
    <t>1. Create Application/Library RXC project
2. Select [Assemble] page
3. Select Add/Move Up/Move Down/Edit/Delete
4. Select settings for Individual Assemble source file
5. Go to [User Defined]
-&gt; check values and order
6. Build project
-&gt; check build command</t>
  </si>
  <si>
    <t>35-14-2-006</t>
  </si>
  <si>
    <t>35-14-2-005</t>
  </si>
  <si>
    <t>35-14-2-004</t>
  </si>
  <si>
    <t>35-14-2-003</t>
  </si>
  <si>
    <t>35-14-2-002</t>
  </si>
  <si>
    <t>1. Create Application/Library RXC project
2. Select [Assembler] page
-&gt; check control</t>
  </si>
  <si>
    <t>Check [Assembler] page</t>
  </si>
  <si>
    <t>35-14-2-001</t>
  </si>
  <si>
    <t>1. Open old project (e2 studio V3.00)
2. Go [Compiler] page
-&gt; check option
3. Build project</t>
  </si>
  <si>
    <t>35-14-1-009</t>
  </si>
  <si>
    <t>1. Create Application/Library RXC project
2. Select [Compiler] page
3. Specify value "c1"
4. Close project -&gt; Save
5. Re-open
-&gt; check values</t>
  </si>
  <si>
    <t>35-14-1-008</t>
  </si>
  <si>
    <t>[4] Not affect by specified values of [Compiler]</t>
  </si>
  <si>
    <t>1. Create Application/Library RXC project
2. Select [Compiler] page
3. Select Add/Move Up/Move Down/Edit/Delete
4. Select main-page of other phases (Assembler, Linker, Converter, LibGen)
-&gt; check values</t>
  </si>
  <si>
    <t>35-14-1-007</t>
  </si>
  <si>
    <t>[5] The values and the order in sub-page is the same the main-page.
[6] Output build command line Individual C source file for specified values regarding to their order</t>
  </si>
  <si>
    <t>1. Create Application/Library RXC project
2. Select [Compiler] page
3. Select Add/Move Up/Move Down/Edit/Delete
4. Select settings for Individual C/C++ source file
5. Go to [User Defined]
-&gt; check values and order
6. Build project
-&gt; check build command</t>
  </si>
  <si>
    <t>35-14-1-006</t>
  </si>
  <si>
    <t>35-14-1-005</t>
  </si>
  <si>
    <t>35-14-1-004</t>
  </si>
  <si>
    <t>[4] The values and the order in sub-page is the same the main-page.
[5] Output build command line for specified values regarding to their order</t>
  </si>
  <si>
    <t>35-14-1-003</t>
  </si>
  <si>
    <t>35-14-1-002</t>
  </si>
  <si>
    <t>1. Create Application/Library RXC project
2. Select [Compiler] page
-&gt; check control</t>
  </si>
  <si>
    <t>Check [Compiler] page</t>
  </si>
  <si>
    <t>35-14-1-001</t>
  </si>
  <si>
    <t>35-14&gt; CCRX: Move user options GUI control (#3386)</t>
  </si>
  <si>
    <t>3. Build no error, options are output in Linker
5. Debug no error</t>
  </si>
  <si>
    <t>1. Continue above
2. Build project
3. Check if build no error, options are output in Linker
4. Debug program
5. Check if debug no error</t>
  </si>
  <si>
    <t>35-13-4-006</t>
  </si>
  <si>
    <t>"-vect", "-vectn" options are set on GUI</t>
  </si>
  <si>
    <t>Ensure that below Linker options were set in CS+ project:
-vectn=111=AA -vectn=222=BB 
-vect=_main
1. Import project to e2 studio
2. Select project item on project tree &gt; Click on "Renesas Tool Settings" button on main toolbar
3. Select Linker &gt; Output &gt; Advanced
4. Check if "-vect", "-vectn" options are set on GUI</t>
  </si>
  <si>
    <t>35-13-4-005</t>
  </si>
  <si>
    <t>Options are exported to Renesas Common Project File</t>
  </si>
  <si>
    <t>1. Continue above
2. Export to Renesas Common Project File
3. Check if options are exported to Renesas Common Project File</t>
  </si>
  <si>
    <t>35-13-4-004</t>
  </si>
  <si>
    <t>3. Options can be set
5. Build no error, options are output in Linker
7. Debug no error</t>
  </si>
  <si>
    <t>1. Continue above
2. Set Linker options as:
-vectn=111=AA -vectn=222=BB 
-vect=_main
3. Check if options can be set without error
4. Build project
5. Check if build no error, options are output in Linker
6. Debug program
7. Check if debug no error</t>
  </si>
  <si>
    <t>35-13-4-003</t>
  </si>
  <si>
    <t>Tooltip is supported</t>
  </si>
  <si>
    <t>1. Continue above
2. Check if tooltip is supported</t>
  </si>
  <si>
    <t>35-13-4-002</t>
  </si>
  <si>
    <t>35-13-4-001</t>
  </si>
  <si>
    <t>35-13-3-006</t>
  </si>
  <si>
    <t>35-13-3-005</t>
  </si>
  <si>
    <t>35-13-3-004</t>
  </si>
  <si>
    <t>35-13-3-003</t>
  </si>
  <si>
    <t>35-13-3-002</t>
  </si>
  <si>
    <t>Set "-vect", "-vectn" options for RX100 project</t>
  </si>
  <si>
    <t>35-13-3-001</t>
  </si>
  <si>
    <t>35-13-2-006</t>
  </si>
  <si>
    <t>35-13-2-005</t>
  </si>
  <si>
    <t>35-13-2-004</t>
  </si>
  <si>
    <t>35-13-2-003</t>
  </si>
  <si>
    <t>35-13-2-002</t>
  </si>
  <si>
    <t>Set "-vect", "-vectn" options for RX200 project</t>
  </si>
  <si>
    <t>35-13-2-001</t>
  </si>
  <si>
    <t>35-13-1-006</t>
  </si>
  <si>
    <t>35-13-1-005</t>
  </si>
  <si>
    <t>35-13-1-004</t>
  </si>
  <si>
    <t>GCS</t>
  </si>
  <si>
    <t>35-13-1-003</t>
  </si>
  <si>
    <t>35-13-1-002</t>
  </si>
  <si>
    <t>Set "-vect", "-vectn" options for RX600 project</t>
  </si>
  <si>
    <t>35-13-1-001</t>
  </si>
  <si>
    <t>35-13&gt; CCRX: Linker option setting improvement (#3103)</t>
  </si>
  <si>
    <t>NA-NA</t>
  </si>
  <si>
    <t>#4799, #4811 
Command failed as with above error regarding mangled command-line._x000D_
_x000D_
_x000D_
Additional issue noticed: when disabling a custom build step for a project file (e.g. C file) and clicking Apply on the dialog throws an unknown exception.</t>
  </si>
  <si>
    <t>With the custom phase overriding the normal build phase, the custom phase should have executed with the correct command-line as given in the Properties._x000D_
_x000D_
The main C source file should not have been executed by the usual build phase (e.g. Compiler) since the custom tool has overriden it._x000D_
_x000D_
(note the project may not successfully build since we only did a file copy to create the .obj file, but this should not detract from the above results).</t>
  </si>
  <si>
    <t>Continuing from above tests._x000D_
1. Open the properties dialog for the main C source file (e.g. Main.c)._x000D_
2. On the "Build steps" tab set the Custom Build Step Applicability combo-box to "Apply Custom Build Step Overriding Other Tools"._x000D_
_x000D_
3. Set the edit fields for the build step to be:_x000D_
 * Additional input file names: empty_x000D_
 * Output file names: src/MyFile1.c_x000D_
 * Command: FileCopy.exe src/MyFile1.xyz &lt;config&gt;/MyFile1.c_x000D_
_x000D_
(where &lt;config&gt; should be the name of the debug configuration, and FileCopy.exe should be its fully qualified path to the executable)._x000D_
_x000D_
4. Click OK and perform a clean and a build on the project._x000D_
5. Examine the build ouput in Console window.</t>
  </si>
  <si>
    <t>Replace the existing build phase (compiler) with a custom phase for this source file</t>
  </si>
  <si>
    <t>1.2.5 Custom build step overriding other tools</t>
  </si>
  <si>
    <t>#4799
Command failed as with above error regarding mangled command-line.</t>
  </si>
  <si>
    <t>The custom phase should execute after the other build phases (e.g. Compiler). The outputted "main2.obj" should have been input into the remaining build phases (e.g. Linker).</t>
  </si>
  <si>
    <t>Executing custom build phase before the other build phases</t>
  </si>
  <si>
    <t>1.2.4 Custom build step after other tools</t>
  </si>
  <si>
    <t xml:space="preserve">#4799
Command failed as with above error regarding mangled command-line. The command line output appears as:_x000D_
_x000D_
"FileCopy.exe" .../src/MyFile.xyz @"src/MyFile1.sub" </t>
  </si>
  <si>
    <t>The custom phase should execute prior to the other build phases. The resulting file of the custom phase (e.g. "MyFile.c") should then have been input into the remaining build phases (e.g. Compiler).</t>
  </si>
  <si>
    <t>Continuing from above tests._x000D_
1. On the "Build steps" tab for the "MyFile1.xyz" source file, on the Custom Build Step Applicability combo-box select "Apply Custom Build Step Before Other Tools"._x000D_
2. Set the edit fields for the build step to be:_x000D_
 * Additional input file names: empty_x000D_
 * Output file names: src/MyFile1.c_x000D_
 * Command: FileCopy.exe src/MyFile1.xyz &lt;config&gt;/MyFile1.c_x000D_
_x000D_
(where &lt;config&gt; should be the name of the debug configuration, and FileCopy.exe should be its fully qualified path to the executable)._x000D_
_x000D_
3. Click OK and perform a clean and a build on the project._x000D_
4. Examine the build ouput in Console window.</t>
  </si>
  <si>
    <t>1.2.3 Custom build step before other tools</t>
  </si>
  <si>
    <t>With no custom build steps specified, the build operation should be performed as normal. No additional phases should have been executed.</t>
  </si>
  <si>
    <t>Continuing from above tests._x000D_
1. On the "Build steps" tab for the ".xyz" source file, on the Custom Build Step Applicability combo-box select "Disable Custom Build Step"._x000D_
2. Click OK and perform a clean and a build on the project._x000D_
3. Examine the build ouput in Console window.</t>
  </si>
  <si>
    <t>Without an custom build step, build should proceed as normal.</t>
  </si>
  <si>
    <t>1.2.2 Custom build Disable custom build step</t>
  </si>
  <si>
    <t>#4803
Additional issue noticed:_x000D_
On properties dialog of source file with unusual extension type (e.g. ".xyz") the [C/C++ Build-&gt;Settings-&gt;Tool Settings] tab throws an exception and is empty).</t>
  </si>
  <si>
    <t xml:space="preserve">The "Custom Build Step Applicability" combo-box should contain four build-step entries:_x000D_
_x000D_
 * Disable Custom Build Step_x000D_
 * Apply Custom Build Step Overriding Other Tools_x000D_
 * Apply Custom Build Step Before Other Tools_x000D_
 * Apply Custom Build Step After Other Tools_x000D_
_x000D_
 _x000D_
</t>
  </si>
  <si>
    <t xml:space="preserve">Continuing from the above tests._x000D_
1. Right click on a source file with extension of ".xyz" (e.g. MyFile1.xyz")._x000D_
2. On the Properties dialog, open the [C/C++ Build-&gt;Settings] page and focus the [Build Steps] tab._x000D_
3. Examine the contents of the "Custom Build Step Applicability" combo-box._x000D_
_x000D_
</t>
  </si>
  <si>
    <t>Existence of additional build steps for individual resources (source files)</t>
  </si>
  <si>
    <t>1.2.1 Custom build step UI</t>
  </si>
  <si>
    <t>1.2 Individual source file custom build steps</t>
  </si>
  <si>
    <t>#4799
A fix by KPIT trac #4026 seems to break the custom tools feature, causing an incorrect command-line during execution._x000D_
_x000D_
The command in this test ends up as:_x000D_
_x000D_
FileCopy.exe @"src/xyz.sub"</t>
  </si>
  <si>
    <t xml:space="preserve">Now that we have added the tool into the Toolchain's used tools list, it should automatically be included in the build._x000D_
_x000D_
The command-line for the custom tool should be exactly as specified by the "command-pattern" field when defining the custom tool._x000D_
_x000D_
e.g.  FileCopy.exe  "MyFile1.xyz"  "MyFile1.c"_x000D_
</t>
  </si>
  <si>
    <t>Continuing from the above tests._x000D_
1. Build the project._x000D_
2. Examine the build output in the Console window.</t>
  </si>
  <si>
    <t>Custom Tool being included in the Build</t>
  </si>
  <si>
    <t xml:space="preserve">The new custom tool should be present and selectable on the Tool Chain Editor's "Select Tools" dialog.  _x000D_
_x000D_
It should be possible to add the custom tool as part of the Tool Chain used tools list._x000D_
_x000D_
 </t>
  </si>
  <si>
    <t>Continuing from the above tests._x000D_
1. In e2studio open the Properies dialog for the project and view the [C++ Build-&gt;Toolchain Editor] tab._x000D_
2. Click the "Select Tools..." button on this tab._x000D_
3. When the Select Tools dialog opens examine the "Available Tools" list box for the new custom tool ("FileCopy Tool")._x000D_
4. Add the custom tool to the "Used Tools" list, and click OK._x000D_
(The custom tool should then appear in the "Used Tools" list on the [C++ Build-&gt;Toolchain Editor] tab)._x000D_
5. Click OK to close the Properties dialog.</t>
  </si>
  <si>
    <t>Adding the custom tool to the Toolchain set</t>
  </si>
  <si>
    <t>The custom tool should have been correctly persisted when e2studio is reopened.</t>
  </si>
  <si>
    <t xml:space="preserve">Test #3:_x000D_
Specify a new tool_x000D_
</t>
  </si>
  <si>
    <t>This should display help related to this dialog and custom build steps.</t>
  </si>
  <si>
    <t>Click the Help icon on the Custom Tool Settings dialog</t>
  </si>
  <si>
    <t xml:space="preserve">Test #2:_x000D_
Help button should display Help_x000D_
</t>
  </si>
  <si>
    <t xml:space="preserve">The Custom Tool Settings dialog should allow to specify:_x000D_
_x000D_
 * Tool display name _x000D_
       (eg “XYZ to C Code Processor”)_x000D_
 * Tool command _x000D_
        (eg “xyxtool”)_x000D_
 * Tool input source types_x000D_
       (eg “xyz”)     _x000D_
 * Tool output types_x000D_
       (eg “c”)_x000D_
 * Tool command line pattern_x000D_
       (eg “${command} ${output} ${inputs}”)_x000D_
_x000D_
_x000D_
 </t>
  </si>
  <si>
    <t>1. On the [Custom Tools] preference tab, click "Add..." button._x000D_
=&gt; This should open the Custom Tool Settings dialog._x000D_
2. Examine the dialog and which setting/options can be specified.</t>
  </si>
  <si>
    <t xml:space="preserve">Custom Tool Setting dialog_x000D_
_x000D_
Test #1:_x000D_
Ability to add new custom tools using _x000D_
_x000D_
</t>
  </si>
  <si>
    <t xml:space="preserve">There should be a Preferences tab for custom phases called "Custom Tools"._x000D_
_x000D_
 </t>
  </si>
  <si>
    <t>Open Preferences dialog an check for the "Custom Tools" tab (C++-&gt;Build-&gt;Custom Tools).</t>
  </si>
  <si>
    <t>"Custom Tools" tab in Preferences</t>
  </si>
  <si>
    <t>1.1 Custom Tool Definitions</t>
  </si>
  <si>
    <t>1 Custom Build Phases Functional Test_x000D_
_x000D_
e2studio Version = &lt;3.0.0.11&gt;_x000D_
Computer Name = &lt;ben7434&gt;_x000D_
PC Spec: &lt;Pentium i5, 4GB, Win7)</t>
  </si>
  <si>
    <t>Jubula limitation</t>
  </si>
  <si>
    <t>The uninstalled toolchain should be removed from the list.</t>
  </si>
  <si>
    <t>1) Uninstall a toolchain using the OS uninstaller (eg. Control Panel-&gt;Programs and Features).
2) In the Toolchain Management screen Press the Scan button.</t>
  </si>
  <si>
    <t>6 Uninstall Toolchain</t>
  </si>
  <si>
    <t>3-7</t>
  </si>
  <si>
    <t>Check</t>
  </si>
  <si>
    <t>Remove a manually installed toolchain and check that it is permanently removed from the list after re-scanning.</t>
  </si>
  <si>
    <t>Check manually installed toolchains are</t>
  </si>
  <si>
    <t>3-30</t>
  </si>
  <si>
    <t>A dialog should be displayed while the toolchains are re-scanned before the screen is displayed.
All toolchains installed with 'installers' should be re-shown correctly categorised in the list and disabled.</t>
  </si>
  <si>
    <t>1) Open the Toolchain Management preferences screen.
2) Select all installed toolchains in turn and press the Remove button.
3) Press OK to close the screen.
3) Re-open the Toolchain Management screen using the chain link icon button on the e2 studio toolbar.</t>
  </si>
  <si>
    <t>Check 'installer' installed toolchains are simply disabled.</t>
  </si>
  <si>
    <t>3-29</t>
  </si>
  <si>
    <t>Open the new project wizard and note that for any selected Toolchain an error message is displayed at the top of the new project wizard stating 'Selected toolchain is not integrated. Please install from ... and integrate'.</t>
  </si>
  <si>
    <t>Error message in new project wizard if toolchains not integrated</t>
  </si>
  <si>
    <t>3-32</t>
  </si>
  <si>
    <t>All toolchains installed with 'installers' should be re-shown correctly categorised in the list and disabled.</t>
  </si>
  <si>
    <t>Press the Scan button</t>
  </si>
  <si>
    <t>Scan for 'installer' installed toolchains</t>
  </si>
  <si>
    <t>3-31</t>
  </si>
  <si>
    <t>1) Open the Toolchain Management preferences screen.
2) Select all installed toolchains in turn and click Remove.</t>
  </si>
  <si>
    <t>5 Remove Toolchain</t>
  </si>
  <si>
    <t>3-6</t>
  </si>
  <si>
    <t>1) Open Toolchain Management preferences.
2) Uncheck all installed toolchains.
3) Open the new project wizard and note that for any selected Toolchain an error message is displayed at the top of the new project wizard stating 'Selected toolchain is not integrated. Please install from ... and integrate'.</t>
  </si>
  <si>
    <t>4 Disable Toolchain</t>
  </si>
  <si>
    <t>3-5</t>
  </si>
  <si>
    <t xml:space="preserve">Only one can be enabled. </t>
  </si>
  <si>
    <t>Ensure the existing installation and the new manual installation of an identical version toolchain cannot be enabled simultaneously.</t>
  </si>
  <si>
    <t>Duplicate Toolchains</t>
  </si>
  <si>
    <t>3-27</t>
  </si>
  <si>
    <t>New toolchain path should be present in in the tree under the correct category.</t>
  </si>
  <si>
    <t>1) Create a manual toolchain installation, eg. by copying the folder structure from an existing Program Files\KPIT folder.
2) Use the Toolchain Management screen Add button to add the path to the runtime folder for the toolchain (eg. C:\toolchains\GNURL78v14.03-ELF\rl78-elf).</t>
  </si>
  <si>
    <t>Manual Toolchain installation</t>
  </si>
  <si>
    <t>3-4</t>
  </si>
  <si>
    <t>3 Manual Toolchain Registration</t>
  </si>
  <si>
    <t>Used
C:/Program Files (x86)/Renesas/RX/2_2_0/
C:/Program Files (x86)/Renesas Electronics/CS+/CC/CC-RX/V2.02.00/
to test</t>
  </si>
  <si>
    <t xml:space="preserve">Although multiple installations of the same version may exist, there should be only one entry listed in the toolchain intergration dialog for each version.
Hovering over the toolchain should show the path as a tooltip. 
After e2 studio is loaded, Renesas toolchain management preference page should show all installation instances of the same version.
</t>
  </si>
  <si>
    <t>Check toolchain intergration dialog for multiple installations of the same version</t>
  </si>
  <si>
    <t>2-40</t>
  </si>
  <si>
    <t>GNUARM-NONEv1402-EABI.exe</t>
  </si>
  <si>
    <t>GNU ARM-NONE v14.02</t>
  </si>
  <si>
    <t>2-34</t>
  </si>
  <si>
    <t>GNUARM-NONEv1401-EABI.exe</t>
  </si>
  <si>
    <t>GNU ARM-NONE v14.01</t>
  </si>
  <si>
    <t>2-33</t>
  </si>
  <si>
    <t>GNUSHv1301-ELF.exe</t>
  </si>
  <si>
    <t>GNU SH v13.01</t>
  </si>
  <si>
    <t>2-26</t>
  </si>
  <si>
    <t>GNUSHv1202-ELF_RC2.exe</t>
  </si>
  <si>
    <t>GNU SH v12.02</t>
  </si>
  <si>
    <t>2-25</t>
  </si>
  <si>
    <t>GNU SH v12.01</t>
  </si>
  <si>
    <t>2-23</t>
  </si>
  <si>
    <t>GNURXv1403-ELF.exe</t>
  </si>
  <si>
    <t>GNU RX v14.03</t>
  </si>
  <si>
    <t>2-24</t>
  </si>
  <si>
    <t>GNURXv1401-ELF_RC3.exe</t>
  </si>
  <si>
    <t>GNU RX v14.01</t>
  </si>
  <si>
    <t>2-22</t>
  </si>
  <si>
    <t>GNURXv1301-ELF.exe</t>
  </si>
  <si>
    <t>GNU RX v13.01</t>
  </si>
  <si>
    <t>2-21</t>
  </si>
  <si>
    <t>GNURXv1203-ELF_RC2.exe</t>
  </si>
  <si>
    <t>GNU RX v12.03</t>
  </si>
  <si>
    <t>2-20</t>
  </si>
  <si>
    <t>GNURXv1202-ELF.exe</t>
  </si>
  <si>
    <t>GNU RX v12.02</t>
  </si>
  <si>
    <t>2-19</t>
  </si>
  <si>
    <t>GNU RX v12.01</t>
  </si>
  <si>
    <t>2-18</t>
  </si>
  <si>
    <t>GNU RX v11.03</t>
  </si>
  <si>
    <t>2-17</t>
  </si>
  <si>
    <t>GNU RX v11.02</t>
  </si>
  <si>
    <t>2-16</t>
  </si>
  <si>
    <t>GNURL78v1403-ELF.exe</t>
  </si>
  <si>
    <t>GNU RL78 v14.03</t>
  </si>
  <si>
    <t>2-10</t>
  </si>
  <si>
    <t>GNURL78v1302-ELF.exe</t>
  </si>
  <si>
    <t>GNU RL78 v13.02</t>
  </si>
  <si>
    <t>2-13</t>
  </si>
  <si>
    <t>GNURL78v1301-ELF_RC1.exe</t>
  </si>
  <si>
    <t>GNU RL78 v13.01</t>
  </si>
  <si>
    <t>2-15</t>
  </si>
  <si>
    <t>GNURL78v1201-ELF-MP1.exe</t>
  </si>
  <si>
    <t>GNU RL78 v12.01</t>
  </si>
  <si>
    <t>2-14</t>
  </si>
  <si>
    <t>GNURL78v1103-ELF.exe (requires registration &amp; activation code)</t>
  </si>
  <si>
    <t>GNU RL78 v11.03</t>
  </si>
  <si>
    <t>2-12</t>
  </si>
  <si>
    <t>CC-RX_V20300_setup.exe</t>
  </si>
  <si>
    <t>CC-RX V2.03.00</t>
  </si>
  <si>
    <t>2-11</t>
  </si>
  <si>
    <t>Create a clean VM (eg. using VirtualBox running Windows 7 (32 bit) and for each toolchain:
1) Install the toolchain using the relevant installer.
2) Start e2 studio.
3) Check that the Toolchain Integration dialog appears, select the toolchain to integrate and check that a successful integration message is displayed.
4) Create new C executable project and ensure the new toolchain is present in the Toolchain Version selector.
Note: If the toolchain was not successfully integrated an error message should appear at the top of the new project wizard.
5) Build the project.
6) Create new C static library project.
7) Build the project.</t>
  </si>
  <si>
    <t>2.1 Check installer successfully integrates new toolchains with e2 studio.</t>
  </si>
  <si>
    <t>2-09</t>
  </si>
  <si>
    <t>2 Automatic Toolchain Registration</t>
  </si>
  <si>
    <t>Note: The Toolchain Management preferences screen can be accessed via Window-&gt;Perferences-&gt;C/C++-&gt;Renesas-&gt;Renesas Toolchain Management or the 'chain link' icon in the e2 studio main toolbar.</t>
  </si>
  <si>
    <t>1 Toolchain Management Regression
e2 Studio Version = &lt;4.0.0.15&gt;
Computer Name = &lt;BED4858&gt;
PC Spec: &lt;HP Desktop Core-I5-2500, 3.3GHz, 4GB&gt;</t>
  </si>
  <si>
    <r>
      <t xml:space="preserve">1. </t>
    </r>
    <r>
      <rPr>
        <sz val="11"/>
        <color indexed="30"/>
        <rFont val="Calibri"/>
        <family val="2"/>
        <scheme val="minor"/>
      </rPr>
      <t>Import project</t>
    </r>
    <r>
      <rPr>
        <sz val="11"/>
        <rFont val="Calibri"/>
        <family val="2"/>
        <scheme val="minor"/>
      </rPr>
      <t xml:space="preserve"> </t>
    </r>
    <r>
      <rPr>
        <strike/>
        <sz val="11"/>
        <rFont val="Calibri"/>
        <family val="2"/>
        <scheme val="minor"/>
      </rPr>
      <t>Open project</t>
    </r>
    <r>
      <rPr>
        <sz val="11"/>
        <rFont val="Calibri"/>
        <family val="2"/>
        <scheme val="minor"/>
      </rPr>
      <t xml:space="preserve"> (RT_003_RXC)
2. Build project
3. Build project</t>
    </r>
  </si>
  <si>
    <r>
      <t xml:space="preserve">No error in build
Build phases:
   Dep. Scan (all files)
   SIM Compiler
   </t>
    </r>
    <r>
      <rPr>
        <strike/>
        <sz val="11"/>
        <rFont val="Calibri"/>
        <family val="2"/>
        <scheme val="minor"/>
      </rPr>
      <t>SIM Assembler</t>
    </r>
    <r>
      <rPr>
        <sz val="11"/>
        <rFont val="Calibri"/>
        <family val="2"/>
        <scheme val="minor"/>
      </rPr>
      <t xml:space="preserve">
   Library Generator
   Linker
   Convertor
   X Convertor
Project is not rebuilt in (3)</t>
    </r>
  </si>
  <si>
    <r>
      <t>0. Continue above
1. Add C</t>
    </r>
    <r>
      <rPr>
        <strike/>
        <sz val="11"/>
        <rFont val="Calibri"/>
        <family val="2"/>
        <scheme val="minor"/>
      </rPr>
      <t>/C++</t>
    </r>
    <r>
      <rPr>
        <sz val="11"/>
        <rFont val="Calibri"/>
        <family val="2"/>
        <scheme val="minor"/>
      </rPr>
      <t xml:space="preserve"> source file
2. Build project
3. Build project</t>
    </r>
  </si>
  <si>
    <r>
      <t xml:space="preserve">No error in build caused by option
Build phases:
   Dep. Scan (added files)
   SIM Compiler
   Linker
   Convertor
   X Convertor
</t>
    </r>
    <r>
      <rPr>
        <sz val="11"/>
        <color indexed="30"/>
        <rFont val="Calibri"/>
        <family val="2"/>
        <scheme val="minor"/>
      </rPr>
      <t>Project is not rebuilt in (3)</t>
    </r>
  </si>
  <si>
    <r>
      <t xml:space="preserve">No error in build caused by option
Build phases:
   Dep. Scan (added files)
   </t>
    </r>
    <r>
      <rPr>
        <strike/>
        <sz val="11"/>
        <rFont val="Calibri"/>
        <family val="2"/>
        <scheme val="minor"/>
      </rPr>
      <t>SIM Assembler</t>
    </r>
    <r>
      <rPr>
        <sz val="11"/>
        <rFont val="Calibri"/>
        <family val="2"/>
        <scheme val="minor"/>
      </rPr>
      <t xml:space="preserve">
   Linker
   Convertor
   X Convertor
Project is not rebuilt in (3)</t>
    </r>
  </si>
  <si>
    <r>
      <t xml:space="preserve">Build phases:
   Dep. Scan (ASM files)
   </t>
    </r>
    <r>
      <rPr>
        <strike/>
        <sz val="11"/>
        <rFont val="Calibri"/>
        <family val="2"/>
        <scheme val="minor"/>
      </rPr>
      <t>SIM Assembler</t>
    </r>
    <r>
      <rPr>
        <sz val="11"/>
        <rFont val="Calibri"/>
        <family val="2"/>
        <scheme val="minor"/>
      </rPr>
      <t xml:space="preserve">
   Linker
   Convertor
   X Convertor
Project is not rebuilt in (3)</t>
    </r>
  </si>
  <si>
    <r>
      <t xml:space="preserve">Build phases:
   Dep. Scan (for modified file)
   </t>
    </r>
    <r>
      <rPr>
        <strike/>
        <sz val="11"/>
        <rFont val="Calibri"/>
        <family val="2"/>
        <scheme val="minor"/>
      </rPr>
      <t>SIM Assembler</t>
    </r>
    <r>
      <rPr>
        <sz val="11"/>
        <rFont val="Calibri"/>
        <family val="2"/>
        <scheme val="minor"/>
      </rPr>
      <t xml:space="preserve">
   Linker
   Convertor
   X Convertor
Project is not rebuilt in (3)</t>
    </r>
  </si>
  <si>
    <r>
      <t xml:space="preserve">Build phases:
   </t>
    </r>
    <r>
      <rPr>
        <strike/>
        <sz val="11"/>
        <rFont val="Calibri"/>
        <family val="2"/>
        <scheme val="minor"/>
      </rPr>
      <t>Linker</t>
    </r>
    <r>
      <rPr>
        <sz val="11"/>
        <rFont val="Calibri"/>
        <family val="2"/>
        <scheme val="minor"/>
      </rPr>
      <t xml:space="preserve">
   Convertor
   X Convertor
Project is not rebuilt in (3)</t>
    </r>
  </si>
  <si>
    <r>
      <t xml:space="preserve">1. Open project
</t>
    </r>
    <r>
      <rPr>
        <sz val="11"/>
        <color indexed="30"/>
        <rFont val="Calibri"/>
        <family val="2"/>
        <scheme val="minor"/>
      </rPr>
      <t>2. Select project + Alt-T and go to: Linker &gt; Output &gt; Type of output file.
3. Select [Absolute (ELF)] to</t>
    </r>
    <r>
      <rPr>
        <sz val="11"/>
        <rFont val="Calibri"/>
        <family val="2"/>
        <scheme val="minor"/>
      </rPr>
      <t xml:space="preserve"> Change Linker output to: .abs
4. Build project
5. Build project</t>
    </r>
  </si>
  <si>
    <r>
      <t xml:space="preserve">0. Continue above
</t>
    </r>
    <r>
      <rPr>
        <sz val="11"/>
        <color indexed="30"/>
        <rFont val="Calibri"/>
        <family val="2"/>
        <scheme val="minor"/>
      </rPr>
      <t>1. Select project + Alt-T and go to: Linker &gt; Output &gt; Type of output file.
2. Select [Relocatable/System library] to</t>
    </r>
    <r>
      <rPr>
        <sz val="11"/>
        <rFont val="Calibri"/>
        <family val="2"/>
        <scheme val="minor"/>
      </rPr>
      <t xml:space="preserve"> Change Linker output to: .rel/.lib
3. Build project
4. Build project</t>
    </r>
  </si>
  <si>
    <r>
      <t xml:space="preserve">0. Continue above
</t>
    </r>
    <r>
      <rPr>
        <sz val="11"/>
        <color indexed="30"/>
        <rFont val="Calibri"/>
        <family val="2"/>
        <scheme val="minor"/>
      </rPr>
      <t xml:space="preserve">1. Select project + Alt-T and go to: Linker &gt; Output &gt; Type of output file.
2. Select [Hex via absolute/Binary via absolute] to </t>
    </r>
    <r>
      <rPr>
        <sz val="11"/>
        <rFont val="Calibri"/>
        <family val="2"/>
        <scheme val="minor"/>
      </rPr>
      <t>Change Linker output to: .bin/.hex
2. Build project
3. Build project</t>
    </r>
  </si>
  <si>
    <r>
      <t xml:space="preserve">1. Open project
</t>
    </r>
    <r>
      <rPr>
        <sz val="11"/>
        <color indexed="30"/>
        <rFont val="Calibri"/>
        <family val="2"/>
        <scheme val="minor"/>
      </rPr>
      <t xml:space="preserve">2. Select project + Alt-T and go to: Compiler &gt; Object &gt; Output file of type and </t>
    </r>
    <r>
      <rPr>
        <sz val="11"/>
        <rFont val="Calibri"/>
        <family val="2"/>
        <scheme val="minor"/>
      </rPr>
      <t>Change Compiler output to: .src
3. Build project
4. Build project</t>
    </r>
  </si>
  <si>
    <r>
      <rPr>
        <sz val="11"/>
        <color indexed="30"/>
        <rFont val="Calibri"/>
        <family val="2"/>
        <scheme val="minor"/>
      </rPr>
      <t>Build not error</t>
    </r>
    <r>
      <rPr>
        <sz val="11"/>
        <rFont val="Calibri"/>
        <family val="2"/>
        <scheme val="minor"/>
      </rPr>
      <t xml:space="preserve">
Build phases (single GCS)</t>
    </r>
  </si>
  <si>
    <r>
      <t xml:space="preserve">Build phases:
   </t>
    </r>
    <r>
      <rPr>
        <strike/>
        <sz val="11"/>
        <rFont val="Calibri"/>
        <family val="2"/>
        <scheme val="minor"/>
      </rPr>
      <t>Dep. Scan (all files)
   SIM Compiler
   SIM Assembler</t>
    </r>
    <r>
      <rPr>
        <sz val="11"/>
        <rFont val="Calibri"/>
        <family val="2"/>
        <scheme val="minor"/>
      </rPr>
      <t xml:space="preserve">
   Library Generator
   Linker
   Convertor
   X Convertor</t>
    </r>
  </si>
  <si>
    <r>
      <t xml:space="preserve">1. Open project
2. </t>
    </r>
    <r>
      <rPr>
        <sz val="11"/>
        <color indexed="30"/>
        <rFont val="Calibri"/>
        <family val="2"/>
        <scheme val="minor"/>
      </rPr>
      <t xml:space="preserve">Go to: Standard Library &gt; Mode and select "Build the library (every time)" </t>
    </r>
    <r>
      <rPr>
        <strike/>
        <sz val="11"/>
        <rFont val="Calibri"/>
        <family val="2"/>
        <scheme val="minor"/>
      </rPr>
      <t>Change Linker Standard Library output to: "Always"</t>
    </r>
    <r>
      <rPr>
        <sz val="11"/>
        <rFont val="Calibri"/>
        <family val="2"/>
        <scheme val="minor"/>
      </rPr>
      <t xml:space="preserve">
3. Build project</t>
    </r>
  </si>
  <si>
    <r>
      <t>0. Continue above
1.</t>
    </r>
    <r>
      <rPr>
        <sz val="11"/>
        <color indexed="30"/>
        <rFont val="Calibri"/>
        <family val="2"/>
        <scheme val="minor"/>
      </rPr>
      <t xml:space="preserve"> Go to: Standard Library &gt; Mode and select "Build the library (only when options have been changed)" </t>
    </r>
    <r>
      <rPr>
        <sz val="11"/>
        <rFont val="Calibri"/>
        <family val="2"/>
        <scheme val="minor"/>
      </rPr>
      <t xml:space="preserve">
2. Build project</t>
    </r>
  </si>
  <si>
    <r>
      <t xml:space="preserve">0. Continue above
1. </t>
    </r>
    <r>
      <rPr>
        <sz val="11"/>
        <color indexed="30"/>
        <rFont val="Calibri"/>
        <family val="2"/>
        <scheme val="minor"/>
      </rPr>
      <t>Go to: Standard Library &gt; Mode and select "Use an existing library file"</t>
    </r>
    <r>
      <rPr>
        <sz val="11"/>
        <rFont val="Calibri"/>
        <family val="2"/>
        <scheme val="minor"/>
      </rPr>
      <t xml:space="preserve"> </t>
    </r>
    <r>
      <rPr>
        <strike/>
        <sz val="11"/>
        <rFont val="Calibri"/>
        <family val="2"/>
        <scheme val="minor"/>
      </rPr>
      <t>Change Linker Standard Library output to: "Use existing"</t>
    </r>
    <r>
      <rPr>
        <sz val="11"/>
        <rFont val="Calibri"/>
        <family val="2"/>
        <scheme val="minor"/>
      </rPr>
      <t xml:space="preserve">
2. Build project
</t>
    </r>
    <r>
      <rPr>
        <strike/>
        <sz val="11"/>
        <rFont val="Calibri"/>
        <family val="2"/>
        <scheme val="minor"/>
      </rPr>
      <t>3. Build project</t>
    </r>
  </si>
  <si>
    <r>
      <t xml:space="preserve">0. Continue above
1. </t>
    </r>
    <r>
      <rPr>
        <sz val="11"/>
        <color indexed="30"/>
        <rFont val="Calibri"/>
        <family val="2"/>
        <scheme val="minor"/>
      </rPr>
      <t>Go to: Standard Library &gt; Mode and select "Do not add a library file"</t>
    </r>
    <r>
      <rPr>
        <sz val="11"/>
        <rFont val="Calibri"/>
        <family val="2"/>
        <scheme val="minor"/>
      </rPr>
      <t xml:space="preserve"> </t>
    </r>
    <r>
      <rPr>
        <strike/>
        <sz val="11"/>
        <rFont val="Calibri"/>
        <family val="2"/>
        <scheme val="minor"/>
      </rPr>
      <t>Change Linker Standard Library output to: "Not use"</t>
    </r>
    <r>
      <rPr>
        <sz val="11"/>
        <rFont val="Calibri"/>
        <family val="2"/>
        <scheme val="minor"/>
      </rPr>
      <t xml:space="preserve">
2. Build project
</t>
    </r>
    <r>
      <rPr>
        <strike/>
        <sz val="11"/>
        <rFont val="Calibri"/>
        <family val="2"/>
        <scheme val="minor"/>
      </rPr>
      <t>3. Build project</t>
    </r>
  </si>
  <si>
    <r>
      <t xml:space="preserve">&lt;Build action – Build&gt;
</t>
    </r>
    <r>
      <rPr>
        <sz val="11"/>
        <color indexed="30"/>
        <rFont val="Calibri"/>
        <family val="2"/>
        <scheme val="minor"/>
      </rPr>
      <t>1. Create 2 project C with RX tool chain</t>
    </r>
    <r>
      <rPr>
        <sz val="11"/>
        <rFont val="Calibri"/>
        <family val="2"/>
        <scheme val="minor"/>
      </rPr>
      <t xml:space="preserve">
2. [Project] menu &gt; Build All</t>
    </r>
  </si>
  <si>
    <r>
      <rPr>
        <strike/>
        <sz val="11"/>
        <rFont val="Calibri"/>
        <family val="2"/>
        <scheme val="minor"/>
      </rPr>
      <t xml:space="preserve">
</t>
    </r>
    <r>
      <rPr>
        <sz val="11"/>
        <color indexed="30"/>
        <rFont val="Calibri"/>
        <family val="2"/>
        <scheme val="minor"/>
      </rPr>
      <t xml:space="preserve">_ 2 project are build successful with only build configuration active
</t>
    </r>
  </si>
  <si>
    <r>
      <t xml:space="preserve">&lt;Build action – Build&gt;
</t>
    </r>
    <r>
      <rPr>
        <sz val="11"/>
        <color indexed="30"/>
        <rFont val="Calibri"/>
        <family val="2"/>
        <scheme val="minor"/>
      </rPr>
      <t>1. Create 2 project C with RX tool chain
2. Select project and right click</t>
    </r>
    <r>
      <rPr>
        <sz val="11"/>
        <rFont val="Calibri"/>
        <family val="2"/>
        <scheme val="minor"/>
      </rPr>
      <t xml:space="preserve">
3. Pop-up (Project item on project tree) &gt; Build Configurations &gt; Build All</t>
    </r>
  </si>
  <si>
    <r>
      <t xml:space="preserve">&lt;Build action – Build&gt;
</t>
    </r>
    <r>
      <rPr>
        <sz val="11"/>
        <color indexed="30"/>
        <rFont val="Calibri"/>
        <family val="2"/>
        <scheme val="minor"/>
      </rPr>
      <t>1. Create 2 project C with RX tool chain</t>
    </r>
    <r>
      <rPr>
        <sz val="11"/>
        <rFont val="Calibri"/>
        <family val="2"/>
        <scheme val="minor"/>
      </rPr>
      <t xml:space="preserve">
2. Ctrl+B (Build All)</t>
    </r>
  </si>
  <si>
    <r>
      <t xml:space="preserve">&lt;Build action – Build&gt;
</t>
    </r>
    <r>
      <rPr>
        <sz val="11"/>
        <color indexed="30"/>
        <rFont val="Calibri"/>
        <family val="2"/>
        <scheme val="minor"/>
      </rPr>
      <t>1. Create C project with RX</t>
    </r>
    <r>
      <rPr>
        <sz val="11"/>
        <rFont val="Calibri"/>
        <family val="2"/>
        <scheme val="minor"/>
      </rPr>
      <t xml:space="preserve">
</t>
    </r>
    <r>
      <rPr>
        <sz val="11"/>
        <color indexed="30"/>
        <rFont val="Calibri"/>
        <family val="2"/>
        <scheme val="minor"/>
      </rPr>
      <t>2. Select project and right click</t>
    </r>
    <r>
      <rPr>
        <sz val="11"/>
        <rFont val="Calibri"/>
        <family val="2"/>
        <scheme val="minor"/>
      </rPr>
      <t xml:space="preserve">
3. Pop-up (Project item on project tree) &gt; Build Configurations &gt; Build Selected…
</t>
    </r>
    <r>
      <rPr>
        <sz val="11"/>
        <color indexed="30"/>
        <rFont val="Calibri"/>
        <family val="2"/>
        <scheme val="minor"/>
      </rPr>
      <t>4. Click OK button</t>
    </r>
  </si>
  <si>
    <r>
      <t xml:space="preserve">&lt;Build action – Build&gt;
</t>
    </r>
    <r>
      <rPr>
        <sz val="11"/>
        <color indexed="30"/>
        <rFont val="Calibri"/>
        <family val="2"/>
        <scheme val="minor"/>
      </rPr>
      <t>1. Create C project with RX
2. Select project and</t>
    </r>
    <r>
      <rPr>
        <sz val="11"/>
        <rFont val="Calibri"/>
        <family val="2"/>
        <scheme val="minor"/>
      </rPr>
      <t xml:space="preserve"> Pop-up (Project item on project tree) &gt; Build Project</t>
    </r>
  </si>
  <si>
    <r>
      <t xml:space="preserve">&lt;Build action – Build&gt;
</t>
    </r>
    <r>
      <rPr>
        <sz val="11"/>
        <color indexed="30"/>
        <rFont val="Calibri"/>
        <family val="2"/>
        <scheme val="minor"/>
      </rPr>
      <t>1. Create C project with RX
2. Select project and Select Build Project on Toolbar button</t>
    </r>
  </si>
  <si>
    <r>
      <t xml:space="preserve">&lt;Build action – Clean&gt;
*Pre-Condition: 
- Start build automatically is off
- Start a build immediately &gt; Build the entire workspace is checked
</t>
    </r>
    <r>
      <rPr>
        <sz val="11"/>
        <color indexed="30"/>
        <rFont val="Calibri"/>
        <family val="2"/>
        <scheme val="minor"/>
      </rPr>
      <t>- Create C project with RX and build project</t>
    </r>
    <r>
      <rPr>
        <sz val="11"/>
        <rFont val="Calibri"/>
        <family val="2"/>
        <scheme val="minor"/>
      </rPr>
      <t xml:space="preserve">
1. [Project] menu &gt; Clean... &gt; Clean all projects &gt; Start a build immediately &gt; Build the entire workspace
2. </t>
    </r>
    <r>
      <rPr>
        <sz val="11"/>
        <color indexed="30"/>
        <rFont val="Calibri"/>
        <family val="2"/>
        <scheme val="minor"/>
      </rPr>
      <t xml:space="preserve">Select project &gt; Right click </t>
    </r>
    <r>
      <rPr>
        <sz val="11"/>
        <rFont val="Calibri"/>
        <family val="2"/>
        <scheme val="minor"/>
      </rPr>
      <t xml:space="preserve">&gt; Pop-up (Project item on project tree) &gt; Build Configurations &gt; Clean All
</t>
    </r>
  </si>
  <si>
    <r>
      <t xml:space="preserve">Should be tested with multiple project]
 </t>
    </r>
    <r>
      <rPr>
        <sz val="11"/>
        <color indexed="8"/>
        <rFont val="Calibri"/>
        <family val="2"/>
        <scheme val="minor"/>
      </rPr>
      <t>Trac #4152</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</si>
  <si>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t>
    </r>
    <r>
      <rPr>
        <sz val="11"/>
        <rFont val="Calibri"/>
        <family val="2"/>
        <scheme val="minor"/>
      </rPr>
      <t xml:space="preserve">
1. [Project] menu &gt; Clean... &gt; Clean all projects &gt; Start a build immediately &gt; Build the entire workspace
2. [Project] menu &gt; Clean... &gt; Clean all projects</t>
    </r>
  </si>
  <si>
    <r>
      <t xml:space="preserve">Should be tested with multiple project]
</t>
    </r>
    <r>
      <rPr>
        <sz val="11"/>
        <color indexed="8"/>
        <rFont val="Calibri"/>
        <family val="2"/>
        <scheme val="minor"/>
      </rPr>
      <t xml:space="preserve"> Trac #4140</t>
    </r>
  </si>
  <si>
    <r>
      <t xml:space="preserve">&lt;Build action – Clean&gt;
</t>
    </r>
    <r>
      <rPr>
        <sz val="11"/>
        <color indexed="30"/>
        <rFont val="Calibri"/>
        <family val="2"/>
        <scheme val="minor"/>
      </rPr>
      <t xml:space="preserve">*Pre-Condition: 
- Start build automatically is off
- Start a build immediately &gt; Build the entire workspace is checked
- Create 2 C project with RX and build project
</t>
    </r>
    <r>
      <rPr>
        <sz val="11"/>
        <rFont val="Calibri"/>
        <family val="2"/>
        <scheme val="minor"/>
      </rPr>
      <t xml:space="preserve">
1. [Project] menu &gt; Clean... &gt; Clean all projects &gt; Start a build immediately &gt; Build only the selected projects
2. </t>
    </r>
    <r>
      <rPr>
        <sz val="11"/>
        <color indexed="30"/>
        <rFont val="Calibri"/>
        <family val="2"/>
        <scheme val="minor"/>
      </rPr>
      <t>Select project &gt; Right click &gt;</t>
    </r>
    <r>
      <rPr>
        <sz val="11"/>
        <rFont val="Calibri"/>
        <family val="2"/>
        <scheme val="minor"/>
      </rPr>
      <t xml:space="preserve"> Pop-up (Project item on project tree) &gt; Build Configurations &gt; Clean All</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</si>
  <si>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 and build project</t>
    </r>
    <r>
      <rPr>
        <sz val="11"/>
        <rFont val="Calibri"/>
        <family val="2"/>
        <scheme val="minor"/>
      </rPr>
      <t xml:space="preserve">
1. [Project] menu &gt; Clean... &gt; Clean all projects &gt; Start a build immediately &gt; Build only the selected projects
2. [Project] menu &gt; Clean... &gt; Clean all projects</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</si>
  <si>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 and build project</t>
    </r>
    <r>
      <rPr>
        <sz val="11"/>
        <rFont val="Calibri"/>
        <family val="2"/>
        <scheme val="minor"/>
      </rPr>
      <t xml:space="preserve">
1. [Project] menu &gt; Clean... &gt; Clean </t>
    </r>
    <r>
      <rPr>
        <sz val="11"/>
        <color indexed="30"/>
        <rFont val="Calibri"/>
        <family val="2"/>
        <scheme val="minor"/>
      </rPr>
      <t>projects selected below</t>
    </r>
    <r>
      <rPr>
        <sz val="11"/>
        <rFont val="Calibri"/>
        <family val="2"/>
        <scheme val="minor"/>
      </rPr>
      <t xml:space="preserve">
2. Pop-up (Project item on project tree) &gt; Build Configurations &gt; Clean All</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</si>
  <si>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 and build project</t>
    </r>
    <r>
      <rPr>
        <sz val="11"/>
        <rFont val="Calibri"/>
        <family val="2"/>
        <scheme val="minor"/>
      </rPr>
      <t xml:space="preserve">
1. [Project] menu &gt; Clean... &gt; Clean </t>
    </r>
    <r>
      <rPr>
        <sz val="11"/>
        <color indexed="30"/>
        <rFont val="Calibri"/>
        <family val="2"/>
        <scheme val="minor"/>
      </rPr>
      <t>projects selected below</t>
    </r>
    <r>
      <rPr>
        <sz val="11"/>
        <rFont val="Calibri"/>
        <family val="2"/>
        <scheme val="minor"/>
      </rPr>
      <t xml:space="preserve">
2. [Project] menu &gt; Clean... &gt; Clean all projects</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</si>
  <si>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 and build project</t>
    </r>
    <r>
      <rPr>
        <sz val="11"/>
        <rFont val="Calibri"/>
        <family val="2"/>
        <scheme val="minor"/>
      </rPr>
      <t xml:space="preserve">
1. [Project] menu &gt; Clean... &gt; Clean  projects selected below &gt; Start a build immediately &gt; Build the entire workspace
2. Pop-up (Project item on project tree) &gt; Build Configurations &gt; Clean All</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</si>
  <si>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 and build project</t>
    </r>
    <r>
      <rPr>
        <sz val="11"/>
        <rFont val="Calibri"/>
        <family val="2"/>
        <scheme val="minor"/>
      </rPr>
      <t xml:space="preserve">
1. [Project] menu &gt; Clean... &gt; Clean  projects selected below &gt; Start a build immediately &gt; Build the entire workspace
2. [Project] menu &gt; Clean... &gt; Clean all projects</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</si>
  <si>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 and build project</t>
    </r>
    <r>
      <rPr>
        <sz val="11"/>
        <rFont val="Calibri"/>
        <family val="2"/>
        <scheme val="minor"/>
      </rPr>
      <t xml:space="preserve">
1. [Project] menu &gt; Clean... &gt; Clean  projects selected below &gt; Start a build immediately &gt; Build only the 
2. Pop-up (Project item on project tree) &gt; Build Configurations &gt; Clean All</t>
    </r>
  </si>
  <si>
    <r>
      <t xml:space="preserve">&lt;Build action – Clean&gt;
</t>
    </r>
    <r>
      <rPr>
        <sz val="11"/>
        <color indexed="30"/>
        <rFont val="Calibri"/>
        <family val="2"/>
        <scheme val="minor"/>
      </rPr>
      <t>*Pre-Condition: 
- Start build automatically is off
- Start a build immediately &gt; Build the entire workspace is checked
- Create 2 C project with RX and build project</t>
    </r>
    <r>
      <rPr>
        <sz val="11"/>
        <rFont val="Calibri"/>
        <family val="2"/>
        <scheme val="minor"/>
      </rPr>
      <t xml:space="preserve">
1. [Project] menu &gt; Clean... &gt; Clean  projects selected below &gt; Start a build immediately &gt; Build only the 
2. [Project] menu &gt; Clean... &gt; Clean all projects</t>
    </r>
  </si>
  <si>
    <r>
      <rPr>
        <sz val="11"/>
        <color indexed="30"/>
        <rFont val="Calibri"/>
        <family val="2"/>
        <scheme val="minor"/>
      </rPr>
      <t>&lt;Build action – Clean&gt;
*Pre-Condition: 
- Start build automatically is off
- Start a build immediately &gt; Build the entire workspace is checked
- Create  C project with RX and Pop-up (Project item on project tree) &gt; Build Configurations &gt; Build All</t>
    </r>
    <r>
      <rPr>
        <sz val="11"/>
        <rFont val="Calibri"/>
        <family val="2"/>
        <scheme val="minor"/>
      </rPr>
      <t xml:space="preserve">
1. Pop-up (Project item on project tree) &gt; Clean Project
2. Pop-up (Project item on project tree) &gt; Build Configurations &gt; Clean All</t>
    </r>
  </si>
  <si>
    <r>
      <t xml:space="preserve">
&lt;Build action – Clean&gt;
</t>
    </r>
    <r>
      <rPr>
        <sz val="11"/>
        <color indexed="30"/>
        <rFont val="Calibri"/>
        <family val="2"/>
        <scheme val="minor"/>
      </rPr>
      <t>*Pre-Condition: 
- Start build automatically is off
- Start a build immediately &gt; Build the entire workspace is checked
- Create  C project with RX and Pop-up (Project item on project tree) &gt; Build Configurations &gt; Build Al</t>
    </r>
    <r>
      <rPr>
        <sz val="11"/>
        <color indexed="40"/>
        <rFont val="Calibri"/>
        <family val="2"/>
        <scheme val="minor"/>
      </rPr>
      <t>l</t>
    </r>
    <r>
      <rPr>
        <sz val="11"/>
        <rFont val="Calibri"/>
        <family val="2"/>
        <scheme val="minor"/>
      </rPr>
      <t xml:space="preserve">
1. Pop-up (Project item on project tree) &gt; Clean Project
2. [Project] menu &gt; Clean... &gt; Clean all projects</t>
    </r>
  </si>
  <si>
    <r>
      <t xml:space="preserve">&lt;Use default build order&gt;
1. Window &gt; Preferences &gt; General &gt; Workspace &gt; </t>
    </r>
    <r>
      <rPr>
        <sz val="11"/>
        <color indexed="30"/>
        <rFont val="Calibri"/>
        <family val="2"/>
        <scheme val="minor"/>
      </rPr>
      <t>Build Order</t>
    </r>
    <r>
      <rPr>
        <sz val="11"/>
        <rFont val="Calibri"/>
        <family val="2"/>
        <scheme val="minor"/>
      </rPr>
      <t xml:space="preserve">
2. Check ON [Use default build order] check-box
3. Click OK</t>
    </r>
  </si>
  <si>
    <r>
      <t xml:space="preserve">&lt;Define the order&gt;
1. Window &gt; Preferences &gt; General &gt; Workspace &gt; Build Order
</t>
    </r>
    <r>
      <rPr>
        <sz val="11"/>
        <color indexed="30"/>
        <rFont val="Calibri"/>
        <family val="2"/>
        <scheme val="minor"/>
      </rPr>
      <t>2. Check OFF [Use default build order] check-box
3. Click Add Project to add projects to the list, click Select All, click OK</t>
    </r>
    <r>
      <rPr>
        <sz val="11"/>
        <rFont val="Calibri"/>
        <family val="2"/>
        <scheme val="minor"/>
      </rPr>
      <t xml:space="preserve">
</t>
    </r>
    <r>
      <rPr>
        <sz val="11"/>
        <color indexed="30"/>
        <rFont val="Calibri"/>
        <family val="2"/>
        <scheme val="minor"/>
      </rPr>
      <t>4.</t>
    </r>
    <r>
      <rPr>
        <sz val="11"/>
        <rFont val="Calibri"/>
        <family val="2"/>
        <scheme val="minor"/>
      </rPr>
      <t xml:space="preserve"> Select one or more projects in the list and click Up or Down to set the preferred project build order
    =&gt; Check state of Up / Down, Add project / Remove Project buttons
</t>
    </r>
    <r>
      <rPr>
        <sz val="11"/>
        <color indexed="30"/>
        <rFont val="Calibri"/>
        <family val="2"/>
        <scheme val="minor"/>
      </rPr>
      <t>5</t>
    </r>
    <r>
      <rPr>
        <sz val="11"/>
        <rFont val="Calibri"/>
        <family val="2"/>
        <scheme val="minor"/>
      </rPr>
      <t xml:space="preserve">. Click OK </t>
    </r>
    <r>
      <rPr>
        <sz val="11"/>
        <color indexed="30"/>
        <rFont val="Calibri"/>
        <family val="2"/>
        <scheme val="minor"/>
      </rPr>
      <t>and Select Project &gt; Build All</t>
    </r>
  </si>
  <si>
    <r>
      <t xml:space="preserve">&lt;Define the order&gt;
1. Window &gt; Preferences &gt; General &gt; Workspace &gt; Build Order
2. Check OFF [Use default build order] check-box
3. Click Add Project to add projects to the list
4. Click Apply
5. Click Restore Defaults
6. Click OK </t>
    </r>
    <r>
      <rPr>
        <sz val="11"/>
        <color indexed="30"/>
        <rFont val="Calibri"/>
        <family val="2"/>
        <scheme val="minor"/>
      </rPr>
      <t>and Select Project &gt; Build All</t>
    </r>
  </si>
  <si>
    <r>
      <t xml:space="preserve">&lt;Define the order&gt;
1. Window &gt; Preferences &gt; General &gt; Workspace &gt; Build Order
2. Check OFF [Use default build order] check-box
3. Click Remove Project buttons to remove projects from the list
4. Click Apply
5. Click Cancel </t>
    </r>
    <r>
      <rPr>
        <sz val="11"/>
        <color indexed="30"/>
        <rFont val="Calibri"/>
        <family val="2"/>
        <scheme val="minor"/>
      </rPr>
      <t>and Select Project &gt; Build All</t>
    </r>
  </si>
  <si>
    <r>
      <t xml:space="preserve">&lt;run tools that are not part of the Workbench&gt;
1. Click  Run &gt; External Tools &gt; External Tools Configurations.... 
2. Select the Program configuration 
3. Click New button
4. Enter a name for external tool (eg, My External Tool)
5. </t>
    </r>
    <r>
      <rPr>
        <sz val="11"/>
        <color indexed="30"/>
        <rFont val="Calibri"/>
        <family val="2"/>
        <scheme val="minor"/>
      </rPr>
      <t>Location</t>
    </r>
    <r>
      <rPr>
        <sz val="11"/>
        <rFont val="Calibri"/>
        <family val="2"/>
        <scheme val="minor"/>
      </rPr>
      <t xml:space="preserve"> &gt; Click [Browse File System] button
6. Find the tool want to run (.exe or .bat, </t>
    </r>
    <r>
      <rPr>
        <sz val="11"/>
        <color indexed="30"/>
        <rFont val="Calibri"/>
        <family val="2"/>
        <scheme val="minor"/>
      </rPr>
      <t>eg, C:\Program Files (x86)\jdk1.7.0_03\bin\jar.exe</t>
    </r>
    <r>
      <rPr>
        <sz val="11"/>
        <rFont val="Calibri"/>
        <family val="2"/>
        <scheme val="minor"/>
      </rPr>
      <t>)
7. Click Run</t>
    </r>
  </si>
  <si>
    <r>
      <t xml:space="preserve">&lt;run tools that are not part of the Workbench&gt;
1. Click  Run &gt; External Tools &gt; External Tools Configurations.... 
2. Select the Program configuration 
3. Click New button
4. Enter a name for external tool (eg, My External Tool)
5. Click [Browse File System] button
6. Find the tool want to run (.exe or .bat, </t>
    </r>
    <r>
      <rPr>
        <sz val="11"/>
        <color indexed="30"/>
        <rFont val="Calibri"/>
        <family val="2"/>
        <scheme val="minor"/>
      </rPr>
      <t>eg, C:\Program Files (x86)\jdk1.7.0_03\bin\jar.exe</t>
    </r>
    <r>
      <rPr>
        <sz val="11"/>
        <rFont val="Calibri"/>
        <family val="2"/>
        <scheme val="minor"/>
      </rPr>
      <t>)
7. In the Arguments field &gt; Enter the necessary arguments for the tool (</t>
    </r>
    <r>
      <rPr>
        <sz val="11"/>
        <color indexed="30"/>
        <rFont val="Calibri"/>
        <family val="2"/>
        <scheme val="minor"/>
      </rPr>
      <t>eg, -tvf ${resource_loc} or -u ${current_date}</t>
    </r>
    <r>
      <rPr>
        <sz val="11"/>
        <rFont val="Calibri"/>
        <family val="2"/>
        <scheme val="minor"/>
      </rPr>
      <t>)
8. Click Run</t>
    </r>
  </si>
  <si>
    <r>
      <t xml:space="preserve">1. Right click on a project and select Make Target &gt; Create
2. Enter the Target name and build options then click Create
</t>
    </r>
    <r>
      <rPr>
        <sz val="11"/>
        <color indexed="30"/>
        <rFont val="Calibri"/>
        <family val="2"/>
        <scheme val="minor"/>
      </rPr>
      <t>3. Window &gt; Show View &gt; Make Target view</t>
    </r>
  </si>
  <si>
    <r>
      <t xml:space="preserve">A make target is created and </t>
    </r>
    <r>
      <rPr>
        <sz val="11"/>
        <color indexed="30"/>
        <rFont val="Calibri"/>
        <family val="2"/>
        <scheme val="minor"/>
      </rPr>
      <t xml:space="preserve">the make target appear in the Make Target view </t>
    </r>
  </si>
  <si>
    <r>
      <t xml:space="preserve">&lt;Project References&gt;
1. </t>
    </r>
    <r>
      <rPr>
        <sz val="11"/>
        <color indexed="30"/>
        <rFont val="Calibri"/>
        <family val="2"/>
        <scheme val="minor"/>
      </rPr>
      <t xml:space="preserve">Select Project &gt; </t>
    </r>
    <r>
      <rPr>
        <sz val="11"/>
        <rFont val="Calibri"/>
        <family val="2"/>
        <scheme val="minor"/>
      </rPr>
      <t xml:space="preserve">Right click &gt; Properties &gt; C/C++ General &gt; Paths and Symbols
</t>
    </r>
  </si>
  <si>
    <r>
      <t xml:space="preserve">&lt;Export Settings Page under&gt;
1. </t>
    </r>
    <r>
      <rPr>
        <sz val="11"/>
        <color indexed="30"/>
        <rFont val="Calibri"/>
        <family val="2"/>
        <scheme val="minor"/>
      </rPr>
      <t xml:space="preserve">Select Project &gt; </t>
    </r>
    <r>
      <rPr>
        <sz val="11"/>
        <rFont val="Calibri"/>
        <family val="2"/>
        <scheme val="minor"/>
      </rPr>
      <t xml:space="preserve">Right click &gt; Properties &gt; C/C++ General &gt; </t>
    </r>
    <r>
      <rPr>
        <sz val="11"/>
        <color indexed="30"/>
        <rFont val="Calibri"/>
        <family val="2"/>
        <scheme val="minor"/>
      </rPr>
      <t>Includes</t>
    </r>
    <r>
      <rPr>
        <sz val="11"/>
        <rFont val="Calibri"/>
        <family val="2"/>
        <scheme val="minor"/>
      </rPr>
      <t xml:space="preserve"> </t>
    </r>
    <r>
      <rPr>
        <sz val="11"/>
        <color indexed="30"/>
        <rFont val="Calibri"/>
        <family val="2"/>
        <scheme val="minor"/>
      </rPr>
      <t xml:space="preserve">tab </t>
    </r>
    <r>
      <rPr>
        <sz val="11"/>
        <rFont val="Calibri"/>
        <family val="2"/>
        <scheme val="minor"/>
      </rPr>
      <t>&gt; Export Settings</t>
    </r>
    <r>
      <rPr>
        <sz val="11"/>
        <color indexed="30"/>
        <rFont val="Calibri"/>
        <family val="2"/>
        <scheme val="minor"/>
      </rPr>
      <t xml:space="preserve"> button</t>
    </r>
    <r>
      <rPr>
        <sz val="11"/>
        <rFont val="Calibri"/>
        <family val="2"/>
        <scheme val="minor"/>
      </rPr>
      <t xml:space="preserve">
</t>
    </r>
  </si>
  <si>
    <r>
      <rPr>
        <strike/>
        <sz val="11"/>
        <rFont val="Calibri"/>
        <family val="2"/>
        <scheme val="minor"/>
      </rPr>
      <t xml:space="preserve">Following UI must exist:
</t>
    </r>
    <r>
      <rPr>
        <sz val="11"/>
        <color indexed="30"/>
        <rFont val="Calibri"/>
        <family val="2"/>
        <scheme val="minor"/>
      </rPr>
      <t>- Label display right.
- "Additional input files" option: Only [Add] button enable. Other buttons and list box are disable
- "Use custom linkage order" option checkbox is uncheck default.- All  buttons and list box are disable</t>
    </r>
  </si>
  <si>
    <r>
      <t xml:space="preserve">- This check-box is not selected by default and the default linkage order will be used while building the project
</t>
    </r>
    <r>
      <rPr>
        <sz val="11"/>
        <color indexed="8"/>
        <rFont val="Calibri"/>
        <family val="2"/>
        <scheme val="minor"/>
      </rPr>
      <t>- Can enable feature to customize the linkage order of objects/libraries.
- “Add”, “Delete”, “Edit”, “Move up”, “Move Down” button is enable
- Linkage order list is enable</t>
    </r>
  </si>
  <si>
    <r>
      <t>- User will be able to change the order (move up / move down) of objects / libraries to be linked 
- Project is built successful, content in LinkerSubCommand.tmp file is same as setting (</t>
    </r>
    <r>
      <rPr>
        <sz val="11"/>
        <color indexed="8"/>
        <rFont val="Calibri"/>
        <family val="2"/>
        <scheme val="minor"/>
      </rPr>
      <t>\HardwareDebug\LinkerSubCommand.tmp</t>
    </r>
    <r>
      <rPr>
        <sz val="11"/>
        <rFont val="Calibri"/>
        <family val="2"/>
        <scheme val="minor"/>
      </rPr>
      <t>)</t>
    </r>
  </si>
  <si>
    <r>
      <t xml:space="preserve">1. Project(Menu) &gt; Properties &gt; Settings &gt; Tool Setting &gt; Linker &gt; Input
2. Select “Add” and add file path </t>
    </r>
    <r>
      <rPr>
        <sz val="11"/>
        <color indexed="30"/>
        <rFont val="Calibri"/>
        <family val="2"/>
        <scheme val="minor"/>
      </rPr>
      <t>at Additional input files</t>
    </r>
    <r>
      <rPr>
        <sz val="11"/>
        <rFont val="Calibri"/>
        <family val="2"/>
        <scheme val="minor"/>
      </rPr>
      <t xml:space="preserve">
3. Click Apply button &gt; Click OK button
</t>
    </r>
    <r>
      <rPr>
        <sz val="11"/>
        <color indexed="8"/>
        <rFont val="Calibri"/>
        <family val="2"/>
        <scheme val="minor"/>
      </rPr>
      <t>4. Build project
5. Verify the existence of following item in "Console" tab:
+ rlink
+ Build complete.
+ LinkerSubCommand.tmp</t>
    </r>
  </si>
  <si>
    <r>
      <rPr>
        <sz val="11"/>
        <color rgb="FF0000FF"/>
        <rFont val="Calibri"/>
        <family val="2"/>
        <scheme val="minor"/>
      </rPr>
      <t>Not appear</t>
    </r>
    <r>
      <rPr>
        <sz val="11"/>
        <rFont val="Calibri"/>
        <family val="2"/>
        <scheme val="minor"/>
      </rPr>
      <t xml:space="preserve"> Message box: “Invalid file (supported extensions - .o, .a and .rel)”</t>
    </r>
  </si>
  <si>
    <r>
      <t xml:space="preserve">1. Create new C++ static library project using Renesas RXC Toolchain
2. Click on project tree and press “Alt + T”
3. Choose “Settings &gt; Tool Setting &gt; Linker &gt; Input &gt; Advanced”
4. Check each UI node </t>
    </r>
    <r>
      <rPr>
        <sz val="11"/>
        <color indexed="8"/>
        <rFont val="Calibri"/>
        <family val="2"/>
        <scheme val="minor"/>
      </rPr>
      <t>is not existed</t>
    </r>
  </si>
  <si>
    <r>
      <t xml:space="preserve">- This checkbox is not selected by default and the default linkage order will be used while building the project
</t>
    </r>
    <r>
      <rPr>
        <sz val="11"/>
        <color indexed="8"/>
        <rFont val="Calibri"/>
        <family val="2"/>
        <scheme val="minor"/>
      </rPr>
      <t>- Can enable feature to customize the linkage order of objects/libraries.
- “Add”, “Delete”, “Edit”, “Move up”, “Move Down” button is enable
- Linkage order list is enable</t>
    </r>
  </si>
  <si>
    <r>
      <rPr>
        <sz val="11"/>
        <color indexed="30"/>
        <rFont val="Calibri"/>
        <family val="2"/>
        <scheme val="minor"/>
      </rPr>
      <t>Pre-condition: Create C/C++ project with RXC tool chain</t>
    </r>
    <r>
      <rPr>
        <sz val="11"/>
        <color indexed="8"/>
        <rFont val="Calibri"/>
        <family val="2"/>
        <scheme val="minor"/>
      </rPr>
      <t xml:space="preserve">
1. Project(Menu) &gt; Properties &gt; Settings &gt; Tool Setting &gt; Linker &gt; Input
2. Select “Add” and add a valid file path
4. Click Apply button &gt; Click OK button
5. Build project
6. Verify the existence of following item in "Console" tab:
+ rlink
+ Build complete.
+ LinkerSubCommand.tmp</t>
    </r>
  </si>
  <si>
    <r>
      <rPr>
        <sz val="11"/>
        <color indexed="30"/>
        <rFont val="Calibri"/>
        <family val="2"/>
        <scheme val="minor"/>
      </rPr>
      <t>&lt;Continue with above step&gt;</t>
    </r>
    <r>
      <rPr>
        <sz val="11"/>
        <color indexed="8"/>
        <rFont val="Calibri"/>
        <family val="2"/>
        <scheme val="minor"/>
      </rPr>
      <t xml:space="preserve">
1. Project(Menu) &gt; Properties &gt; Settings &gt; Tool Setting &gt; Linker &gt; Input
2. Select “Add” and add an invalid file path “a.lib”
4. Click Apply button &gt; Click OK button
5. Build project
6. Verify the existence of following item in "Console" tab:
+ rlink
+ Build complete.
+ LinkerSubCommand.tmp</t>
    </r>
  </si>
  <si>
    <r>
      <t xml:space="preserve">- The object/library files added to ‘Additional input files’
-  Additional input files will also be added to Linker &gt; Input&gt; Advanced &gt; Linkage order list
- Following item exist in the tab "Console":
+ rlink
+ Build complete </t>
    </r>
    <r>
      <rPr>
        <sz val="11"/>
        <color indexed="30"/>
        <rFont val="Calibri"/>
        <family val="2"/>
        <scheme val="minor"/>
      </rPr>
      <t>(not exist)</t>
    </r>
    <r>
      <rPr>
        <sz val="11"/>
        <rFont val="Calibri"/>
        <family val="2"/>
        <scheme val="minor"/>
      </rPr>
      <t xml:space="preserve">
+ LinkerSubCommand.tmp
- Build error: 
F0563300:Cannot open file : </t>
    </r>
    <r>
      <rPr>
        <sz val="11"/>
        <color indexed="30"/>
        <rFont val="Calibri"/>
        <family val="2"/>
        <scheme val="minor"/>
      </rPr>
      <t>".\a.lib"</t>
    </r>
    <r>
      <rPr>
        <sz val="11"/>
        <rFont val="Calibri"/>
        <family val="2"/>
        <scheme val="minor"/>
      </rPr>
      <t xml:space="preserve"> </t>
    </r>
    <r>
      <rPr>
        <strike/>
        <sz val="11"/>
        <rFont val="Calibri"/>
        <family val="2"/>
        <scheme val="minor"/>
      </rPr>
      <t>"a.lib"</t>
    </r>
  </si>
  <si>
    <r>
      <t xml:space="preserve">1. Project(Menu) &gt; Properties &gt; Settings &gt; Tool Setting &gt; Linker &gt; Input
2. Add some valid file &gt; Build
3. Project(Menu) &gt; Properties &gt; Settings &gt; Tool Setting &gt; Linker &gt; Input
4. Select some items &gt; “Delete”
</t>
    </r>
    <r>
      <rPr>
        <sz val="11"/>
        <color indexed="30"/>
        <rFont val="Calibri"/>
        <family val="2"/>
        <scheme val="minor"/>
      </rPr>
      <t>5. Build project</t>
    </r>
    <r>
      <rPr>
        <sz val="11"/>
        <color indexed="8"/>
        <rFont val="Calibri"/>
        <family val="2"/>
        <scheme val="minor"/>
      </rPr>
      <t xml:space="preserve">
</t>
    </r>
  </si>
  <si>
    <r>
      <t xml:space="preserve">- Object/library is removed
-  Deleting object/library from </t>
    </r>
    <r>
      <rPr>
        <sz val="11"/>
        <color indexed="30"/>
        <rFont val="Calibri"/>
        <family val="2"/>
        <scheme val="minor"/>
      </rPr>
      <t>'Relocatable files, object files and library files'</t>
    </r>
    <r>
      <rPr>
        <sz val="11"/>
        <rFont val="Calibri"/>
        <family val="2"/>
        <scheme val="minor"/>
      </rPr>
      <t xml:space="preserve"> </t>
    </r>
    <r>
      <rPr>
        <strike/>
        <sz val="11"/>
        <rFont val="Calibri"/>
        <family val="2"/>
        <scheme val="minor"/>
      </rPr>
      <t>‘Additional input files’</t>
    </r>
    <r>
      <rPr>
        <sz val="11"/>
        <rFont val="Calibri"/>
        <family val="2"/>
        <scheme val="minor"/>
      </rPr>
      <t xml:space="preserve"> option will also remove file from Linker &gt; Input&gt; Advanced &gt; Linkage order list and LinkerSubCommand.tmp file </t>
    </r>
  </si>
  <si>
    <r>
      <t xml:space="preserve">1. Create new C executable project named "testRXC" using Renesas RXC Toolchain
2. Add file “abc.c”  to project tree
&gt; Build project
3. Select project and press Alt-T
</t>
    </r>
    <r>
      <rPr>
        <sz val="11"/>
        <color indexed="30"/>
        <rFont val="Calibri"/>
        <family val="2"/>
        <scheme val="minor"/>
      </rPr>
      <t>4. Go to: Linker &gt; Input &gt; Advanced and confirm value
5. Open LinkerSubCommand.tmp file and confirm value</t>
    </r>
    <r>
      <rPr>
        <sz val="11"/>
        <color indexed="8"/>
        <rFont val="Calibri"/>
        <family val="2"/>
        <scheme val="minor"/>
      </rPr>
      <t xml:space="preserve">
</t>
    </r>
  </si>
  <si>
    <r>
      <t xml:space="preserve">&lt;Continue TC 29-1-2-017&gt;
3. Rename “abc.c” &gt; “abcd.c”
4. Build project </t>
    </r>
    <r>
      <rPr>
        <sz val="11"/>
        <color indexed="30"/>
        <rFont val="Calibri"/>
        <family val="2"/>
        <scheme val="minor"/>
      </rPr>
      <t>and confirm value</t>
    </r>
  </si>
  <si>
    <r>
      <t xml:space="preserve">4. ".\src\abcd.obj" is removed from custom linkage order list </t>
    </r>
    <r>
      <rPr>
        <sz val="11"/>
        <color indexed="30"/>
        <rFont val="Calibri"/>
        <family val="2"/>
        <scheme val="minor"/>
      </rPr>
      <t>but ".\src\abcd.obj" is still appear in</t>
    </r>
    <r>
      <rPr>
        <sz val="11"/>
        <rFont val="Calibri"/>
        <family val="2"/>
        <scheme val="minor"/>
      </rPr>
      <t xml:space="preserve"> LinkerSubCommand.tmp file </t>
    </r>
  </si>
  <si>
    <r>
      <t xml:space="preserve">1. Create new Static Library C project, Renesas RXC toolchain  “StaticLib_RXC”
2. Add some source file (a.c, b.c and c.c )
&gt; Build project
</t>
    </r>
    <r>
      <rPr>
        <sz val="11"/>
        <color indexed="30"/>
        <rFont val="Calibri"/>
        <family val="2"/>
        <scheme val="minor"/>
      </rPr>
      <t>3. Select project and press Alt + T
4. Go to: Linker &gt; Input &gt; Advance 
5. On</t>
    </r>
    <r>
      <rPr>
        <sz val="11"/>
        <color indexed="8"/>
        <rFont val="Calibri"/>
        <family val="2"/>
        <scheme val="minor"/>
      </rPr>
      <t xml:space="preserve"> Use custom linkage order &gt; Change order of a.obj, b.obj and c.obj
4. Check linkage order
</t>
    </r>
    <r>
      <rPr>
        <sz val="11"/>
        <color indexed="30"/>
        <rFont val="Calibri"/>
        <family val="2"/>
        <scheme val="minor"/>
      </rPr>
      <t>5. Build project</t>
    </r>
  </si>
  <si>
    <r>
      <t xml:space="preserve">1. User adds </t>
    </r>
    <r>
      <rPr>
        <sz val="11"/>
        <color indexed="30"/>
        <rFont val="Calibri"/>
        <family val="2"/>
        <scheme val="minor"/>
      </rPr>
      <t>valid</t>
    </r>
    <r>
      <rPr>
        <sz val="11"/>
        <rFont val="Calibri"/>
        <family val="2"/>
        <scheme val="minor"/>
      </rPr>
      <t xml:space="preserve"> </t>
    </r>
    <r>
      <rPr>
        <strike/>
        <sz val="11"/>
        <rFont val="Calibri"/>
        <family val="2"/>
        <scheme val="minor"/>
      </rPr>
      <t>invalid</t>
    </r>
    <r>
      <rPr>
        <sz val="11"/>
        <rFont val="Calibri"/>
        <family val="2"/>
        <scheme val="minor"/>
      </rPr>
      <t xml:space="preserve"> file: Only ‘.obj’, ‘.lib’, ,'.libelf', '.rel’ and '.bin' file extensions are supported.
2. Rename to a valid file (extension .lib)
3. Add a new invalid file (.o)
4. Check message box is shown</t>
    </r>
  </si>
  <si>
    <r>
      <t xml:space="preserve">- The object/library files added to ‘Additional input files’
-  Additional input files will also be added to Linker &gt; Input&gt; Advanced &gt; Linkage order list </t>
    </r>
    <r>
      <rPr>
        <strike/>
        <sz val="11"/>
        <color indexed="10"/>
        <rFont val="Calibri"/>
        <family val="2"/>
        <scheme val="minor"/>
      </rPr>
      <t>and LinkerSubCommand.tmp file</t>
    </r>
    <r>
      <rPr>
        <sz val="11"/>
        <rFont val="Calibri"/>
        <family val="2"/>
        <scheme val="minor"/>
      </rPr>
      <t xml:space="preserve">
- Following item exist in the tab "Console":
+ rlink
+ Build complete.
+ LinkerSubCommand.tmp</t>
    </r>
  </si>
  <si>
    <r>
      <t xml:space="preserve">- The object/library files added to ‘Additional input files’
-  Additional input files will also be added to Linker &gt; Input&gt; Advanced &gt; Linkage order list and LinkerSubCommand.tmp file
- Following item exist in the tab "Console":
+ rlink
+ LinkerSubCommand.tmp
- Build error: 
F0563300:Cannot open file: ".\a.lib" </t>
    </r>
    <r>
      <rPr>
        <strike/>
        <sz val="11"/>
        <rFont val="Calibri"/>
        <family val="2"/>
        <scheme val="minor"/>
      </rPr>
      <t>"a.lib"</t>
    </r>
  </si>
  <si>
    <r>
      <rPr>
        <sz val="11"/>
        <color indexed="12"/>
        <rFont val="Calibri"/>
        <family val="2"/>
        <scheme val="minor"/>
      </rPr>
      <t>Pre: Ensure that ‘Use custom linkage order’ checkbox is selected</t>
    </r>
    <r>
      <rPr>
        <sz val="11"/>
        <color indexed="8"/>
        <rFont val="Calibri"/>
        <family val="2"/>
        <scheme val="minor"/>
      </rPr>
      <t xml:space="preserve">
1. Project(Menu) &gt; Properties &gt; Settings &gt; Tool Setting &gt; Linker &gt; Input
2. Add some valid file &gt; Build
3. Project(Menu) &gt; Properties &gt; Settings &gt; Tool Setting &gt; Linker &gt; Input
4. Select some items &gt; “Delete”
</t>
    </r>
    <r>
      <rPr>
        <sz val="11"/>
        <color indexed="10"/>
        <rFont val="Calibri"/>
        <family val="2"/>
        <scheme val="minor"/>
      </rPr>
      <t>5. Build project</t>
    </r>
  </si>
  <si>
    <r>
      <t>- User can add / delete the new items. All the objects/libraries will be passed to the linker through the LinkerSubCommand.tmp file
- Following item exist in the tab "Console":
+ rlink
+ Build complete.</t>
    </r>
    <r>
      <rPr>
        <sz val="11"/>
        <color indexed="30"/>
        <rFont val="Calibri"/>
        <family val="2"/>
        <scheme val="minor"/>
      </rPr>
      <t>(not exist)</t>
    </r>
    <r>
      <rPr>
        <sz val="11"/>
        <color indexed="8"/>
        <rFont val="Calibri"/>
        <family val="2"/>
        <scheme val="minor"/>
      </rPr>
      <t xml:space="preserve">
+ LinkerSubCommand.tmp
- Build Error: Cannot open file </t>
    </r>
    <r>
      <rPr>
        <sz val="11"/>
        <color indexed="30"/>
        <rFont val="Calibri"/>
        <family val="2"/>
        <scheme val="minor"/>
      </rPr>
      <t>".\a.lib"</t>
    </r>
    <r>
      <rPr>
        <sz val="11"/>
        <color indexed="8"/>
        <rFont val="Calibri"/>
        <family val="2"/>
        <scheme val="minor"/>
      </rPr>
      <t xml:space="preserve"> </t>
    </r>
    <r>
      <rPr>
        <strike/>
        <sz val="11"/>
        <color indexed="8"/>
        <rFont val="Calibri"/>
        <family val="2"/>
        <scheme val="minor"/>
      </rPr>
      <t>“a.lib”</t>
    </r>
    <r>
      <rPr>
        <sz val="11"/>
        <color indexed="8"/>
        <rFont val="Calibri"/>
        <family val="2"/>
        <scheme val="minor"/>
      </rPr>
      <t>/ “H:</t>
    </r>
    <r>
      <rPr>
        <sz val="11"/>
        <color indexed="30"/>
        <rFont val="Calibri"/>
        <family val="2"/>
        <scheme val="minor"/>
      </rPr>
      <t>\</t>
    </r>
    <r>
      <rPr>
        <sz val="11"/>
        <color indexed="8"/>
        <rFont val="Calibri"/>
        <family val="2"/>
        <scheme val="minor"/>
      </rPr>
      <t>a.lib”</t>
    </r>
  </si>
  <si>
    <r>
      <t>1. Create a RXC (executable) project
2. Select project name on project tree and select</t>
    </r>
    <r>
      <rPr>
        <strike/>
        <sz val="11"/>
        <rFont val="Calibri"/>
        <family val="2"/>
        <scheme val="minor"/>
      </rPr>
      <t>, right -click &gt;</t>
    </r>
    <r>
      <rPr>
        <sz val="11"/>
        <rFont val="Calibri"/>
        <family val="2"/>
        <scheme val="minor"/>
      </rPr>
      <t xml:space="preserve"> Window &gt; Preferences
3. Select C/C++ Build &gt; Custom Tools 
</t>
    </r>
    <r>
      <rPr>
        <sz val="11"/>
        <color indexed="30"/>
        <rFont val="Calibri"/>
        <family val="2"/>
        <scheme val="minor"/>
      </rPr>
      <t>4. Click Add... button</t>
    </r>
    <r>
      <rPr>
        <sz val="11"/>
        <rFont val="Calibri"/>
        <family val="2"/>
        <scheme val="minor"/>
      </rPr>
      <t xml:space="preserve">
</t>
    </r>
  </si>
  <si>
    <r>
      <t xml:space="preserve">1. Select "Custom build tool"on Custom Tools table
2. Select [Delete] button </t>
    </r>
    <r>
      <rPr>
        <sz val="11"/>
        <color indexed="30"/>
        <rFont val="Calibri"/>
        <family val="2"/>
        <scheme val="minor"/>
      </rPr>
      <t xml:space="preserve">&gt; Click OK button </t>
    </r>
  </si>
  <si>
    <r>
      <t xml:space="preserve">1. Create a RXC (executable) project
2. Select project name on project tree and select </t>
    </r>
    <r>
      <rPr>
        <strike/>
        <sz val="11"/>
        <rFont val="Calibri"/>
        <family val="2"/>
        <scheme val="minor"/>
      </rPr>
      <t>, right -click &gt;</t>
    </r>
    <r>
      <rPr>
        <sz val="11"/>
        <rFont val="Calibri"/>
        <family val="2"/>
        <scheme val="minor"/>
      </rPr>
      <t xml:space="preserve"> Window &gt; Preferences
3. Select C/C++ Build &gt; Custom Tools
4. Add new custom tool
5. Select “Restore to Defaults”</t>
    </r>
  </si>
  <si>
    <r>
      <rPr>
        <strike/>
        <sz val="11"/>
        <rFont val="Calibri"/>
        <family val="2"/>
        <scheme val="minor"/>
      </rPr>
      <t xml:space="preserve">Can restore to default
</t>
    </r>
    <r>
      <rPr>
        <sz val="11"/>
        <color indexed="12"/>
        <rFont val="Calibri"/>
        <family val="2"/>
        <scheme val="minor"/>
      </rPr>
      <t>The new custom tool aren't deleted.</t>
    </r>
  </si>
  <si>
    <r>
      <t>1. Create a RXC (executable) project
2. Select project name on project tree</t>
    </r>
    <r>
      <rPr>
        <strike/>
        <sz val="11"/>
        <rFont val="Calibri"/>
        <family val="2"/>
        <scheme val="minor"/>
      </rPr>
      <t>, right -click &gt;</t>
    </r>
    <r>
      <rPr>
        <sz val="11"/>
        <rFont val="Calibri"/>
        <family val="2"/>
        <scheme val="minor"/>
      </rPr>
      <t xml:space="preserve"> and select Window &gt; Preferences
3. Select C/C++ Build &gt; Custom Tools
4. Add new custom tool name “New Custom Tool”
- Name: a build custom tool name ex: Custom build tool
- Command:xyztool
- Sources: xyz
- Outputs: obj
- Command line pattern: ${COMMAND} ${FLAGS}  ${INPUTS}
5. Restart e2 studio</t>
    </r>
  </si>
  <si>
    <r>
      <rPr>
        <sz val="11"/>
        <color indexed="30"/>
        <rFont val="Calibri"/>
        <family val="2"/>
        <scheme val="minor"/>
      </rPr>
      <t>&lt;Continue above steps&gt;</t>
    </r>
    <r>
      <rPr>
        <sz val="11"/>
        <rFont val="Calibri"/>
        <family val="2"/>
        <scheme val="minor"/>
      </rPr>
      <t xml:space="preserve">
1. Select a RXC project
2. File (menu) &gt; Properties
3. Navigate to the C/C++ Build &gt; Tool Chain Editor
4. Click the </t>
    </r>
    <r>
      <rPr>
        <i/>
        <sz val="11"/>
        <rFont val="Calibri"/>
        <family val="2"/>
        <scheme val="minor"/>
      </rPr>
      <t>Select Tools…</t>
    </r>
    <r>
      <rPr>
        <sz val="11"/>
        <rFont val="Calibri"/>
        <family val="2"/>
        <scheme val="minor"/>
      </rPr>
      <t xml:space="preserve"> button &gt; select the  “New Custom Tool” from the list of </t>
    </r>
    <r>
      <rPr>
        <i/>
        <sz val="11"/>
        <rFont val="Calibri"/>
        <family val="2"/>
        <scheme val="minor"/>
      </rPr>
      <t>Available tools</t>
    </r>
    <r>
      <rPr>
        <sz val="11"/>
        <rFont val="Calibri"/>
        <family val="2"/>
        <scheme val="minor"/>
      </rPr>
      <t xml:space="preserve"> on the left &gt; click the [</t>
    </r>
    <r>
      <rPr>
        <i/>
        <sz val="11"/>
        <rFont val="Calibri"/>
        <family val="2"/>
        <scheme val="minor"/>
      </rPr>
      <t xml:space="preserve">Add Tool] </t>
    </r>
    <r>
      <rPr>
        <sz val="11"/>
        <rFont val="Calibri"/>
        <family val="2"/>
        <scheme val="minor"/>
      </rPr>
      <t xml:space="preserve">button to transfer the tool to the list of </t>
    </r>
    <r>
      <rPr>
        <i/>
        <sz val="11"/>
        <rFont val="Calibri"/>
        <family val="2"/>
        <scheme val="minor"/>
      </rPr>
      <t>Used tools</t>
    </r>
    <r>
      <rPr>
        <sz val="11"/>
        <rFont val="Calibri"/>
        <family val="2"/>
        <scheme val="minor"/>
      </rPr>
      <t xml:space="preserve"> on then right.</t>
    </r>
  </si>
  <si>
    <r>
      <rPr>
        <sz val="11"/>
        <color indexed="30"/>
        <rFont val="Calibri"/>
        <family val="2"/>
        <scheme val="minor"/>
      </rPr>
      <t>&lt;Continue above steps&gt;</t>
    </r>
    <r>
      <rPr>
        <sz val="11"/>
        <rFont val="Calibri"/>
        <family val="2"/>
        <scheme val="minor"/>
      </rPr>
      <t xml:space="preserve">
1.  Select a RXC project
2. Add a file “a.xyz” to src folder
3. File (menu) &gt; Properties &gt; Navigate to the C/C++ Build &gt; Settings
4. Select [Tool Settings] tab &gt; “New Custom Build” &gt; Options&gt;  Fill [Flags] with -logo -cpu=rx600 -output=obj="./src/a.obj" &gt; OK
5. Build</t>
    </r>
  </si>
  <si>
    <r>
      <t xml:space="preserve">1. New RX project
2. Select [Project] &gt; [Renesas Tool Settings] &gt; [C/C++ Build] &gt; [Dependency Scan] &gt; Check on [Build project without dependencies] </t>
    </r>
    <r>
      <rPr>
        <sz val="11"/>
        <color indexed="30"/>
        <rFont val="Calibri"/>
        <family val="2"/>
        <scheme val="minor"/>
      </rPr>
      <t>&gt; OK</t>
    </r>
    <r>
      <rPr>
        <sz val="11"/>
        <rFont val="Calibri"/>
        <family val="2"/>
        <scheme val="minor"/>
      </rPr>
      <t xml:space="preserve">
3. Edit C source file as:
#include "1.h"
</t>
    </r>
    <r>
      <rPr>
        <sz val="11"/>
        <color indexed="30"/>
        <rFont val="Calibri"/>
        <family val="2"/>
        <scheme val="minor"/>
      </rPr>
      <t>4. Set build configuration: Hardware Debug</t>
    </r>
    <r>
      <rPr>
        <sz val="11"/>
        <rFont val="Calibri"/>
        <family val="2"/>
        <scheme val="minor"/>
      </rPr>
      <t xml:space="preserve">
5. Build project
</t>
    </r>
  </si>
  <si>
    <r>
      <rPr>
        <sz val="11"/>
        <rFont val="Calibri"/>
        <family val="2"/>
        <scheme val="minor"/>
      </rPr>
      <t>project build will not use dependencies</t>
    </r>
    <r>
      <rPr>
        <strike/>
        <sz val="11"/>
        <rFont val="Calibri"/>
        <family val="2"/>
        <scheme val="minor"/>
      </rPr>
      <t xml:space="preserve"> (update .d file)</t>
    </r>
    <r>
      <rPr>
        <sz val="11"/>
        <color indexed="30"/>
        <rFont val="Calibri"/>
        <family val="2"/>
        <scheme val="minor"/>
      </rPr>
      <t xml:space="preserve">  (doesn't create [name_file].d files)</t>
    </r>
    <r>
      <rPr>
        <strike/>
        <sz val="11"/>
        <rFont val="Calibri"/>
        <family val="2"/>
        <scheme val="minor"/>
      </rPr>
      <t xml:space="preserve">
</t>
    </r>
    <r>
      <rPr>
        <sz val="11"/>
        <rFont val="Calibri"/>
        <family val="2"/>
        <scheme val="minor"/>
      </rPr>
      <t xml:space="preserve">(1.h is not shown under C source file)
</t>
    </r>
    <r>
      <rPr>
        <sz val="11"/>
        <color indexed="30"/>
        <rFont val="Calibri"/>
        <family val="2"/>
        <scheme val="minor"/>
      </rPr>
      <t>(1.h is not shown under HardwareDebug/src in project explorer)</t>
    </r>
    <r>
      <rPr>
        <strike/>
        <sz val="11"/>
        <rFont val="Calibri"/>
        <family val="2"/>
        <scheme val="minor"/>
      </rPr>
      <t xml:space="preserve">
</t>
    </r>
  </si>
  <si>
    <r>
      <t xml:space="preserve">1. Contine above
2. Select [Project] &gt; [Renesas Tool Settings] &gt; [C/C++ Build] &gt; [Dependency Scan] &gt; Check on [Scan for dependecies and build project]
</t>
    </r>
    <r>
      <rPr>
        <sz val="11"/>
        <color indexed="30"/>
        <rFont val="Calibri"/>
        <family val="2"/>
        <scheme val="minor"/>
      </rPr>
      <t>3. Set build configuration: Hardware Debug</t>
    </r>
    <r>
      <rPr>
        <sz val="11"/>
        <rFont val="Calibri"/>
        <family val="2"/>
        <scheme val="minor"/>
      </rPr>
      <t xml:space="preserve">
4. Build project
</t>
    </r>
  </si>
  <si>
    <r>
      <t xml:space="preserve">dependencies will be generated before build commences and these will be used during project build </t>
    </r>
    <r>
      <rPr>
        <strike/>
        <sz val="11"/>
        <rFont val="Calibri"/>
        <family val="2"/>
        <scheme val="minor"/>
      </rPr>
      <t>(update .d file)</t>
    </r>
    <r>
      <rPr>
        <sz val="11"/>
        <rFont val="Calibri"/>
        <family val="2"/>
        <scheme val="minor"/>
      </rPr>
      <t xml:space="preserve"> </t>
    </r>
    <r>
      <rPr>
        <sz val="11"/>
        <color indexed="30"/>
        <rFont val="Calibri"/>
        <family val="2"/>
        <scheme val="minor"/>
      </rPr>
      <t xml:space="preserve">([name_file].d file are created)
</t>
    </r>
    <r>
      <rPr>
        <sz val="11"/>
        <color indexed="8"/>
        <rFont val="Calibri"/>
        <family val="2"/>
        <scheme val="minor"/>
      </rPr>
      <t xml:space="preserve">(1.h is shown under C source file)
</t>
    </r>
    <r>
      <rPr>
        <sz val="11"/>
        <color indexed="30"/>
        <rFont val="Calibri"/>
        <family val="2"/>
        <scheme val="minor"/>
      </rPr>
      <t>(1.h is shown under HardwareDebug/src in project explorer)</t>
    </r>
  </si>
  <si>
    <r>
      <t xml:space="preserve">1. Contine above
2. Select [Project] &gt; [Renesas Tool Settings] &gt; [C/C++ Build] &gt; [Dependency Scan] &gt; Check on [Build project with existing dependencies]
3. Edit C source file as:
// #include "1.h"
#include "2.h"
</t>
    </r>
    <r>
      <rPr>
        <sz val="11"/>
        <color indexed="30"/>
        <rFont val="Calibri"/>
        <family val="2"/>
        <scheme val="minor"/>
      </rPr>
      <t>3. Set build configuration: Hardware Debug</t>
    </r>
    <r>
      <rPr>
        <sz val="11"/>
        <rFont val="Calibri"/>
        <family val="2"/>
        <scheme val="minor"/>
      </rPr>
      <t xml:space="preserve">
4. Build project
</t>
    </r>
  </si>
  <si>
    <r>
      <t xml:space="preserve">project build will use a previous dependency scan result.  Dependencies are not re-generated (update .d file)
(1.h is shown under C source file
(2.h is not shown under C source file))
</t>
    </r>
    <r>
      <rPr>
        <sz val="11"/>
        <color indexed="30"/>
        <rFont val="Calibri"/>
        <family val="2"/>
        <scheme val="minor"/>
      </rPr>
      <t xml:space="preserve">(1.h is shown under HardwareDebug/src in project explorer)
(2.h is </t>
    </r>
    <r>
      <rPr>
        <b/>
        <sz val="11"/>
        <color indexed="30"/>
        <rFont val="Calibri"/>
        <family val="2"/>
        <scheme val="minor"/>
      </rPr>
      <t>NOT</t>
    </r>
    <r>
      <rPr>
        <sz val="11"/>
        <color indexed="30"/>
        <rFont val="Calibri"/>
        <family val="2"/>
        <scheme val="minor"/>
      </rPr>
      <t xml:space="preserve"> shown under HardwareDebug/src in project explorer)</t>
    </r>
  </si>
  <si>
    <r>
      <rPr>
        <sz val="11"/>
        <color indexed="30"/>
        <rFont val="Calibri"/>
        <family val="2"/>
        <scheme val="minor"/>
      </rPr>
      <t>1. Create sample "RX111_Tutorial_Basic_Operation" project with CS+ version less than 2.1</t>
    </r>
    <r>
      <rPr>
        <sz val="11"/>
        <rFont val="Calibri"/>
        <family val="2"/>
        <scheme val="minor"/>
      </rPr>
      <t xml:space="preserve">
2. Import CS+ project in version less than 2.1
3. Change Toolchain version to 2.1
4. Build project
5. Debug project</t>
    </r>
  </si>
  <si>
    <r>
      <t xml:space="preserve">1. New project
2. Select CCRX 2.1
3. Export project </t>
    </r>
    <r>
      <rPr>
        <sz val="11"/>
        <color rgb="FF0000FF"/>
        <rFont val="Calibri"/>
        <family val="2"/>
        <scheme val="minor"/>
      </rPr>
      <t>(Actual Drive, Virtual Drive)</t>
    </r>
    <r>
      <rPr>
        <sz val="11"/>
        <rFont val="Calibri"/>
        <family val="2"/>
        <scheme val="minor"/>
      </rPr>
      <t xml:space="preserve">
4. Open project by CS+ &gt; Build project &gt; Debug program</t>
    </r>
  </si>
  <si>
    <r>
      <t xml:space="preserve">Ensure CCRX project is valid (existed path, non-empty project name), CCRX and GNURX is installed
1. Continue above
2. Goto [Select Project] editor &gt; specify CCRX project path
3. Check GUI of [Import] dialog </t>
    </r>
    <r>
      <rPr>
        <sz val="11"/>
        <color indexed="30"/>
        <rFont val="Calibri"/>
        <family val="2"/>
        <scheme val="minor"/>
      </rPr>
      <t>&gt; select [General] &gt; [Convert CCRX to GNURX Project] item</t>
    </r>
    <r>
      <rPr>
        <sz val="11"/>
        <rFont val="Calibri"/>
        <family val="2"/>
        <scheme val="minor"/>
      </rPr>
      <t xml:space="preserve">
4. Build project</t>
    </r>
  </si>
  <si>
    <r>
      <t xml:space="preserve">Ensure CCRX project is valid (existed path, non-empty project name), GNURX is installed, CCRX is not installed
1. Continue above
2. Goto [Select Project] editor &gt; specify CCRX project path
3. Check GUI of [Import] dialog </t>
    </r>
    <r>
      <rPr>
        <sz val="11"/>
        <color indexed="30"/>
        <rFont val="Calibri"/>
        <family val="2"/>
        <scheme val="minor"/>
      </rPr>
      <t>&gt; select [General] &gt; [Convert CCRX to GNURX Project] item</t>
    </r>
    <r>
      <rPr>
        <sz val="11"/>
        <rFont val="Calibri"/>
        <family val="2"/>
        <scheme val="minor"/>
      </rPr>
      <t xml:space="preserve">
4. Build project</t>
    </r>
  </si>
  <si>
    <r>
      <t xml:space="preserve">Ensure Not a single GNURX toolchain is integrated with e2 studio.
1. Continue above
</t>
    </r>
    <r>
      <rPr>
        <sz val="11"/>
        <color indexed="30"/>
        <rFont val="Calibri"/>
        <family val="2"/>
        <scheme val="minor"/>
      </rPr>
      <t>2. Check GUI of [Import] dialog &gt; select [General] &gt; [Convert CCRX to GNURX Project] item</t>
    </r>
    <r>
      <rPr>
        <sz val="11"/>
        <rFont val="Calibri"/>
        <family val="2"/>
        <scheme val="minor"/>
      </rPr>
      <t xml:space="preserve">
3. Goto [Select Project] editor &gt; specify CCRX project path
4. Check the result</t>
    </r>
  </si>
  <si>
    <r>
      <rPr>
        <sz val="11"/>
        <color indexed="30"/>
        <rFont val="Calibri"/>
        <family val="2"/>
        <scheme val="minor"/>
      </rPr>
      <t>Pre-condition:</t>
    </r>
    <r>
      <rPr>
        <sz val="11"/>
        <rFont val="Calibri"/>
        <family val="2"/>
        <scheme val="minor"/>
      </rPr>
      <t xml:space="preserve"> </t>
    </r>
    <r>
      <rPr>
        <sz val="11"/>
        <color indexed="30"/>
        <rFont val="Calibri"/>
        <family val="2"/>
        <scheme val="minor"/>
      </rPr>
      <t>Already create CCRX project and delete</t>
    </r>
    <r>
      <rPr>
        <sz val="11"/>
        <rFont val="Calibri"/>
        <family val="2"/>
        <scheme val="minor"/>
      </rPr>
      <t xml:space="preserve"> the .info, .cproject, .project files in </t>
    </r>
    <r>
      <rPr>
        <strike/>
        <sz val="11"/>
        <rFont val="Calibri"/>
        <family val="2"/>
        <scheme val="minor"/>
      </rPr>
      <t xml:space="preserve">are not available under the browsed </t>
    </r>
    <r>
      <rPr>
        <sz val="11"/>
        <rFont val="Calibri"/>
        <family val="2"/>
        <scheme val="minor"/>
      </rPr>
      <t>CCRX e2 studio project directory.
1. Continue above
2. Goto [Select Project] editor &gt; specify CCRX project path
3. Check the result</t>
    </r>
  </si>
  <si>
    <r>
      <rPr>
        <sz val="11"/>
        <color indexed="30"/>
        <rFont val="Calibri"/>
        <family val="2"/>
        <scheme val="minor"/>
      </rPr>
      <t xml:space="preserve">Pre-condition: Already create CCRX project and delete to </t>
    </r>
    <r>
      <rPr>
        <sz val="11"/>
        <rFont val="Calibri"/>
        <family val="2"/>
        <scheme val="minor"/>
      </rPr>
      <t>the .info does not contain valid CCRX properties. This is used to identify if the project is a CCRX project.
1. Continue above
2. Goto [Select Project] editor &gt; specify CCRX project path
3. Check the result</t>
    </r>
  </si>
  <si>
    <r>
      <t xml:space="preserve">3. 
- error message displays
</t>
    </r>
    <r>
      <rPr>
        <strike/>
        <sz val="11"/>
        <rFont val="Calibri"/>
        <family val="2"/>
        <scheme val="minor"/>
      </rPr>
      <t>Select a valid CCRX project.</t>
    </r>
    <r>
      <rPr>
        <sz val="11"/>
        <rFont val="Calibri"/>
        <family val="2"/>
        <scheme val="minor"/>
      </rPr>
      <t xml:space="preserve">
</t>
    </r>
    <r>
      <rPr>
        <sz val="11"/>
        <color indexed="30"/>
        <rFont val="Calibri"/>
        <family val="2"/>
        <scheme val="minor"/>
      </rPr>
      <t>Select a CCRX project to import and convert</t>
    </r>
    <r>
      <rPr>
        <sz val="11"/>
        <rFont val="Calibri"/>
        <family val="2"/>
        <scheme val="minor"/>
      </rPr>
      <t xml:space="preserve">
- Conversion properties is not shown
- [Finish] button is disable</t>
    </r>
  </si>
  <si>
    <r>
      <rPr>
        <sz val="11"/>
        <color indexed="30"/>
        <rFont val="Calibri"/>
        <family val="2"/>
        <scheme val="minor"/>
      </rPr>
      <t>Pre-condition: Create new project and select tool chain</t>
    </r>
    <r>
      <rPr>
        <sz val="11"/>
        <rFont val="Calibri"/>
        <family val="2"/>
        <scheme val="minor"/>
      </rPr>
      <t xml:space="preserve"> </t>
    </r>
    <r>
      <rPr>
        <strike/>
        <sz val="11"/>
        <rFont val="Calibri"/>
        <family val="2"/>
        <scheme val="minor"/>
      </rPr>
      <t xml:space="preserve"> Different project is specified for conversion</t>
    </r>
    <r>
      <rPr>
        <sz val="11"/>
        <rFont val="Calibri"/>
        <family val="2"/>
        <scheme val="minor"/>
      </rPr>
      <t>, other than CCRX e2 studio project
1. Continue above
2. Goto [Select Project] editor &gt; specify CCRX project path
3. Check the result</t>
    </r>
  </si>
  <si>
    <r>
      <t>1. Create new C executable project named "test" using Renesas RXC Toolchain
2. Click on project tree and press “Alt + T”
3. Select “Linker/Output/Advanced”
4. Click on [Selects whether to generate CRC code] drop-down list box
5. Select "</t>
    </r>
    <r>
      <rPr>
        <b/>
        <sz val="11"/>
        <rFont val="Calibri"/>
        <family val="2"/>
        <scheme val="minor"/>
      </rPr>
      <t>Yes (CRC-CCITT, Automatic endian</t>
    </r>
    <r>
      <rPr>
        <sz val="11"/>
        <rFont val="Calibri"/>
        <family val="2"/>
        <scheme val="minor"/>
      </rPr>
      <t xml:space="preserve">)"
6. Input [Output address] field: default
7. Add [TargetRange] field: </t>
    </r>
    <r>
      <rPr>
        <sz val="11"/>
        <color indexed="12"/>
        <rFont val="Calibri"/>
        <family val="2"/>
        <scheme val="minor"/>
      </rPr>
      <t xml:space="preserve">00000002-00000100
</t>
    </r>
    <r>
      <rPr>
        <sz val="11"/>
        <rFont val="Calibri"/>
        <family val="2"/>
        <scheme val="minor"/>
      </rPr>
      <t>8. Click on [Ok] button
9. Build the project</t>
    </r>
  </si>
  <si>
    <r>
      <t>_ The option “</t>
    </r>
    <r>
      <rPr>
        <sz val="11"/>
        <color indexed="12"/>
        <rFont val="Calibri"/>
        <family val="2"/>
        <scheme val="minor"/>
      </rPr>
      <t>-crc=00000000=00000002-00000100</t>
    </r>
    <r>
      <rPr>
        <sz val="11"/>
        <rFont val="Calibri"/>
        <family val="2"/>
        <scheme val="minor"/>
      </rPr>
      <t xml:space="preserve">” is added into Command line after build the project successfully
_ Verify value of [Output address] and [Target range]
   + &lt;OutputAddress&gt; field is </t>
    </r>
    <r>
      <rPr>
        <sz val="11"/>
        <color indexed="12"/>
        <rFont val="Calibri"/>
        <family val="2"/>
        <scheme val="minor"/>
      </rPr>
      <t xml:space="preserve">00000000
</t>
    </r>
    <r>
      <rPr>
        <sz val="11"/>
        <rFont val="Calibri"/>
        <family val="2"/>
        <scheme val="minor"/>
      </rPr>
      <t xml:space="preserve">   + &lt;TargetRange&gt; field is </t>
    </r>
    <r>
      <rPr>
        <sz val="11"/>
        <color indexed="12"/>
        <rFont val="Calibri"/>
        <family val="2"/>
        <scheme val="minor"/>
      </rPr>
      <t>00000002-00000100</t>
    </r>
  </si>
  <si>
    <r>
      <t>1. Create new C executable project named "test" using Renesas RXC Toolchain
2. Click on project tree and press “Alt + T”
3. Select “Linker/Output/Advanced”
4. Click on [Selects whether to generate CRC code] drop-down list box
5. Select "</t>
    </r>
    <r>
      <rPr>
        <b/>
        <sz val="11"/>
        <rFont val="Calibri"/>
        <family val="2"/>
        <scheme val="minor"/>
      </rPr>
      <t>Yes (CRC-CCITT, Big-endian data</t>
    </r>
    <r>
      <rPr>
        <sz val="11"/>
        <rFont val="Calibri"/>
        <family val="2"/>
        <scheme val="minor"/>
      </rPr>
      <t xml:space="preserve">)"
6. Input [Output address] field: default
7. Add [TargetRange] field: </t>
    </r>
    <r>
      <rPr>
        <sz val="11"/>
        <color indexed="12"/>
        <rFont val="Calibri"/>
        <family val="2"/>
        <scheme val="minor"/>
      </rPr>
      <t xml:space="preserve">00000002-00000100
</t>
    </r>
    <r>
      <rPr>
        <sz val="11"/>
        <rFont val="Calibri"/>
        <family val="2"/>
        <scheme val="minor"/>
      </rPr>
      <t>8. Click on [Ok] button
9. Build the project</t>
    </r>
  </si>
  <si>
    <r>
      <t>_ The option “</t>
    </r>
    <r>
      <rPr>
        <sz val="11"/>
        <color indexed="12"/>
        <rFont val="Calibri"/>
        <family val="2"/>
        <scheme val="minor"/>
      </rPr>
      <t>-crc=00000000=00000002-00000100:big</t>
    </r>
    <r>
      <rPr>
        <sz val="11"/>
        <rFont val="Calibri"/>
        <family val="2"/>
        <scheme val="minor"/>
      </rPr>
      <t xml:space="preserve">” is added into command line after the project is built successfully
_ Verify value of [Output address] and [Target range]
   + &lt;OutputAddress&gt; field is </t>
    </r>
    <r>
      <rPr>
        <sz val="11"/>
        <color indexed="12"/>
        <rFont val="Calibri"/>
        <family val="2"/>
        <scheme val="minor"/>
      </rPr>
      <t xml:space="preserve">00000000
</t>
    </r>
    <r>
      <rPr>
        <sz val="11"/>
        <rFont val="Calibri"/>
        <family val="2"/>
        <scheme val="minor"/>
      </rPr>
      <t xml:space="preserve">   + &lt;TargetRange&gt; field is </t>
    </r>
    <r>
      <rPr>
        <sz val="11"/>
        <color indexed="12"/>
        <rFont val="Calibri"/>
        <family val="2"/>
        <scheme val="minor"/>
      </rPr>
      <t>00000002-00000100</t>
    </r>
  </si>
  <si>
    <r>
      <t>1. Create new C executable project named "test" using Renesas RXC Toolchain
2. Click on project tree and press “Alt + T”
3. Select “Linker/Output/Advanced”
4. Click on [Selects whether to generate CRC code] drop-down list box
5. Select "</t>
    </r>
    <r>
      <rPr>
        <b/>
        <sz val="11"/>
        <rFont val="Calibri"/>
        <family val="2"/>
        <scheme val="minor"/>
      </rPr>
      <t>Yes (CRC-CCITT, Little-endian data)</t>
    </r>
    <r>
      <rPr>
        <sz val="11"/>
        <rFont val="Calibri"/>
        <family val="2"/>
        <scheme val="minor"/>
      </rPr>
      <t xml:space="preserve">"
6. Input [Output address] field: default
7. Add [TargetRange] field: </t>
    </r>
    <r>
      <rPr>
        <sz val="11"/>
        <color indexed="12"/>
        <rFont val="Calibri"/>
        <family val="2"/>
        <scheme val="minor"/>
      </rPr>
      <t xml:space="preserve">00000002-00000100
</t>
    </r>
    <r>
      <rPr>
        <sz val="11"/>
        <rFont val="Calibri"/>
        <family val="2"/>
        <scheme val="minor"/>
      </rPr>
      <t>8. Click on [Ok] button
9. Build the project</t>
    </r>
  </si>
  <si>
    <r>
      <t>_ The option “</t>
    </r>
    <r>
      <rPr>
        <sz val="11"/>
        <color indexed="12"/>
        <rFont val="Calibri"/>
        <family val="2"/>
        <scheme val="minor"/>
      </rPr>
      <t>-crc=00000000=00000002-00000100:little</t>
    </r>
    <r>
      <rPr>
        <sz val="11"/>
        <rFont val="Calibri"/>
        <family val="2"/>
        <scheme val="minor"/>
      </rPr>
      <t xml:space="preserve">” is added into command line after the project is built successfully
_ Verify value of [Output address] and [Target range]
   + &lt;OutputAddress&gt; field is </t>
    </r>
    <r>
      <rPr>
        <sz val="11"/>
        <color indexed="12"/>
        <rFont val="Calibri"/>
        <family val="2"/>
        <scheme val="minor"/>
      </rPr>
      <t xml:space="preserve">00000000
</t>
    </r>
    <r>
      <rPr>
        <sz val="11"/>
        <rFont val="Calibri"/>
        <family val="2"/>
        <scheme val="minor"/>
      </rPr>
      <t xml:space="preserve">   + &lt;TargetRange&gt; field is </t>
    </r>
    <r>
      <rPr>
        <sz val="11"/>
        <color indexed="12"/>
        <rFont val="Calibri"/>
        <family val="2"/>
        <scheme val="minor"/>
      </rPr>
      <t>00000002-00000100</t>
    </r>
  </si>
  <si>
    <r>
      <t>1. Create new C executable project named "test" using Renesas RXC Toolchain
2. Click on project tree and press “Alt + T”
3. Select “Linker/Output/Advanced”
4. Click on [Selects whether to generate CRC code] drop-down list box
5. Select "</t>
    </r>
    <r>
      <rPr>
        <b/>
        <sz val="11"/>
        <rFont val="Calibri"/>
        <family val="2"/>
        <scheme val="minor"/>
      </rPr>
      <t>Yes (CRC-16, Automatic endian)</t>
    </r>
    <r>
      <rPr>
        <sz val="11"/>
        <rFont val="Calibri"/>
        <family val="2"/>
        <scheme val="minor"/>
      </rPr>
      <t xml:space="preserve">"
6. Input [Output address] field: default
7. Add [TargetRange] field: </t>
    </r>
    <r>
      <rPr>
        <sz val="11"/>
        <color indexed="12"/>
        <rFont val="Calibri"/>
        <family val="2"/>
        <scheme val="minor"/>
      </rPr>
      <t xml:space="preserve">00000002-00000100
</t>
    </r>
    <r>
      <rPr>
        <sz val="11"/>
        <rFont val="Calibri"/>
        <family val="2"/>
        <scheme val="minor"/>
      </rPr>
      <t>8. Click on [Ok] button
9. Build the project</t>
    </r>
  </si>
  <si>
    <r>
      <t>_ The option “</t>
    </r>
    <r>
      <rPr>
        <sz val="11"/>
        <color indexed="12"/>
        <rFont val="Calibri"/>
        <family val="2"/>
        <scheme val="minor"/>
      </rPr>
      <t>-crc=00000000=00000002-00000100/16</t>
    </r>
    <r>
      <rPr>
        <sz val="11"/>
        <rFont val="Calibri"/>
        <family val="2"/>
        <scheme val="minor"/>
      </rPr>
      <t xml:space="preserve">”  is added into command line after the project is built successfully
_ Verify value of [Output address] and [Target range]
   + &lt;OutputAddress&gt; field is </t>
    </r>
    <r>
      <rPr>
        <sz val="11"/>
        <color indexed="12"/>
        <rFont val="Calibri"/>
        <family val="2"/>
        <scheme val="minor"/>
      </rPr>
      <t xml:space="preserve">00000000
</t>
    </r>
    <r>
      <rPr>
        <sz val="11"/>
        <rFont val="Calibri"/>
        <family val="2"/>
        <scheme val="minor"/>
      </rPr>
      <t xml:space="preserve">   + &lt;TargetRange&gt; field is </t>
    </r>
    <r>
      <rPr>
        <sz val="11"/>
        <color indexed="12"/>
        <rFont val="Calibri"/>
        <family val="2"/>
        <scheme val="minor"/>
      </rPr>
      <t>00000002-00000100</t>
    </r>
  </si>
  <si>
    <r>
      <t>1. Create new C executable project named "test" using Renesas RXC Toolchain
2. Click on project tree and press “Alt + T”
3. Select “Linker/Output/Advanced”
4. Click on [Selects whether to generate CRC code] drop-down list box
5. Select "Yes (</t>
    </r>
    <r>
      <rPr>
        <b/>
        <sz val="11"/>
        <rFont val="Calibri"/>
        <family val="2"/>
        <scheme val="minor"/>
      </rPr>
      <t>CRC-16, Big-endian data</t>
    </r>
    <r>
      <rPr>
        <sz val="11"/>
        <rFont val="Calibri"/>
        <family val="2"/>
        <scheme val="minor"/>
      </rPr>
      <t xml:space="preserve">)"
6. Input [Output address] field: default
7. Add [TargetRange] field: </t>
    </r>
    <r>
      <rPr>
        <sz val="11"/>
        <color indexed="12"/>
        <rFont val="Calibri"/>
        <family val="2"/>
        <scheme val="minor"/>
      </rPr>
      <t xml:space="preserve">00000002-00000100
</t>
    </r>
    <r>
      <rPr>
        <sz val="11"/>
        <rFont val="Calibri"/>
        <family val="2"/>
        <scheme val="minor"/>
      </rPr>
      <t>8. Click on [Ok] button
9. Build the project</t>
    </r>
  </si>
  <si>
    <r>
      <t>_ The option “</t>
    </r>
    <r>
      <rPr>
        <sz val="11"/>
        <color indexed="12"/>
        <rFont val="Calibri"/>
        <family val="2"/>
        <scheme val="minor"/>
      </rPr>
      <t>-crc=00000000=00000002-00000100/16:big</t>
    </r>
    <r>
      <rPr>
        <sz val="11"/>
        <rFont val="Calibri"/>
        <family val="2"/>
        <scheme val="minor"/>
      </rPr>
      <t xml:space="preserve">” is added into command line after the project is built successfully
_ Verify value of [Output address] and [Target range]
   + &lt;OutputAddress&gt; field is </t>
    </r>
    <r>
      <rPr>
        <sz val="11"/>
        <color indexed="12"/>
        <rFont val="Calibri"/>
        <family val="2"/>
        <scheme val="minor"/>
      </rPr>
      <t xml:space="preserve">00000000
</t>
    </r>
    <r>
      <rPr>
        <sz val="11"/>
        <rFont val="Calibri"/>
        <family val="2"/>
        <scheme val="minor"/>
      </rPr>
      <t xml:space="preserve">   + &lt;TargetRange&gt; field is </t>
    </r>
    <r>
      <rPr>
        <sz val="11"/>
        <color indexed="12"/>
        <rFont val="Calibri"/>
        <family val="2"/>
        <scheme val="minor"/>
      </rPr>
      <t>00000002-00000100</t>
    </r>
  </si>
  <si>
    <r>
      <t>1. Create new C executable project named "test" using Renesas RXC Toolchain
2. Click on project tree and press “Alt + T”
3. Select “Linker/Output/Advanced”
4. Click on [Selects whether to generate CRC code] drop-down list box
5. Select "Yes (</t>
    </r>
    <r>
      <rPr>
        <b/>
        <sz val="11"/>
        <rFont val="Calibri"/>
        <family val="2"/>
        <scheme val="minor"/>
      </rPr>
      <t>CRC-16, Little-endian data</t>
    </r>
    <r>
      <rPr>
        <sz val="11"/>
        <rFont val="Calibri"/>
        <family val="2"/>
        <scheme val="minor"/>
      </rPr>
      <t xml:space="preserve">)"
6. Input [Output address] field: default
7. Add [TargetRange] field: </t>
    </r>
    <r>
      <rPr>
        <sz val="11"/>
        <color indexed="12"/>
        <rFont val="Calibri"/>
        <family val="2"/>
        <scheme val="minor"/>
      </rPr>
      <t xml:space="preserve">00000002-00000100
</t>
    </r>
    <r>
      <rPr>
        <sz val="11"/>
        <rFont val="Calibri"/>
        <family val="2"/>
        <scheme val="minor"/>
      </rPr>
      <t>8. Click on [Ok] button
9. Build the project</t>
    </r>
  </si>
  <si>
    <r>
      <t>_ The option “</t>
    </r>
    <r>
      <rPr>
        <sz val="11"/>
        <color indexed="12"/>
        <rFont val="Calibri"/>
        <family val="2"/>
        <scheme val="minor"/>
      </rPr>
      <t>-crc=00000000=00000002-00000100/16:little</t>
    </r>
    <r>
      <rPr>
        <sz val="11"/>
        <rFont val="Calibri"/>
        <family val="2"/>
        <scheme val="minor"/>
      </rPr>
      <t xml:space="preserve">” is added into command line after the project is built successfully
_ Verify value of [Output address] and [Target range]
   + &lt;OutputAddress&gt; field is </t>
    </r>
    <r>
      <rPr>
        <sz val="11"/>
        <color indexed="12"/>
        <rFont val="Calibri"/>
        <family val="2"/>
        <scheme val="minor"/>
      </rPr>
      <t xml:space="preserve">00000000
</t>
    </r>
    <r>
      <rPr>
        <sz val="11"/>
        <rFont val="Calibri"/>
        <family val="2"/>
        <scheme val="minor"/>
      </rPr>
      <t xml:space="preserve">   + &lt;TargetRange&gt; field is </t>
    </r>
    <r>
      <rPr>
        <sz val="11"/>
        <color indexed="12"/>
        <rFont val="Calibri"/>
        <family val="2"/>
        <scheme val="minor"/>
      </rPr>
      <t>00000002-00000100</t>
    </r>
  </si>
  <si>
    <r>
      <t>1. Create new C executable project named "test" using Renesas RXC Toolchain
2. Click on project tree and press “Alt + T”
3. Select “Linker/Output/Advanced”
4. Click on [Selects whether to generate CRC code] drop-down list box
5. Select "</t>
    </r>
    <r>
      <rPr>
        <b/>
        <sz val="11"/>
        <rFont val="Calibri"/>
        <family val="2"/>
        <scheme val="minor"/>
      </rPr>
      <t>No</t>
    </r>
    <r>
      <rPr>
        <sz val="11"/>
        <rFont val="Calibri"/>
        <family val="2"/>
        <scheme val="minor"/>
      </rPr>
      <t>"
6. Click on [Ok] button
7. Build the project</t>
    </r>
  </si>
  <si>
    <r>
      <t>1. Created new project in CS+
2. Convert project to e2 studio
3. Go to [Linker][Output][Advanced]
4. Click on [Selects whether to generate CRC code] drop-down list box
5. Select "</t>
    </r>
    <r>
      <rPr>
        <b/>
        <sz val="11"/>
        <color indexed="8"/>
        <rFont val="Calibri"/>
        <family val="2"/>
        <scheme val="minor"/>
      </rPr>
      <t>Yes (CRC-CCITT, Automatic endian</t>
    </r>
    <r>
      <rPr>
        <sz val="11"/>
        <color indexed="8"/>
        <rFont val="Calibri"/>
        <family val="2"/>
        <scheme val="minor"/>
      </rPr>
      <t xml:space="preserve">)"
6. Input [Output address] field: default
7. Add [TargetRange] field: </t>
    </r>
    <r>
      <rPr>
        <sz val="11"/>
        <color indexed="12"/>
        <rFont val="Calibri"/>
        <family val="2"/>
        <scheme val="minor"/>
      </rPr>
      <t xml:space="preserve">00000002-00000100
</t>
    </r>
    <r>
      <rPr>
        <sz val="11"/>
        <color indexed="8"/>
        <rFont val="Calibri"/>
        <family val="2"/>
        <scheme val="minor"/>
      </rPr>
      <t>8. Click on [Ok] button
9. Build the project</t>
    </r>
  </si>
  <si>
    <r>
      <t xml:space="preserve">2- Project gets build successfully
3- Section mappings is existing
4- New linker scripts will be updated
</t>
    </r>
    <r>
      <rPr>
        <sz val="11"/>
        <color indexed="12"/>
        <rFont val="Calibri"/>
        <family val="2"/>
        <scheme val="minor"/>
      </rPr>
      <t>5,6-About step 5,6. Please check the section display on Memory usage.
(content is same as linker scripts which is imported in step 4)</t>
    </r>
  </si>
  <si>
    <r>
      <rPr>
        <strike/>
        <sz val="11"/>
        <color indexed="10"/>
        <rFont val="Calibri"/>
        <family val="2"/>
        <scheme val="minor"/>
      </rPr>
      <t>2.- Verified that [Enable linker relaxation(-mrelax)] is checked.
3.- Verified that '-mrelax' is added to output build command line of Compiler phase.</t>
    </r>
    <r>
      <rPr>
        <sz val="11"/>
        <color indexed="8"/>
        <rFont val="Calibri"/>
        <family val="2"/>
        <scheme val="minor"/>
      </rPr>
      <t xml:space="preserve">
</t>
    </r>
    <r>
      <rPr>
        <sz val="11"/>
        <color indexed="12"/>
        <rFont val="Calibri"/>
        <family val="2"/>
        <scheme val="minor"/>
      </rPr>
      <t>2.  [Enable linker relaxation(-mrelax)] is unchecked
3.  '-mrelax' isn't appeared build command line of Compiler phase.</t>
    </r>
    <r>
      <rPr>
        <sz val="11"/>
        <color indexed="8"/>
        <rFont val="Calibri"/>
        <family val="2"/>
        <scheme val="minor"/>
      </rPr>
      <t xml:space="preserve">
4.- Verified that [Enable linker relaxation(-mrelax)] is unchecked.
5.- Verified that '-mrelax' is not added to output build command line of Compiler phase. -PASS
</t>
    </r>
  </si>
  <si>
    <r>
      <t>Pre-condition: Create new project: CCRX_610_R5F56107VxFP
Steps:
1. Project Explorer &gt; Right click &gt; Import &gt; General &gt; Rename and Import and Existing C/C++ Project into the workspace &gt; Next
2. Select "</t>
    </r>
    <r>
      <rPr>
        <b/>
        <sz val="11"/>
        <color indexed="8"/>
        <rFont val="Calibri"/>
        <family val="2"/>
        <scheme val="minor"/>
      </rPr>
      <t>Select root directory</t>
    </r>
    <r>
      <rPr>
        <sz val="11"/>
        <color indexed="8"/>
        <rFont val="Calibri"/>
        <family val="2"/>
        <scheme val="minor"/>
      </rPr>
      <t xml:space="preserve">" &gt; click [Browser] button
3. Select to CCRX_610_R5F56107VxFP project location
4. Input Project Name </t>
    </r>
    <r>
      <rPr>
        <b/>
        <sz val="11"/>
        <color indexed="8"/>
        <rFont val="Calibri"/>
        <family val="2"/>
        <scheme val="minor"/>
      </rPr>
      <t>same</t>
    </r>
    <r>
      <rPr>
        <sz val="11"/>
        <color indexed="8"/>
        <rFont val="Calibri"/>
        <family val="2"/>
        <scheme val="minor"/>
      </rPr>
      <t xml:space="preserve"> with name of project: CCRX_610_R5F56107VxFP
5. At [Projects:] area &gt; Select 'CCRX_610_R5F56107VxFP'
6. Click [Finished] button
</t>
    </r>
  </si>
  <si>
    <r>
      <t>Pre-condition: Create new project: CCRX_610_R5F56107VxFP
Steps:
1. Project Explorer &gt; Right click &gt; Import &gt; General &gt; Rename and Import and Existing C/C++ Project into the workspace &gt; Next
2. Select "</t>
    </r>
    <r>
      <rPr>
        <b/>
        <sz val="11"/>
        <color indexed="8"/>
        <rFont val="Calibri"/>
        <family val="2"/>
        <scheme val="minor"/>
      </rPr>
      <t>Select root directory</t>
    </r>
    <r>
      <rPr>
        <sz val="11"/>
        <color indexed="8"/>
        <rFont val="Calibri"/>
        <family val="2"/>
        <scheme val="minor"/>
      </rPr>
      <t xml:space="preserve">" &gt; click [Browser] button
3. Select to CCRX_610_R5F56107VxFP project location
4. Input Project Name </t>
    </r>
    <r>
      <rPr>
        <b/>
        <sz val="11"/>
        <color indexed="8"/>
        <rFont val="Calibri"/>
        <family val="2"/>
        <scheme val="minor"/>
      </rPr>
      <t>different</t>
    </r>
    <r>
      <rPr>
        <sz val="11"/>
        <color indexed="8"/>
        <rFont val="Calibri"/>
        <family val="2"/>
        <scheme val="minor"/>
      </rPr>
      <t xml:space="preserve"> with name of project: CCRX_610_R5F56107VxFP
5. At [Projects:] area &gt; Select 'CCRX_610_R5F56107VxFP'
6. Click [Finished] button
</t>
    </r>
  </si>
  <si>
    <r>
      <t>Pre-condition: Create new project: CCRX_610_R5F56107VxFP
Steps:
1. Project Explorer &gt; Right click &gt; Import &gt; General &gt; Rename and Import and Existing C/C++ Project into the workspace &gt; Next
2. Select "</t>
    </r>
    <r>
      <rPr>
        <b/>
        <sz val="11"/>
        <color indexed="8"/>
        <rFont val="Calibri"/>
        <family val="2"/>
        <scheme val="minor"/>
      </rPr>
      <t>Select archive file</t>
    </r>
    <r>
      <rPr>
        <sz val="11"/>
        <color indexed="8"/>
        <rFont val="Calibri"/>
        <family val="2"/>
        <scheme val="minor"/>
      </rPr>
      <t xml:space="preserve">" &gt; click [Browser] button
3. Select to archive file
4. Input Project Name same with name of project: CCRX_610_R5F56107VxFP
5. At [Projects:] area &gt; Select 'CCRX_610_R5F56107VxFP'
6. Click [Finished] button
</t>
    </r>
  </si>
  <si>
    <r>
      <t>Pre-condition: Create new project: CCRX_610_R5F56107VxFP
Steps:
1. Project Explorer &gt; Right click &gt; Import &gt; General &gt; Rename and Import and Existing C/C++ Project into the workspace &gt; Next
2. Select "</t>
    </r>
    <r>
      <rPr>
        <b/>
        <sz val="11"/>
        <color indexed="8"/>
        <rFont val="Calibri"/>
        <family val="2"/>
        <scheme val="minor"/>
      </rPr>
      <t>Select archive file</t>
    </r>
    <r>
      <rPr>
        <sz val="11"/>
        <color indexed="8"/>
        <rFont val="Calibri"/>
        <family val="2"/>
        <scheme val="minor"/>
      </rPr>
      <t xml:space="preserve">" &gt; click [Browser] button
3. Select to archive file
4. Input Project Name </t>
    </r>
    <r>
      <rPr>
        <b/>
        <sz val="11"/>
        <color indexed="8"/>
        <rFont val="Calibri"/>
        <family val="2"/>
        <scheme val="minor"/>
      </rPr>
      <t>different</t>
    </r>
    <r>
      <rPr>
        <sz val="11"/>
        <color indexed="8"/>
        <rFont val="Calibri"/>
        <family val="2"/>
        <scheme val="minor"/>
      </rPr>
      <t xml:space="preserve"> with name of project: CCRX_610_R5F56107VxFP
5. At [Projects:] area &gt; Select 'CCRX_610_R5F56107VxFP'
6. Click [Finished] button
</t>
    </r>
  </si>
  <si>
    <r>
      <t>Pre-condition: Create new project: CCRX_610_R5F56107VxFP
Steps:
1. Project Explorer &gt; Right click &gt; Import &gt; General &gt; Rename and Import and Existing C/C++ Project into the workspace &gt; Next
2. Select "</t>
    </r>
    <r>
      <rPr>
        <b/>
        <sz val="11"/>
        <color indexed="8"/>
        <rFont val="Calibri"/>
        <family val="2"/>
        <scheme val="minor"/>
      </rPr>
      <t>Select root directory</t>
    </r>
    <r>
      <rPr>
        <sz val="11"/>
        <color indexed="8"/>
        <rFont val="Calibri"/>
        <family val="2"/>
        <scheme val="minor"/>
      </rPr>
      <t>" &gt; click [Browser] button
3. Select to invalid project &gt; Click OK in Browser  For Folder dialog and verify
4. Select "</t>
    </r>
    <r>
      <rPr>
        <b/>
        <sz val="11"/>
        <color indexed="8"/>
        <rFont val="Calibri"/>
        <family val="2"/>
        <scheme val="minor"/>
      </rPr>
      <t>Select archive file</t>
    </r>
    <r>
      <rPr>
        <sz val="11"/>
        <color indexed="8"/>
        <rFont val="Calibri"/>
        <family val="2"/>
        <scheme val="minor"/>
      </rPr>
      <t xml:space="preserve">" &gt; click [Browser] button
5. Select to invalid project &gt; Click OK in Browser  For Folder dialog and verify
</t>
    </r>
  </si>
  <si>
    <r>
      <t>Pre-condition: Create new project: CCRL_G13_R5F1006A
Steps:
1. Project Explorer &gt; Right click &gt; Import &gt; General &gt; Rename and Import and Existing C/C++ Project into the workspace &gt; Next
2. Select "</t>
    </r>
    <r>
      <rPr>
        <b/>
        <sz val="11"/>
        <color indexed="8"/>
        <rFont val="Calibri"/>
        <family val="2"/>
        <scheme val="minor"/>
      </rPr>
      <t>Select root directory</t>
    </r>
    <r>
      <rPr>
        <sz val="11"/>
        <color indexed="8"/>
        <rFont val="Calibri"/>
        <family val="2"/>
        <scheme val="minor"/>
      </rPr>
      <t xml:space="preserve">" &gt; click [Browser] button
3. Select to CCRL_G13_R5F1006A project location
4. Input Project Name </t>
    </r>
    <r>
      <rPr>
        <b/>
        <sz val="11"/>
        <color indexed="8"/>
        <rFont val="Calibri"/>
        <family val="2"/>
        <scheme val="minor"/>
      </rPr>
      <t>SAME</t>
    </r>
    <r>
      <rPr>
        <sz val="11"/>
        <color indexed="8"/>
        <rFont val="Calibri"/>
        <family val="2"/>
        <scheme val="minor"/>
      </rPr>
      <t xml:space="preserve"> with name of project: CCRL_G13_R5F1006A
5. At [Projects:] area &gt; Select 'CCRL_G13_R5F1006A'
6. Click [Finished] button
</t>
    </r>
  </si>
  <si>
    <r>
      <t>Pre-condition: Create new project: CCRL_G13_R5F1006A
Steps:
1. Project Explorer &gt; Right click &gt; Import &gt; General &gt; Rename and Import and Existing C/C++ Project into the workspace &gt; Next
2. Select "</t>
    </r>
    <r>
      <rPr>
        <b/>
        <sz val="11"/>
        <color indexed="8"/>
        <rFont val="Calibri"/>
        <family val="2"/>
        <scheme val="minor"/>
      </rPr>
      <t>Select root director</t>
    </r>
    <r>
      <rPr>
        <sz val="11"/>
        <color indexed="8"/>
        <rFont val="Calibri"/>
        <family val="2"/>
        <scheme val="minor"/>
      </rPr>
      <t xml:space="preserve">y" &gt; click [Browser] button
3. Select to CCRL_G13_R5F1006A project location
4. Input Project Name </t>
    </r>
    <r>
      <rPr>
        <b/>
        <sz val="11"/>
        <color indexed="8"/>
        <rFont val="Calibri"/>
        <family val="2"/>
        <scheme val="minor"/>
      </rPr>
      <t>different</t>
    </r>
    <r>
      <rPr>
        <sz val="11"/>
        <color indexed="8"/>
        <rFont val="Calibri"/>
        <family val="2"/>
        <scheme val="minor"/>
      </rPr>
      <t xml:space="preserve"> with name of project: CCRL_G13_R5F1006A
5. At [Projects:] area &gt; Select 'CCRL_G13_R5F1006A'
6. Click [Finished] button
</t>
    </r>
  </si>
  <si>
    <r>
      <t>Pre-condition: Create new project: CCRL_G13_R5F1006A
Steps:
1. Project Explorer &gt; Right click &gt; Import &gt; General &gt; Rename and Import and Existing C/C++ Project into the workspace &gt; Next
2. Select "</t>
    </r>
    <r>
      <rPr>
        <b/>
        <sz val="11"/>
        <color indexed="8"/>
        <rFont val="Calibri"/>
        <family val="2"/>
        <scheme val="minor"/>
      </rPr>
      <t>Select archive file</t>
    </r>
    <r>
      <rPr>
        <sz val="11"/>
        <color indexed="8"/>
        <rFont val="Calibri"/>
        <family val="2"/>
        <scheme val="minor"/>
      </rPr>
      <t xml:space="preserve">" &gt; click [Browser] button
3. Select to archive file
4. Input Project Name </t>
    </r>
    <r>
      <rPr>
        <b/>
        <sz val="11"/>
        <color indexed="8"/>
        <rFont val="Calibri"/>
        <family val="2"/>
        <scheme val="minor"/>
      </rPr>
      <t>SAME</t>
    </r>
    <r>
      <rPr>
        <sz val="11"/>
        <color indexed="8"/>
        <rFont val="Calibri"/>
        <family val="2"/>
        <scheme val="minor"/>
      </rPr>
      <t xml:space="preserve"> with name of project: CCRL_G13_R5F1006A
5. At [Projects:] area &gt; Select 'CCRL_G13_R5F1006A'
6. Click [Finished] button
</t>
    </r>
  </si>
  <si>
    <r>
      <t>Pre-condition: Create new project: CCRL_G13_R5F1006A
Steps:
1. Project Explorer &gt; Right click &gt; Import &gt; General &gt; Rename and Import and Existing C/C++ Project into the workspace &gt; Next
2. Select "</t>
    </r>
    <r>
      <rPr>
        <b/>
        <sz val="11"/>
        <color indexed="8"/>
        <rFont val="Calibri"/>
        <family val="2"/>
        <scheme val="minor"/>
      </rPr>
      <t>Select archive file</t>
    </r>
    <r>
      <rPr>
        <sz val="11"/>
        <color indexed="8"/>
        <rFont val="Calibri"/>
        <family val="2"/>
        <scheme val="minor"/>
      </rPr>
      <t xml:space="preserve">" &gt; click [Browser] button
3. Select to archive file
4. Input Project Name </t>
    </r>
    <r>
      <rPr>
        <b/>
        <sz val="11"/>
        <color indexed="8"/>
        <rFont val="Calibri"/>
        <family val="2"/>
        <scheme val="minor"/>
      </rPr>
      <t>different</t>
    </r>
    <r>
      <rPr>
        <sz val="11"/>
        <color indexed="8"/>
        <rFont val="Calibri"/>
        <family val="2"/>
        <scheme val="minor"/>
      </rPr>
      <t xml:space="preserve"> with name of project: CCRL_G13_R5F1006A
5. At [Projects:] area &gt; Select 'CCRL_G13_R5F1006A'
6. Click [Finished] button
</t>
    </r>
  </si>
  <si>
    <r>
      <t>Pre-condition: Create new project: RZ_T1_R7S910001
Steps:
1. Project Explorer &gt; Right click &gt; Import &gt; General &gt; Rename and Import and Existing C/C++ Project into the workspace &gt; Next
2. Select "</t>
    </r>
    <r>
      <rPr>
        <b/>
        <sz val="11"/>
        <color indexed="8"/>
        <rFont val="Calibri"/>
        <family val="2"/>
        <scheme val="minor"/>
      </rPr>
      <t>Select root directory</t>
    </r>
    <r>
      <rPr>
        <sz val="11"/>
        <color indexed="8"/>
        <rFont val="Calibri"/>
        <family val="2"/>
        <scheme val="minor"/>
      </rPr>
      <t xml:space="preserve">" &gt; click [Browser] button
3. Select to RZ_T1_R7S910001  project location
4. Input Project Name </t>
    </r>
    <r>
      <rPr>
        <b/>
        <sz val="11"/>
        <color indexed="8"/>
        <rFont val="Calibri"/>
        <family val="2"/>
        <scheme val="minor"/>
      </rPr>
      <t>SAME</t>
    </r>
    <r>
      <rPr>
        <sz val="11"/>
        <color indexed="8"/>
        <rFont val="Calibri"/>
        <family val="2"/>
        <scheme val="minor"/>
      </rPr>
      <t xml:space="preserve"> with name of project: RZ_T1_R7S910001
5. At [Projects:] area &gt; Select 'RZ_T1_R7S910001'
6. Click [Finished] button
</t>
    </r>
  </si>
  <si>
    <r>
      <t>Pre-condition: Create new project: RZ_T1_R7S910001 
Steps:
1. Project Explorer &gt; Right click &gt; Import &gt; General &gt; Rename and Import and Existing C/C++ Project into the workspace &gt; Next
2. Select "</t>
    </r>
    <r>
      <rPr>
        <b/>
        <sz val="11"/>
        <color indexed="8"/>
        <rFont val="Calibri"/>
        <family val="2"/>
        <scheme val="minor"/>
      </rPr>
      <t>Select root directory</t>
    </r>
    <r>
      <rPr>
        <sz val="11"/>
        <color indexed="8"/>
        <rFont val="Calibri"/>
        <family val="2"/>
        <scheme val="minor"/>
      </rPr>
      <t xml:space="preserve">" &gt; click [Browser] button
3. Select to RZ_T1_R7S910001  project location
4. Input Project Name </t>
    </r>
    <r>
      <rPr>
        <b/>
        <sz val="11"/>
        <color indexed="8"/>
        <rFont val="Calibri"/>
        <family val="2"/>
        <scheme val="minor"/>
      </rPr>
      <t>different</t>
    </r>
    <r>
      <rPr>
        <sz val="11"/>
        <color indexed="8"/>
        <rFont val="Calibri"/>
        <family val="2"/>
        <scheme val="minor"/>
      </rPr>
      <t xml:space="preserve"> with name of project: RZ_T1_R7S910001 
5. At [Projects:] area &gt; Select 'RZ_T1_R7S910001 '
6. Click [Finished] button
</t>
    </r>
  </si>
  <si>
    <r>
      <t>Pre-condition: Create new project: RZ_T1_R7S910001 
Steps:
1. Project Explorer &gt; Right click &gt; Import &gt; General &gt; Rename and Import and Existing C/C++ Project into the workspace &gt; Next
2. Select "</t>
    </r>
    <r>
      <rPr>
        <b/>
        <sz val="11"/>
        <color indexed="8"/>
        <rFont val="Calibri"/>
        <family val="2"/>
        <scheme val="minor"/>
      </rPr>
      <t>Select archive file</t>
    </r>
    <r>
      <rPr>
        <sz val="11"/>
        <color indexed="8"/>
        <rFont val="Calibri"/>
        <family val="2"/>
        <scheme val="minor"/>
      </rPr>
      <t xml:space="preserve">" &gt; click [Browser] button
3. Select to archive file
4. Input Project Name </t>
    </r>
    <r>
      <rPr>
        <b/>
        <sz val="11"/>
        <color indexed="8"/>
        <rFont val="Calibri"/>
        <family val="2"/>
        <scheme val="minor"/>
      </rPr>
      <t>SAME</t>
    </r>
    <r>
      <rPr>
        <sz val="11"/>
        <color indexed="8"/>
        <rFont val="Calibri"/>
        <family val="2"/>
        <scheme val="minor"/>
      </rPr>
      <t xml:space="preserve"> with name of project: RZ_T1_R7S910001 
5. At [Projects:] area &gt; Select 'RZ_T1_R7S910001 '
6. Click [Finished] button
</t>
    </r>
  </si>
  <si>
    <r>
      <t>Pre-condition: Create new project: RZ_T1_R7S910001 
Steps:
1. Project Explorer &gt; Right click &gt; Import &gt; General &gt; Rename and Import and Existing C/C++ Project into the workspace &gt; Next
2. Select "</t>
    </r>
    <r>
      <rPr>
        <b/>
        <sz val="11"/>
        <color indexed="8"/>
        <rFont val="Calibri"/>
        <family val="2"/>
        <scheme val="minor"/>
      </rPr>
      <t>Select archive file</t>
    </r>
    <r>
      <rPr>
        <sz val="11"/>
        <color indexed="8"/>
        <rFont val="Calibri"/>
        <family val="2"/>
        <scheme val="minor"/>
      </rPr>
      <t xml:space="preserve">" &gt; click [Browser] button
3. Select to archive file
4. Input Project Name </t>
    </r>
    <r>
      <rPr>
        <b/>
        <sz val="11"/>
        <color indexed="8"/>
        <rFont val="Calibri"/>
        <family val="2"/>
        <scheme val="minor"/>
      </rPr>
      <t>different</t>
    </r>
    <r>
      <rPr>
        <sz val="11"/>
        <color indexed="8"/>
        <rFont val="Calibri"/>
        <family val="2"/>
        <scheme val="minor"/>
      </rPr>
      <t xml:space="preserve"> with name of project: RZ_T1_R7S910001 
5. At [Projects:] area &gt; Select 'RZ_T1_R7S910001 '
6. Click [Finished] button
</t>
    </r>
  </si>
  <si>
    <r>
      <t xml:space="preserve">1. New project
- Select Toolchain: CCRX
- Select Device: </t>
    </r>
    <r>
      <rPr>
        <sz val="11"/>
        <color indexed="12"/>
        <rFont val="Calibri"/>
        <family val="2"/>
        <scheme val="minor"/>
      </rPr>
      <t>RX600</t>
    </r>
    <r>
      <rPr>
        <sz val="11"/>
        <rFont val="Calibri"/>
        <family val="2"/>
        <scheme val="minor"/>
      </rPr>
      <t xml:space="preserve">
2. Select project item on project tree &gt; Click on "Renesas Tool Settings" button on main toolbar
3. Select Linker &gt; Output &gt; Advanced
4. Check if "-vect", "-vectn" options are supported on GUI</t>
    </r>
  </si>
  <si>
    <r>
      <t>. "-vect" option : "</t>
    </r>
    <r>
      <rPr>
        <strike/>
        <sz val="11"/>
        <color indexed="10"/>
        <rFont val="Calibri"/>
        <family val="2"/>
        <scheme val="minor"/>
      </rPr>
      <t>Address setting for specified area of vector table</t>
    </r>
    <r>
      <rPr>
        <sz val="11"/>
        <rFont val="Calibri"/>
        <family val="2"/>
        <scheme val="minor"/>
      </rPr>
      <t xml:space="preserve"> </t>
    </r>
    <r>
      <rPr>
        <sz val="11"/>
        <color indexed="12"/>
        <rFont val="Calibri"/>
        <family val="2"/>
        <scheme val="minor"/>
      </rPr>
      <t>Address setting for unused vector area</t>
    </r>
    <r>
      <rPr>
        <sz val="11"/>
        <rFont val="Calibri"/>
        <family val="2"/>
        <scheme val="minor"/>
      </rPr>
      <t xml:space="preserve"> "
. "-vectn" option : "</t>
    </r>
    <r>
      <rPr>
        <strike/>
        <sz val="11"/>
        <color indexed="10"/>
        <rFont val="Calibri"/>
        <family val="2"/>
        <scheme val="minor"/>
      </rPr>
      <t xml:space="preserve">Address setting for unused vector area </t>
    </r>
    <r>
      <rPr>
        <sz val="11"/>
        <color indexed="12"/>
        <rFont val="Calibri"/>
        <family val="2"/>
        <scheme val="minor"/>
      </rPr>
      <t>Address setting for specified area of vector table</t>
    </r>
    <r>
      <rPr>
        <sz val="11"/>
        <rFont val="Calibri"/>
        <family val="2"/>
        <scheme val="minor"/>
      </rPr>
      <t>"</t>
    </r>
  </si>
  <si>
    <r>
      <t xml:space="preserve">1. New project
- Select Toolchain: CCRX
- Select Device: </t>
    </r>
    <r>
      <rPr>
        <sz val="11"/>
        <color indexed="12"/>
        <rFont val="Calibri"/>
        <family val="2"/>
        <scheme val="minor"/>
      </rPr>
      <t>RX200</t>
    </r>
    <r>
      <rPr>
        <sz val="11"/>
        <rFont val="Calibri"/>
        <family val="2"/>
        <scheme val="minor"/>
      </rPr>
      <t xml:space="preserve">
2. Select project item on project tree &gt; Click on "Renesas Tool Settings" button on main toolbar
3. Select Linker &gt; Output &gt; Advanced
4. Check if "-vect", "-vectn" options are supported on GUI</t>
    </r>
  </si>
  <si>
    <r>
      <t xml:space="preserve">1. New project
- Select Toolchain: CCRX
- Select Device: </t>
    </r>
    <r>
      <rPr>
        <sz val="11"/>
        <color indexed="12"/>
        <rFont val="Calibri"/>
        <family val="2"/>
        <scheme val="minor"/>
      </rPr>
      <t>RX100</t>
    </r>
    <r>
      <rPr>
        <sz val="11"/>
        <rFont val="Calibri"/>
        <family val="2"/>
        <scheme val="minor"/>
      </rPr>
      <t xml:space="preserve">
2. Select project item on project tree &gt; Click on "Renesas Tool Settings" button on main toolbar
3. Select Linker &gt; Output &gt; Advanced
4. Check if "-vect", "-vectn" options are supported on GUI</t>
    </r>
  </si>
  <si>
    <r>
      <t xml:space="preserve">Set "-vect", "-vectn" options for </t>
    </r>
    <r>
      <rPr>
        <strike/>
        <sz val="11"/>
        <rFont val="Calibri"/>
        <family val="2"/>
        <scheme val="minor"/>
      </rPr>
      <t>RX100</t>
    </r>
    <r>
      <rPr>
        <sz val="11"/>
        <rFont val="Calibri"/>
        <family val="2"/>
        <scheme val="minor"/>
      </rPr>
      <t xml:space="preserve"> </t>
    </r>
    <r>
      <rPr>
        <sz val="11"/>
        <color indexed="30"/>
        <rFont val="Calibri"/>
        <family val="2"/>
        <scheme val="minor"/>
      </rPr>
      <t>RX700</t>
    </r>
    <r>
      <rPr>
        <sz val="11"/>
        <rFont val="Calibri"/>
        <family val="2"/>
        <scheme val="minor"/>
      </rPr>
      <t xml:space="preserve"> project</t>
    </r>
  </si>
  <si>
    <r>
      <t xml:space="preserve">1. New project
- Select Toolchain: CCRX
- Select Device: </t>
    </r>
    <r>
      <rPr>
        <sz val="11"/>
        <color indexed="12"/>
        <rFont val="Calibri"/>
        <family val="2"/>
        <scheme val="minor"/>
      </rPr>
      <t>RX700</t>
    </r>
    <r>
      <rPr>
        <sz val="11"/>
        <rFont val="Calibri"/>
        <family val="2"/>
        <scheme val="minor"/>
      </rPr>
      <t xml:space="preserve">
2. Select project item on project tree &gt; Click on "Renesas Tool Settings" button on main toolbar
3. Select Linker &gt; Output &gt; Advanced
4. Check if "-vect", "-vectn" options are supported on GUI</t>
    </r>
  </si>
  <si>
    <r>
      <t xml:space="preserve">. </t>
    </r>
    <r>
      <rPr>
        <strike/>
        <sz val="11"/>
        <rFont val="Calibri"/>
        <family val="2"/>
        <scheme val="minor"/>
      </rPr>
      <t>"-vect"</t>
    </r>
    <r>
      <rPr>
        <sz val="11"/>
        <rFont val="Calibri"/>
        <family val="2"/>
        <scheme val="minor"/>
      </rPr>
      <t xml:space="preserve"> </t>
    </r>
    <r>
      <rPr>
        <sz val="11"/>
        <color indexed="30"/>
        <rFont val="Calibri"/>
        <family val="2"/>
        <scheme val="minor"/>
      </rPr>
      <t>"-vectn"</t>
    </r>
    <r>
      <rPr>
        <sz val="11"/>
        <rFont val="Calibri"/>
        <family val="2"/>
        <scheme val="minor"/>
      </rPr>
      <t xml:space="preserve"> option: "Address setting for specified area of vector table"
.</t>
    </r>
    <r>
      <rPr>
        <strike/>
        <sz val="11"/>
        <rFont val="Calibri"/>
        <family val="2"/>
        <scheme val="minor"/>
      </rPr>
      <t xml:space="preserve"> "-vectn"</t>
    </r>
    <r>
      <rPr>
        <sz val="11"/>
        <rFont val="Calibri"/>
        <family val="2"/>
        <scheme val="minor"/>
      </rPr>
      <t xml:space="preserve"> </t>
    </r>
    <r>
      <rPr>
        <sz val="11"/>
        <color indexed="30"/>
        <rFont val="Calibri"/>
        <family val="2"/>
        <scheme val="minor"/>
      </rPr>
      <t>"-vect"</t>
    </r>
    <r>
      <rPr>
        <sz val="11"/>
        <rFont val="Calibri"/>
        <family val="2"/>
        <scheme val="minor"/>
      </rPr>
      <t xml:space="preserve"> option : "Address setting for unused vector area"</t>
    </r>
  </si>
  <si>
    <r>
      <t xml:space="preserve">1. Create Application/Library RXC project
</t>
    </r>
    <r>
      <rPr>
        <b/>
        <sz val="11"/>
        <rFont val="Calibri"/>
        <family val="2"/>
        <scheme val="minor"/>
      </rPr>
      <t xml:space="preserve">2. Select [Compiler] page
</t>
    </r>
    <r>
      <rPr>
        <sz val="11"/>
        <rFont val="Calibri"/>
        <family val="2"/>
        <scheme val="minor"/>
      </rPr>
      <t>3. Select Add/Move Up/Move Down/Edit/Delete
4. Go to [Compiler] &gt; [User Defined]
-&gt; check values and order
5. Build project
-&gt; check build command</t>
    </r>
  </si>
  <si>
    <r>
      <t xml:space="preserve">1. Create Application/Library RXC project
</t>
    </r>
    <r>
      <rPr>
        <b/>
        <sz val="11"/>
        <rFont val="Calibri"/>
        <family val="2"/>
        <scheme val="minor"/>
      </rPr>
      <t xml:space="preserve">2. Select [Compiler] &gt; [User Defined] page
3. Go to [Compiler]
</t>
    </r>
    <r>
      <rPr>
        <sz val="11"/>
        <rFont val="Calibri"/>
        <family val="2"/>
        <scheme val="minor"/>
      </rPr>
      <t>4. Select Add/Move Up/Move Down/Edit/Delete
4. Go to [Compiler] &gt; [User Defined]
-&gt; check values and order
5. Build project
-&gt; check build command</t>
    </r>
  </si>
  <si>
    <r>
      <t xml:space="preserve">1. Create Application/Library RXC project
</t>
    </r>
    <r>
      <rPr>
        <b/>
        <sz val="11"/>
        <rFont val="Calibri"/>
        <family val="2"/>
        <scheme val="minor"/>
      </rPr>
      <t xml:space="preserve">2. Select [Compiler] &gt; [User Defined]
</t>
    </r>
    <r>
      <rPr>
        <sz val="11"/>
        <rFont val="Calibri"/>
        <family val="2"/>
        <scheme val="minor"/>
      </rPr>
      <t>3. Select Add/Move Up/Move Down/Edit/Delete
4. Go to [Compiler]
-&gt; check values</t>
    </r>
  </si>
  <si>
    <r>
      <t xml:space="preserve">1. Create Application/Library RXC project
</t>
    </r>
    <r>
      <rPr>
        <b/>
        <sz val="11"/>
        <rFont val="Calibri"/>
        <family val="2"/>
        <scheme val="minor"/>
      </rPr>
      <t xml:space="preserve">2. Select [Compiler]
3. Select [Compiler] &gt; [User Defined]
</t>
    </r>
    <r>
      <rPr>
        <sz val="11"/>
        <rFont val="Calibri"/>
        <family val="2"/>
        <scheme val="minor"/>
      </rPr>
      <t>4. Select Add/Move Up/Move Down/Edit/Delete
5. Go to [Compiler]
-&gt; check values and order</t>
    </r>
  </si>
  <si>
    <r>
      <t xml:space="preserve">1. Create Application/Library RXC project
</t>
    </r>
    <r>
      <rPr>
        <b/>
        <sz val="11"/>
        <rFont val="Calibri"/>
        <family val="2"/>
        <scheme val="minor"/>
      </rPr>
      <t xml:space="preserve">2. Select [Assembler] page
</t>
    </r>
    <r>
      <rPr>
        <sz val="11"/>
        <rFont val="Calibri"/>
        <family val="2"/>
        <scheme val="minor"/>
      </rPr>
      <t>3. Select Add/Move Up/Move Down/Edit/Delete
4. Go to [Assembler] &gt; [User Defined]
-&gt; check values and order
5. Build project
-&gt; check build command</t>
    </r>
  </si>
  <si>
    <r>
      <t xml:space="preserve">1. Create Application/Library RXC project
</t>
    </r>
    <r>
      <rPr>
        <b/>
        <sz val="11"/>
        <rFont val="Calibri"/>
        <family val="2"/>
        <scheme val="minor"/>
      </rPr>
      <t xml:space="preserve">2. Select [Assembler] &gt; [User Defined] page
3. Go to [Assembler]
</t>
    </r>
    <r>
      <rPr>
        <sz val="11"/>
        <rFont val="Calibri"/>
        <family val="2"/>
        <scheme val="minor"/>
      </rPr>
      <t>4. Select Add/Move Up/Move Down/Edit/Delete
4. Go to [Assembler] &gt; [User Defined]
-&gt; check values and order
5. Build project
-&gt; check build command</t>
    </r>
  </si>
  <si>
    <r>
      <t xml:space="preserve">1. Create Application/Library RXC project
</t>
    </r>
    <r>
      <rPr>
        <b/>
        <sz val="11"/>
        <rFont val="Calibri"/>
        <family val="2"/>
        <scheme val="minor"/>
      </rPr>
      <t xml:space="preserve">2. Select [Assembler] &gt; [User Defined]
</t>
    </r>
    <r>
      <rPr>
        <sz val="11"/>
        <rFont val="Calibri"/>
        <family val="2"/>
        <scheme val="minor"/>
      </rPr>
      <t>3. Select Add/Move Up/Move Down/Edit/Delete
4. Go to [Assembler]
-&gt; check values</t>
    </r>
  </si>
  <si>
    <r>
      <t xml:space="preserve">1. Create Application/Library RXC project
</t>
    </r>
    <r>
      <rPr>
        <b/>
        <sz val="11"/>
        <rFont val="Calibri"/>
        <family val="2"/>
        <scheme val="minor"/>
      </rPr>
      <t xml:space="preserve">2. Select [Assembler]
3. Select [Assembler] &gt; [User Defined]
</t>
    </r>
    <r>
      <rPr>
        <sz val="11"/>
        <rFont val="Calibri"/>
        <family val="2"/>
        <scheme val="minor"/>
      </rPr>
      <t>4. Select Add/Move Up/Move Down/Edit/Delete
5. Go to [Assembler]
-&gt; check values and order</t>
    </r>
  </si>
  <si>
    <r>
      <t xml:space="preserve">1. Create Application/Library RXC project
</t>
    </r>
    <r>
      <rPr>
        <b/>
        <sz val="11"/>
        <rFont val="Calibri"/>
        <family val="2"/>
        <scheme val="minor"/>
      </rPr>
      <t xml:space="preserve">2. Select [Linker] page
</t>
    </r>
    <r>
      <rPr>
        <sz val="11"/>
        <rFont val="Calibri"/>
        <family val="2"/>
        <scheme val="minor"/>
      </rPr>
      <t>3. Select Add/Move Up/Move Down/Edit/Delete
4. Go to [Linker] &gt; [User Defined]
-&gt; check values and order
5. Build project
-&gt; check build command</t>
    </r>
  </si>
  <si>
    <r>
      <t xml:space="preserve">1. Create Application/Library RXC project
</t>
    </r>
    <r>
      <rPr>
        <b/>
        <sz val="11"/>
        <rFont val="Calibri"/>
        <family val="2"/>
        <scheme val="minor"/>
      </rPr>
      <t xml:space="preserve">2. Select [Linker] &gt; [User Defined] page
3. Go to [Linker]
</t>
    </r>
    <r>
      <rPr>
        <sz val="11"/>
        <rFont val="Calibri"/>
        <family val="2"/>
        <scheme val="minor"/>
      </rPr>
      <t>4. Select Add/Move Up/Move Down/Edit/Delete
4. Go to [Linker] &gt; [User Defined]
-&gt; check values and order
5. Build project
-&gt; check build command</t>
    </r>
  </si>
  <si>
    <r>
      <t xml:space="preserve">1. Create Application/Library RXC project
</t>
    </r>
    <r>
      <rPr>
        <b/>
        <sz val="11"/>
        <rFont val="Calibri"/>
        <family val="2"/>
        <scheme val="minor"/>
      </rPr>
      <t xml:space="preserve">2. Select [Linker] &gt; [User Defined]
</t>
    </r>
    <r>
      <rPr>
        <sz val="11"/>
        <rFont val="Calibri"/>
        <family val="2"/>
        <scheme val="minor"/>
      </rPr>
      <t>3. Select Add/Move Up/Move Down/Edit/Delete
4. Go to [Linker]
-&gt; check values</t>
    </r>
  </si>
  <si>
    <r>
      <t xml:space="preserve">1. Create Application/Library RXC project
</t>
    </r>
    <r>
      <rPr>
        <b/>
        <sz val="11"/>
        <rFont val="Calibri"/>
        <family val="2"/>
        <scheme val="minor"/>
      </rPr>
      <t xml:space="preserve">2. Select [Linker]
3. Select [Linker] &gt; [User Defined]
</t>
    </r>
    <r>
      <rPr>
        <sz val="11"/>
        <rFont val="Calibri"/>
        <family val="2"/>
        <scheme val="minor"/>
      </rPr>
      <t>4. Select Add/Move Up/Move Down/Edit/Delete
5. Go to [Linker]
-&gt; check values and order</t>
    </r>
  </si>
  <si>
    <r>
      <t xml:space="preserve">1. Create Application/Library RXC project
</t>
    </r>
    <r>
      <rPr>
        <b/>
        <sz val="11"/>
        <rFont val="Calibri"/>
        <family val="2"/>
        <scheme val="minor"/>
      </rPr>
      <t xml:space="preserve">2. Select [Converter] page
</t>
    </r>
    <r>
      <rPr>
        <sz val="11"/>
        <rFont val="Calibri"/>
        <family val="2"/>
        <scheme val="minor"/>
      </rPr>
      <t>3. Select Add/Move Up/Move Down/Edit/Delete
4. Go to [Converter] &gt; [User Defined]
-&gt; check values and order
5. Build project
-&gt; check build command</t>
    </r>
  </si>
  <si>
    <r>
      <t xml:space="preserve">1. Create Application/Library RXC project
</t>
    </r>
    <r>
      <rPr>
        <b/>
        <sz val="11"/>
        <rFont val="Calibri"/>
        <family val="2"/>
        <scheme val="minor"/>
      </rPr>
      <t xml:space="preserve">2. Select [Converter] &gt; [User Defined] page
3. Go to [Converter]
</t>
    </r>
    <r>
      <rPr>
        <sz val="11"/>
        <rFont val="Calibri"/>
        <family val="2"/>
        <scheme val="minor"/>
      </rPr>
      <t>4. Select Add/Move Up/Move Down/Edit/Delete
4. Go to [Converter] &gt; [User Defined]
-&gt; check values and order
5. Build project
-&gt; check build command</t>
    </r>
  </si>
  <si>
    <r>
      <t xml:space="preserve">1. Create Application/Library RXC project
</t>
    </r>
    <r>
      <rPr>
        <b/>
        <sz val="11"/>
        <rFont val="Calibri"/>
        <family val="2"/>
        <scheme val="minor"/>
      </rPr>
      <t xml:space="preserve">2. Select [Converter] &gt; [User Defined]
</t>
    </r>
    <r>
      <rPr>
        <sz val="11"/>
        <rFont val="Calibri"/>
        <family val="2"/>
        <scheme val="minor"/>
      </rPr>
      <t>3. Select Add/Move Up/Move Down/Edit/Delete
4. Go to [Converter]
-&gt; check values</t>
    </r>
  </si>
  <si>
    <r>
      <t xml:space="preserve">1. Create Application/Library RXC project
</t>
    </r>
    <r>
      <rPr>
        <b/>
        <sz val="11"/>
        <rFont val="Calibri"/>
        <family val="2"/>
        <scheme val="minor"/>
      </rPr>
      <t xml:space="preserve">2. Select [Converter]
3. Select [Converter] &gt; [User Defined]
</t>
    </r>
    <r>
      <rPr>
        <sz val="11"/>
        <rFont val="Calibri"/>
        <family val="2"/>
        <scheme val="minor"/>
      </rPr>
      <t xml:space="preserve">4. Select Add/Move Up/Move Down/Edit/Delete
5. Go to </t>
    </r>
    <r>
      <rPr>
        <strike/>
        <sz val="11"/>
        <rFont val="Calibri"/>
        <family val="2"/>
        <scheme val="minor"/>
      </rPr>
      <t>[Linker]</t>
    </r>
    <r>
      <rPr>
        <sz val="11"/>
        <rFont val="Calibri"/>
        <family val="2"/>
        <scheme val="minor"/>
      </rPr>
      <t xml:space="preserve"> </t>
    </r>
    <r>
      <rPr>
        <sz val="11"/>
        <color indexed="30"/>
        <rFont val="Calibri"/>
        <family val="2"/>
        <scheme val="minor"/>
      </rPr>
      <t>[Converter]</t>
    </r>
    <r>
      <rPr>
        <sz val="11"/>
        <rFont val="Calibri"/>
        <family val="2"/>
        <scheme val="minor"/>
      </rPr>
      <t xml:space="preserve">
-&gt; check values and order</t>
    </r>
  </si>
  <si>
    <r>
      <t xml:space="preserve">1. Create Application/Library RXC project
</t>
    </r>
    <r>
      <rPr>
        <b/>
        <sz val="11"/>
        <rFont val="Calibri"/>
        <family val="2"/>
        <scheme val="minor"/>
      </rPr>
      <t xml:space="preserve">2. Select [LibGen] page
</t>
    </r>
    <r>
      <rPr>
        <sz val="11"/>
        <rFont val="Calibri"/>
        <family val="2"/>
        <scheme val="minor"/>
      </rPr>
      <t>3. Select Add/Move Up/Move Down/Edit/Delete
4. Go to [LibGen] &gt; [User Defined]
-&gt; check values and order
5. Build project
-&gt; check build command</t>
    </r>
  </si>
  <si>
    <r>
      <t xml:space="preserve">1. Create Application
</t>
    </r>
    <r>
      <rPr>
        <b/>
        <sz val="11"/>
        <rFont val="Calibri"/>
        <family val="2"/>
        <scheme val="minor"/>
      </rPr>
      <t xml:space="preserve">2. Select [LibGen] &gt; [User Defined] page
3. Go to [LibGen]
</t>
    </r>
    <r>
      <rPr>
        <sz val="11"/>
        <rFont val="Calibri"/>
        <family val="2"/>
        <scheme val="minor"/>
      </rPr>
      <t>4. Select Add/Move Up/Move Down/Edit/Delete
4. Go to [LibGen] &gt; [User Defined]
-&gt; check values and order
5. Build project
-&gt; check build command</t>
    </r>
  </si>
  <si>
    <r>
      <t xml:space="preserve">1. Create Application/Library RXC project
</t>
    </r>
    <r>
      <rPr>
        <b/>
        <sz val="11"/>
        <rFont val="Calibri"/>
        <family val="2"/>
        <scheme val="minor"/>
      </rPr>
      <t xml:space="preserve">2. Select [LibGen] &gt; [User Defined]
</t>
    </r>
    <r>
      <rPr>
        <sz val="11"/>
        <rFont val="Calibri"/>
        <family val="2"/>
        <scheme val="minor"/>
      </rPr>
      <t>3. Select Add/Move Up/Move Down/Edit/Delete
4. Go to</t>
    </r>
    <r>
      <rPr>
        <strike/>
        <sz val="11"/>
        <rFont val="Calibri"/>
        <family val="2"/>
        <scheme val="minor"/>
      </rPr>
      <t xml:space="preserve"> [Linker]</t>
    </r>
    <r>
      <rPr>
        <sz val="11"/>
        <rFont val="Calibri"/>
        <family val="2"/>
        <scheme val="minor"/>
      </rPr>
      <t xml:space="preserve"> </t>
    </r>
    <r>
      <rPr>
        <sz val="11"/>
        <color indexed="30"/>
        <rFont val="Calibri"/>
        <family val="2"/>
        <scheme val="minor"/>
      </rPr>
      <t>[LibGen]</t>
    </r>
    <r>
      <rPr>
        <sz val="11"/>
        <rFont val="Calibri"/>
        <family val="2"/>
        <scheme val="minor"/>
      </rPr>
      <t xml:space="preserve">
-&gt; check values</t>
    </r>
  </si>
  <si>
    <r>
      <t xml:space="preserve">1. Create Application/Library RXC project
</t>
    </r>
    <r>
      <rPr>
        <b/>
        <sz val="11"/>
        <rFont val="Calibri"/>
        <family val="2"/>
        <scheme val="minor"/>
      </rPr>
      <t xml:space="preserve">2. Select [LibGen]
3. Select [LibGen] &gt; [User Defined]
</t>
    </r>
    <r>
      <rPr>
        <sz val="11"/>
        <rFont val="Calibri"/>
        <family val="2"/>
        <scheme val="minor"/>
      </rPr>
      <t xml:space="preserve">4. Select Add/Move Up/Move Down/Edit/Delete
5. Go to </t>
    </r>
    <r>
      <rPr>
        <strike/>
        <sz val="11"/>
        <rFont val="Calibri"/>
        <family val="2"/>
        <scheme val="minor"/>
      </rPr>
      <t xml:space="preserve">[Linker] </t>
    </r>
    <r>
      <rPr>
        <sz val="11"/>
        <color indexed="30"/>
        <rFont val="Calibri"/>
        <family val="2"/>
        <scheme val="minor"/>
      </rPr>
      <t>[LibGen]</t>
    </r>
    <r>
      <rPr>
        <sz val="11"/>
        <rFont val="Calibri"/>
        <family val="2"/>
        <scheme val="minor"/>
      </rPr>
      <t xml:space="preserve">
-&gt; check values and order</t>
    </r>
  </si>
  <si>
    <r>
      <t xml:space="preserve">1. Create Application/Library RXC project
</t>
    </r>
    <r>
      <rPr>
        <b/>
        <sz val="11"/>
        <rFont val="Calibri"/>
        <family val="2"/>
        <scheme val="minor"/>
      </rPr>
      <t xml:space="preserve">2. Select [RTOS] page
</t>
    </r>
    <r>
      <rPr>
        <sz val="11"/>
        <rFont val="Calibri"/>
        <family val="2"/>
        <scheme val="minor"/>
      </rPr>
      <t>3. Select Add/Move Up/Move Down/Edit/Delete
4. Go to [RTOS] &gt; [User Defined]
-&gt; check values and order
5. Build project
-&gt; check build command</t>
    </r>
  </si>
  <si>
    <r>
      <t xml:space="preserve">1. Create Application/Library RXC project
</t>
    </r>
    <r>
      <rPr>
        <b/>
        <sz val="11"/>
        <rFont val="Calibri"/>
        <family val="2"/>
        <scheme val="minor"/>
      </rPr>
      <t xml:space="preserve">2. Select [RTOS] &gt; [User Defined] page
3. Go to [RTOS]
</t>
    </r>
    <r>
      <rPr>
        <sz val="11"/>
        <rFont val="Calibri"/>
        <family val="2"/>
        <scheme val="minor"/>
      </rPr>
      <t xml:space="preserve">4. Select Add/Move Up/Move Down/Edit/Delete
4. </t>
    </r>
    <r>
      <rPr>
        <strike/>
        <sz val="11"/>
        <rFont val="Calibri"/>
        <family val="2"/>
        <scheme val="minor"/>
      </rPr>
      <t>Go to [Converter] &gt; [User Defined]</t>
    </r>
    <r>
      <rPr>
        <sz val="11"/>
        <rFont val="Calibri"/>
        <family val="2"/>
        <scheme val="minor"/>
      </rPr>
      <t xml:space="preserve">
4. Go to </t>
    </r>
    <r>
      <rPr>
        <sz val="11"/>
        <color indexed="30"/>
        <rFont val="Calibri"/>
        <family val="2"/>
        <scheme val="minor"/>
      </rPr>
      <t>[RTOS] &gt; [User Defined]</t>
    </r>
    <r>
      <rPr>
        <sz val="11"/>
        <rFont val="Calibri"/>
        <family val="2"/>
        <scheme val="minor"/>
      </rPr>
      <t xml:space="preserve">
-&gt; check values and order
5. Build project
-&gt; check build command</t>
    </r>
  </si>
  <si>
    <r>
      <t xml:space="preserve">1. Create Application/Library RXC project
</t>
    </r>
    <r>
      <rPr>
        <b/>
        <sz val="11"/>
        <rFont val="Calibri"/>
        <family val="2"/>
        <scheme val="minor"/>
      </rPr>
      <t xml:space="preserve">2. Select [RTOS] &gt; [User Defined]
</t>
    </r>
    <r>
      <rPr>
        <sz val="11"/>
        <rFont val="Calibri"/>
        <family val="2"/>
        <scheme val="minor"/>
      </rPr>
      <t xml:space="preserve">3. Select Add/Move Up/Move Down/Edit/Delete
4. Go to </t>
    </r>
    <r>
      <rPr>
        <strike/>
        <sz val="11"/>
        <rFont val="Calibri"/>
        <family val="2"/>
        <scheme val="minor"/>
      </rPr>
      <t>[Linker]</t>
    </r>
    <r>
      <rPr>
        <sz val="11"/>
        <rFont val="Calibri"/>
        <family val="2"/>
        <scheme val="minor"/>
      </rPr>
      <t xml:space="preserve"> </t>
    </r>
    <r>
      <rPr>
        <sz val="11"/>
        <color indexed="30"/>
        <rFont val="Calibri"/>
        <family val="2"/>
        <scheme val="minor"/>
      </rPr>
      <t>[RTOS]</t>
    </r>
    <r>
      <rPr>
        <sz val="11"/>
        <rFont val="Calibri"/>
        <family val="2"/>
        <scheme val="minor"/>
      </rPr>
      <t xml:space="preserve">
-&gt; check values</t>
    </r>
  </si>
  <si>
    <r>
      <t xml:space="preserve">1. Create Application/Library RXC project
</t>
    </r>
    <r>
      <rPr>
        <b/>
        <sz val="11"/>
        <rFont val="Calibri"/>
        <family val="2"/>
        <scheme val="minor"/>
      </rPr>
      <t xml:space="preserve">2. Select [RTOS]
3. Select [RTOS] &gt; [User Defined]
</t>
    </r>
    <r>
      <rPr>
        <sz val="11"/>
        <rFont val="Calibri"/>
        <family val="2"/>
        <scheme val="minor"/>
      </rPr>
      <t xml:space="preserve">4. Select Add/Move Up/Move Down/Edit/Delete
5. Go to </t>
    </r>
    <r>
      <rPr>
        <strike/>
        <sz val="11"/>
        <rFont val="Calibri"/>
        <family val="2"/>
        <scheme val="minor"/>
      </rPr>
      <t>[Linker]</t>
    </r>
    <r>
      <rPr>
        <sz val="11"/>
        <rFont val="Calibri"/>
        <family val="2"/>
        <scheme val="minor"/>
      </rPr>
      <t xml:space="preserve"> </t>
    </r>
    <r>
      <rPr>
        <sz val="11"/>
        <color indexed="30"/>
        <rFont val="Calibri"/>
        <family val="2"/>
        <scheme val="minor"/>
      </rPr>
      <t>[RTOS]</t>
    </r>
    <r>
      <rPr>
        <sz val="11"/>
        <rFont val="Calibri"/>
        <family val="2"/>
        <scheme val="minor"/>
      </rPr>
      <t xml:space="preserve">
-&gt; check values and order</t>
    </r>
  </si>
  <si>
    <r>
      <t xml:space="preserve">1. Create new project
- Toolchain: CCRX
- Device: RX111
2. Save .cproject in the project as a different file name. (ex. cproject_org.log)
3. Click the project and open "Renesas Tool Settings"
</t>
    </r>
    <r>
      <rPr>
        <sz val="11"/>
        <color indexed="12"/>
        <rFont val="Calibri"/>
        <family val="2"/>
        <scheme val="minor"/>
      </rPr>
      <t>4. Without any change on the settings, click Apply button</t>
    </r>
    <r>
      <rPr>
        <sz val="11"/>
        <rFont val="Calibri"/>
        <family val="2"/>
        <scheme val="minor"/>
      </rPr>
      <t xml:space="preserve">
5. Save .cproject in the project as a different file name. (ex. cproject_apply_before_OK.log)
</t>
    </r>
    <r>
      <rPr>
        <sz val="11"/>
        <color indexed="12"/>
        <rFont val="Calibri"/>
        <family val="2"/>
        <scheme val="minor"/>
      </rPr>
      <t>6. Click OK button</t>
    </r>
    <r>
      <rPr>
        <sz val="11"/>
        <rFont val="Calibri"/>
        <family val="2"/>
        <scheme val="minor"/>
      </rPr>
      <t xml:space="preserve">
7. Save .cproject in the project as a different file name. (ex. cproject_apply_after_OK.log)
8. Compare below files:
- cproject_org.log
- cproject_apply_before_OK.log
- cproject_apply_after_OK.log</t>
    </r>
  </si>
  <si>
    <r>
      <t xml:space="preserve">1. Create new project
- Toolchain: CCRX
- Device: RX111
2. Save .cproject in the project as a different file name. (ex. cproject_org.log)
3. Click the project and open "Renesas Tool Settings"
</t>
    </r>
    <r>
      <rPr>
        <sz val="11"/>
        <color indexed="12"/>
        <rFont val="Calibri"/>
        <family val="2"/>
        <scheme val="minor"/>
      </rPr>
      <t>4. Without any change on the settings, click Apply button</t>
    </r>
    <r>
      <rPr>
        <sz val="11"/>
        <rFont val="Calibri"/>
        <family val="2"/>
        <scheme val="minor"/>
      </rPr>
      <t xml:space="preserve">
5. Save .cproject in the project as a different file name. (ex. cproject_apply_before_Cancel.log)
</t>
    </r>
    <r>
      <rPr>
        <sz val="11"/>
        <color indexed="12"/>
        <rFont val="Calibri"/>
        <family val="2"/>
        <scheme val="minor"/>
      </rPr>
      <t>6. Click Cancel button</t>
    </r>
    <r>
      <rPr>
        <sz val="11"/>
        <rFont val="Calibri"/>
        <family val="2"/>
        <scheme val="minor"/>
      </rPr>
      <t xml:space="preserve">
7. Save .cproject in the project as a different file name. (ex. cproject_apply_after_Cancel.log)
8. Compare below files:
- cproject_org.log
- cproject_apply_before_Cancel.log
- cproject_apply_after_Cancel.log</t>
    </r>
  </si>
  <si>
    <r>
      <t xml:space="preserve">1. Create new project
- Toolchain: CCRX
- Device: RX111
2. Save .cproject in the project as a different file name. (ex. cproject_org.log)
3. Click the project and open "Renesas Tool Settings"
</t>
    </r>
    <r>
      <rPr>
        <sz val="11"/>
        <color indexed="12"/>
        <rFont val="Calibri"/>
        <family val="2"/>
        <scheme val="minor"/>
      </rPr>
      <t xml:space="preserve">4. With some changes on the settings, click Restore Defaults button
</t>
    </r>
    <r>
      <rPr>
        <sz val="11"/>
        <rFont val="Calibri"/>
        <family val="2"/>
        <scheme val="minor"/>
      </rPr>
      <t>5. Save .cproject in the project as a different file name. (ex. cproject_restore_before_OK.log)</t>
    </r>
    <r>
      <rPr>
        <sz val="11"/>
        <color indexed="12"/>
        <rFont val="Calibri"/>
        <family val="2"/>
        <scheme val="minor"/>
      </rPr>
      <t xml:space="preserve">
6. Click OK button</t>
    </r>
    <r>
      <rPr>
        <sz val="11"/>
        <rFont val="Calibri"/>
        <family val="2"/>
        <scheme val="minor"/>
      </rPr>
      <t xml:space="preserve">
7. Save .cproject in the project as a different file name. (ex. cproject_restore_after_OK.log)
8. Compare below files:
- cproject_org.log
- cproject_restore_before_OK.log
- cproject_restore_after_OK.log</t>
    </r>
  </si>
  <si>
    <r>
      <t xml:space="preserve">Change screen resolution to 1920x1200 </t>
    </r>
    <r>
      <rPr>
        <strike/>
        <sz val="11"/>
        <rFont val="Calibri"/>
        <family val="2"/>
        <scheme val="minor"/>
      </rPr>
      <t>800x600</t>
    </r>
    <r>
      <rPr>
        <sz val="11"/>
        <rFont val="Calibri"/>
        <family val="2"/>
        <scheme val="minor"/>
      </rPr>
      <t xml:space="preserve">
1. New project
- Toolchain: CCRX
- Device: RX610
2. Click the project &gt; Open "Renesas Tool Settings"
3. Check if “Apply” and “Restore” button is full form</t>
    </r>
  </si>
  <si>
    <r>
      <t xml:space="preserve">Change screen resolution to 1920x1200 </t>
    </r>
    <r>
      <rPr>
        <strike/>
        <sz val="11"/>
        <rFont val="Calibri"/>
        <family val="2"/>
        <scheme val="minor"/>
      </rPr>
      <t>800x600</t>
    </r>
    <r>
      <rPr>
        <sz val="11"/>
        <rFont val="Calibri"/>
        <family val="2"/>
        <scheme val="minor"/>
      </rPr>
      <t xml:space="preserve">
1. New project
- Toolchain: Renesas SHC
- Device: SH7201
2. Click the project &gt; Open "Renesas Tool Settings"
3. Check if “Apply” and “Restore” button is full form</t>
    </r>
  </si>
  <si>
    <r>
      <t xml:space="preserve">Text File Encoding is </t>
    </r>
    <r>
      <rPr>
        <strike/>
        <sz val="11"/>
        <rFont val="Calibri"/>
        <family val="2"/>
        <scheme val="minor"/>
      </rPr>
      <t xml:space="preserve">UTF8 </t>
    </r>
  </si>
  <si>
    <r>
      <t xml:space="preserve">1. Create CCRX project with default settings.
2. Add code as below:
</t>
    </r>
    <r>
      <rPr>
        <sz val="11"/>
        <color indexed="8"/>
        <rFont val="Calibri"/>
        <family val="2"/>
        <scheme val="minor"/>
      </rPr>
      <t xml:space="preserve"> Void main (void)
{ 
  #ifndef NULL
  #define NULL ((void*) 0)
  #endif
  void* localNULL = NULL;
}
3. Build the project.
</t>
    </r>
  </si>
  <si>
    <r>
      <t xml:space="preserve">1. Create CCRX project with default settings.
2. Add code as below:
</t>
    </r>
    <r>
      <rPr>
        <sz val="11"/>
        <color indexed="8"/>
        <rFont val="Calibri"/>
        <family val="2"/>
        <scheme val="minor"/>
      </rPr>
      <t xml:space="preserve">  #ifndef NULL
  #define NULL ((void*) 0)
  #endif
  void* localNULL = NULL;
 Void main (void)
{ 
}
3. Build the project.
</t>
    </r>
  </si>
  <si>
    <r>
      <t xml:space="preserve">1. Ensure RTOS instaler package is installed
2. Launch e2studio and Create RTOS C++ project (Project Name: cpp_prj_test)
3. Open </t>
    </r>
    <r>
      <rPr>
        <strike/>
        <sz val="11"/>
        <rFont val="Calibri"/>
        <family val="2"/>
        <scheme val="minor"/>
      </rPr>
      <t>cpp_prj_test.c</t>
    </r>
    <r>
      <rPr>
        <sz val="11"/>
        <rFont val="Calibri"/>
        <family val="2"/>
        <scheme val="minor"/>
      </rPr>
      <t xml:space="preserve"> </t>
    </r>
    <r>
      <rPr>
        <sz val="11"/>
        <color indexed="30"/>
        <rFont val="Calibri"/>
        <family val="2"/>
        <scheme val="minor"/>
      </rPr>
      <t>cpp_prj_test.cpp</t>
    </r>
    <r>
      <rPr>
        <sz val="11"/>
        <rFont val="Calibri"/>
        <family val="2"/>
        <scheme val="minor"/>
      </rPr>
      <t xml:space="preserve"> file
4. Build project</t>
    </r>
  </si>
  <si>
    <r>
      <t xml:space="preserve">GNURXv1102-ELF-MP1.exe
</t>
    </r>
    <r>
      <rPr>
        <sz val="11"/>
        <color indexed="12"/>
        <rFont val="Calibri"/>
        <family val="2"/>
        <scheme val="minor"/>
      </rPr>
      <t>workaround for build pass:
1. Goto MBS &gt; Compiler &gt; Object &gt; Warn if stack size exceeds the limit (H') (-Wstack-usage).
2. Clear Text field should be empty
3. Goto: MBS &gt; Library Generator &gt; Other Options &gt; Miscellaneous &gt; "-free" and uncheck to checkbox
4. Build project 
-&gt; Verified that build successful</t>
    </r>
  </si>
  <si>
    <r>
      <t xml:space="preserve">GNURXv1103-ELF.exe
</t>
    </r>
    <r>
      <rPr>
        <sz val="11"/>
        <color indexed="12"/>
        <rFont val="Calibri"/>
        <family val="2"/>
        <scheme val="minor"/>
      </rPr>
      <t>workaround for build pass:
1. Goto MBS &gt; Compiler &gt; Object &gt; Warn if stack size exceeds the limit (H') (-Wstack-usage).
2. Clear Text field should be empty
3. Goto: MBS &gt; Library Generator &gt; Other Options &gt; Miscellaneous &gt; "-free" and uncheck to checkbox
4. Build project 
-&gt; Verified that build successful</t>
    </r>
  </si>
  <si>
    <r>
      <t xml:space="preserve">GNURXv1201-ELF.exe
</t>
    </r>
    <r>
      <rPr>
        <sz val="11"/>
        <color indexed="12"/>
        <rFont val="Calibri"/>
        <family val="2"/>
        <scheme val="minor"/>
      </rPr>
      <t>workaround for build pass:
1. Goto MBS &gt; Compiler &gt; Object &gt; Warn if stack size exceeds the limit (H') (-Wstack-usage).
2. Clear Text field should be empty
3. Goto: MBS &gt; Library Generator &gt; Other Options &gt; Miscellaneous &gt; "-free" and uncheck to checkbox
4. Build project 
-&gt; Verified that build successful</t>
    </r>
  </si>
  <si>
    <r>
      <t xml:space="preserve">GNUSHv1201-ELF.exe
</t>
    </r>
    <r>
      <rPr>
        <sz val="11"/>
        <color indexed="12"/>
        <rFont val="Calibri"/>
        <family val="2"/>
        <scheme val="minor"/>
      </rPr>
      <t>workaround for build pass:
1. Goto MBS &gt; Compiler &gt; Object &gt; Warn if stack size exceeds the limit (H') (-Wstack-usage).
2. Clear Text field should be empty
3. Build project 
-&gt; Verified that build successful</t>
    </r>
  </si>
  <si>
    <r>
      <t>1) Install the multiple toolchain with the same version (See comments)
2) Start e2 studio.
3) Exp</t>
    </r>
    <r>
      <rPr>
        <sz val="11"/>
        <rFont val="Calibri"/>
        <family val="2"/>
        <scheme val="minor"/>
      </rPr>
      <t>end all the toolchains versions</t>
    </r>
  </si>
  <si>
    <t>Device-
Debugger-
Compiler</t>
  </si>
  <si>
    <t>Added to RT of e2s version</t>
  </si>
  <si>
    <t>REE</t>
  </si>
  <si>
    <t>5.1 and older</t>
  </si>
  <si>
    <t>PIC</t>
  </si>
  <si>
    <t>PIC 
(RVC/GCS)</t>
  </si>
  <si>
    <t>RVC</t>
  </si>
  <si>
    <t>TBD</t>
  </si>
  <si>
    <r>
      <t xml:space="preserve">Continuing from above tests._x000D_
1. Close any open Properties dialog._x000D_
2. Open the properties dialog for the main C source file (e.g. "main.c")._x000D_
3. On the "Build steps" tab set the Custom Build Step Applicability combo-box to "Apply Custom Build Step After Other Tools"._x000D_
_x000D_
4.Set the edit fields for the build step to be:_x000D_
 * Additional input file names: empty_x000D_
 * Output file names: &lt;config&gt;/main.obj_x000D_
 * Command: FileCopy.exe &lt;config&gt;/main.obj &lt;config&gt;/main2.obj_x000D_
_x000D_
</t>
    </r>
    <r>
      <rPr>
        <sz val="11"/>
        <color rgb="FF060ABA"/>
        <rFont val="Calibri"/>
        <family val="2"/>
        <scheme val="minor"/>
      </rPr>
      <t>(where &lt;config&gt; should be the name of the debug configuration, and FileCopy.exe should be its fully qualified path to the executable)._x000D_</t>
    </r>
    <r>
      <rPr>
        <sz val="11"/>
        <color theme="1"/>
        <rFont val="Calibri"/>
        <family val="2"/>
        <scheme val="minor"/>
      </rPr>
      <t xml:space="preserve">
_x000D_
5. Click OK and perform a clean and a build on the project._x000D_
6. Examine the build ouput in Console window.</t>
    </r>
  </si>
  <si>
    <t>5.3 test cases</t>
  </si>
  <si>
    <t>PASS</t>
  </si>
  <si>
    <t xml:space="preserve">
</t>
  </si>
  <si>
    <t>Skipped 
test cases</t>
  </si>
  <si>
    <t>[Auto limitation]</t>
  </si>
  <si>
    <t>[Lack of equipment]</t>
  </si>
  <si>
    <t>New in 5.3 RT</t>
  </si>
  <si>
    <t>Skip</t>
  </si>
  <si>
    <t>GCS/Ju120</t>
  </si>
  <si>
    <t>GCS/Ju147</t>
  </si>
  <si>
    <t>GCS/Ju148</t>
  </si>
  <si>
    <t>GCS/Ju149</t>
  </si>
  <si>
    <t>GCS/Ju153</t>
  </si>
  <si>
    <t>Known IDE-9544 (V6.0)</t>
  </si>
  <si>
    <t>Known IDE-9544 (V6.0) 
GUI doesn't support add 'Expression' and 'Key word'</t>
  </si>
  <si>
    <t>GCS/Ju106</t>
  </si>
  <si>
    <t>GCS/Ju123</t>
  </si>
  <si>
    <t>GCS/Ju109</t>
  </si>
  <si>
    <t>Result on 5.2.0.019, SSP_1.1.0-alpha</t>
  </si>
  <si>
    <t>Time to execute
manual (minute)</t>
  </si>
  <si>
    <t>1. In the source folder of the current project, create 3 new files with extension ".xyz" (e.g. MyFile1.xyz, MyFile2.xyz, MyFile3.xyz)._x000D_
2. In each file add a function such as:_x000D_
_x000D_
    int MyFunction1(int a);_x000D_
    int MyFunction1(int a) _x000D_
    {_x000D_
        return a*2;_x000D_
    }_x000D_
_x000D_
(give the function a slightly different name in each file )._x000D_
3. Add the 3 files into the current project._x000D_
4. On the Custom Tool Settings dialog, specify a new tool and its settings._x000D_
  e.g._x000D_
    Name: FileCopy Tool_x000D_
    Command: FileCopy.exe_x000D_
    Sources: xyz_x000D_
    Outputs: c_x000D_
    Command pattern: ${command} ${inputs} ${output}_x000D_
_x000D_
(note that the "command" field should contain the full file pathname of "FileCopy.exe")._x000D_
_x000D_
3) Click OK._x000D_
4) Check that the Tool was added to the list in the Custom Tools tab._x000D_
5) Close and re-open e2studio._x000D_
6) Check that the custom tool is still present in the Custom Tools tab.</t>
  </si>
  <si>
    <t>GCS/MuoiN note:
Get FileCopy.exe from ODC_Phase_08_External\02_e2_RT\05_TestData\CustomPhases\
Command: FileCopy.exe
(Must input correct full path Ex: d:\XDrive\TestData\CustomPhases\FileCopy.exe)</t>
  </si>
  <si>
    <t>Time</t>
  </si>
  <si>
    <t>Num of TC</t>
  </si>
  <si>
    <t>Tuan</t>
  </si>
  <si>
    <t>Long</t>
  </si>
  <si>
    <t>Linh</t>
  </si>
  <si>
    <t>Muoi</t>
  </si>
  <si>
    <t>Thinh</t>
  </si>
  <si>
    <t>IDE-9544</t>
  </si>
  <si>
    <t>%</t>
  </si>
  <si>
    <t>Note for FAIL</t>
  </si>
  <si>
    <t>Diff Level (by GCS in V5.3)</t>
  </si>
  <si>
    <t>FR</t>
    <phoneticPr fontId="169"/>
  </si>
  <si>
    <t>not yet</t>
    <phoneticPr fontId="169"/>
  </si>
  <si>
    <t>SR</t>
    <phoneticPr fontId="169"/>
  </si>
  <si>
    <t>SR</t>
    <phoneticPr fontId="169"/>
  </si>
  <si>
    <t>done</t>
    <phoneticPr fontId="169"/>
  </si>
  <si>
    <t>not yet</t>
    <phoneticPr fontId="169"/>
  </si>
  <si>
    <t>FR</t>
    <phoneticPr fontId="169"/>
  </si>
  <si>
    <t>Deff. Level</t>
  </si>
  <si>
    <t>TCs</t>
  </si>
  <si>
    <t>D</t>
  </si>
  <si>
    <t>N</t>
  </si>
  <si>
    <t>E</t>
  </si>
  <si>
    <t>Number of TC that has time bigger than 60 minutes</t>
  </si>
  <si>
    <t>Select the RUN:</t>
  </si>
  <si>
    <t>Total time</t>
  </si>
  <si>
    <t>Total TCs</t>
  </si>
  <si>
    <t>Average time</t>
  </si>
  <si>
    <t>$Q$15:$Q$1500</t>
  </si>
  <si>
    <t>$U$15:$U$1500</t>
  </si>
  <si>
    <t>$Y$15:$Y$1500</t>
  </si>
  <si>
    <t>$AC$15:$AC$1500</t>
  </si>
  <si>
    <t>$AG$15:$AG$1500</t>
  </si>
  <si>
    <t>GCS/Plan</t>
  </si>
  <si>
    <t>Everage time per TC</t>
  </si>
  <si>
    <t>Actual</t>
  </si>
  <si>
    <t>Quang</t>
  </si>
  <si>
    <t>Anh</t>
  </si>
  <si>
    <t xml:space="preserve">Skip </t>
  </si>
  <si>
    <t xml:space="preserve">Preparation for V5.4 regression test.
</t>
  </si>
  <si>
    <t>Select the current RUN:</t>
  </si>
  <si>
    <t>Result on e2 studio v5.3, SSP_1.2.0-b.1</t>
  </si>
  <si>
    <t>status to be replaced</t>
    <phoneticPr fontId="0"/>
  </si>
  <si>
    <t>RCPTT memo
(RSD only)</t>
    <phoneticPr fontId="0"/>
  </si>
  <si>
    <t>test phase</t>
    <phoneticPr fontId="0"/>
  </si>
  <si>
    <t>RVC/Thuy Tran</t>
  </si>
  <si>
    <t>RVC/Hieu Nguyen</t>
  </si>
  <si>
    <t>V5.4 Regression Test</t>
  </si>
  <si>
    <t>e2studio_v5.4.0.001-Part1</t>
  </si>
  <si>
    <t>GCS/Long</t>
  </si>
  <si>
    <t>RUN1_PART1-GCS/Manual</t>
  </si>
  <si>
    <t>RUN1_PART1 - GCS/Auto</t>
  </si>
  <si>
    <t>GCS/TuanN[/Ju/109]</t>
  </si>
  <si>
    <t>GCS/TuanN</t>
  </si>
  <si>
    <t>RUN1_PART1 - GCS/Manual</t>
  </si>
  <si>
    <t xml:space="preserve">GCS/LinhD[/Ju/106]
</t>
  </si>
  <si>
    <t xml:space="preserve">GCS/LinhD[/Ju/123] </t>
  </si>
  <si>
    <t xml:space="preserve">GCS/LinhD[/Ju/147] </t>
  </si>
  <si>
    <t xml:space="preserve">GCS/LinhD[/Ju/148] </t>
  </si>
  <si>
    <t>GCS/LinhD[/Ju/149]</t>
  </si>
  <si>
    <t xml:space="preserve">GCS/LinhD[/Ju/120]  </t>
  </si>
  <si>
    <t>GCS/LinhD[/Ju/153]</t>
  </si>
  <si>
    <t>GCS/Linh</t>
  </si>
  <si>
    <t>FR</t>
  </si>
  <si>
    <t>RCPTT memo
(RSD only)</t>
    <phoneticPr fontId="0"/>
  </si>
  <si>
    <t>test phase</t>
    <phoneticPr fontId="0"/>
  </si>
  <si>
    <t>status to be replaced</t>
    <phoneticPr fontId="0"/>
  </si>
  <si>
    <t>FR</t>
    <phoneticPr fontId="169"/>
  </si>
  <si>
    <t>not yet</t>
    <phoneticPr fontId="169"/>
  </si>
  <si>
    <t>done</t>
    <phoneticPr fontId="169"/>
  </si>
  <si>
    <t>not yet</t>
    <phoneticPr fontId="169"/>
  </si>
  <si>
    <t>5 fail (Known) due: IDE-9544</t>
  </si>
  <si>
    <t>Test result of V5.4 RUN1.</t>
  </si>
  <si>
    <t xml:space="preserve">RVC/Thuy Tran
</t>
  </si>
  <si>
    <t>Test preparation of V5.4 RUN2.</t>
  </si>
  <si>
    <t>GCS/QuangN</t>
  </si>
  <si>
    <t>e2studio_v5.4.0.005</t>
  </si>
  <si>
    <t>Extra step:
Check GCC GNU and KPIT GNURX-ELF toolchain are showed in "Available Version".
Please refer to  IDE-11653</t>
  </si>
  <si>
    <t>Extra step:
Check GCC GNU and KPIT GNURX-ELF toolchain are showed on 'Conversion properties'.
Please refer to  IDE-11654</t>
  </si>
  <si>
    <t xml:space="preserve">GCS/Muoi Nguyen
</t>
  </si>
  <si>
    <t>Test result of V5.4 RUN2.</t>
  </si>
  <si>
    <t xml:space="preserve">RVC/Thuy Tran
GCS/Muoi Nguyen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</si>
</sst>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0.0"/>
    <numFmt numFmtId="165" formatCode="#0"/>
    <numFmt numFmtId="166" formatCode="_ [$€-2]* #,##0.00_ ;_ [$€-2]* \-#,##0.00_ ;_ [$€-2]* \-??_ "/>
    <numFmt numFmtId="167" formatCode="mmm\ d&quot;, &quot;yyyy"/>
    <numFmt numFmtId="168" formatCode="_(* #,##0_);_(* \(#,##0\);_(* &quot;-&quot;??_);_(@_)"/>
  </numFmts>
  <fonts count="172">
    <font>
      <sz val="10"/>
      <color indexed="8"/>
      <name val="Arial"/>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charset val="1"/>
    </font>
    <font>
      <sz val="10"/>
      <color indexed="8"/>
      <name val="Arial"/>
      <family val="2"/>
    </font>
    <font>
      <sz val="10"/>
      <name val="Arial"/>
      <family val="2"/>
    </font>
    <font>
      <sz val="11"/>
      <color indexed="8"/>
      <name val="Calibri"/>
      <family val="2"/>
      <charset val="1"/>
    </font>
    <font>
      <sz val="10"/>
      <color indexed="12"/>
      <name val="Arial"/>
      <family val="2"/>
    </font>
    <font>
      <sz val="10"/>
      <name val="Arial"/>
      <family val="2"/>
      <charset val="1"/>
    </font>
    <font>
      <sz val="11"/>
      <name val="Calibri"/>
      <family val="2"/>
      <scheme val="minor"/>
    </font>
    <font>
      <sz val="10"/>
      <name val="Arial"/>
      <family val="2"/>
      <charset val="128"/>
    </font>
    <font>
      <sz val="10"/>
      <color indexed="10"/>
      <name val="Arial"/>
      <family val="2"/>
    </font>
    <font>
      <u/>
      <sz val="10"/>
      <color theme="10"/>
      <name val="Arial"/>
      <family val="2"/>
      <charset val="1"/>
    </font>
    <font>
      <u/>
      <sz val="10"/>
      <color indexed="12"/>
      <name val="Arial"/>
      <family val="2"/>
      <charset val="1"/>
    </font>
    <font>
      <sz val="9"/>
      <color indexed="81"/>
      <name val="Tahoma"/>
      <family val="2"/>
    </font>
    <font>
      <b/>
      <sz val="9"/>
      <color indexed="81"/>
      <name val="Tahoma"/>
      <family val="2"/>
    </font>
    <font>
      <sz val="11"/>
      <color indexed="8"/>
      <name val="Calibri"/>
      <family val="2"/>
    </font>
    <font>
      <sz val="11"/>
      <color indexed="8"/>
      <name val="Calibri"/>
      <family val="2"/>
      <charset val="128"/>
    </font>
    <font>
      <sz val="11"/>
      <color indexed="9"/>
      <name val="Calibri"/>
      <family val="2"/>
    </font>
    <font>
      <sz val="11"/>
      <color indexed="9"/>
      <name val="Calibri"/>
      <family val="2"/>
      <charset val="1"/>
    </font>
    <font>
      <sz val="11"/>
      <color indexed="9"/>
      <name val="Calibri"/>
      <family val="2"/>
      <charset val="128"/>
    </font>
    <font>
      <sz val="11"/>
      <color indexed="20"/>
      <name val="Calibri"/>
      <family val="2"/>
    </font>
    <font>
      <sz val="11"/>
      <color indexed="20"/>
      <name val="Calibri"/>
      <family val="2"/>
      <charset val="1"/>
    </font>
    <font>
      <sz val="11"/>
      <color indexed="20"/>
      <name val="Calibri"/>
      <family val="2"/>
      <charset val="128"/>
    </font>
    <font>
      <b/>
      <sz val="11"/>
      <color indexed="52"/>
      <name val="Calibri"/>
      <family val="2"/>
    </font>
    <font>
      <b/>
      <sz val="11"/>
      <color indexed="52"/>
      <name val="Calibri"/>
      <family val="2"/>
      <charset val="128"/>
    </font>
    <font>
      <b/>
      <sz val="11"/>
      <color indexed="52"/>
      <name val="Calibri"/>
      <family val="2"/>
      <charset val="1"/>
    </font>
    <font>
      <b/>
      <sz val="11"/>
      <color indexed="9"/>
      <name val="Calibri"/>
      <family val="2"/>
    </font>
    <font>
      <b/>
      <sz val="11"/>
      <color indexed="9"/>
      <name val="Calibri"/>
      <family val="2"/>
      <charset val="128"/>
    </font>
    <font>
      <b/>
      <sz val="11"/>
      <color indexed="9"/>
      <name val="Calibri"/>
      <family val="2"/>
      <charset val="1"/>
    </font>
    <font>
      <sz val="12"/>
      <name val="宋体"/>
    </font>
    <font>
      <sz val="12"/>
      <name val="宋体"/>
    </font>
    <font>
      <sz val="12"/>
      <name val="宋体"/>
    </font>
    <font>
      <sz val="8"/>
      <color indexed="8"/>
      <name val="Arial"/>
      <family val="2"/>
      <charset val="1"/>
    </font>
    <font>
      <sz val="11"/>
      <color indexed="10"/>
      <name val="Calibri"/>
      <family val="2"/>
    </font>
    <font>
      <i/>
      <sz val="11"/>
      <color indexed="23"/>
      <name val="Calibri"/>
      <family val="2"/>
    </font>
    <font>
      <i/>
      <sz val="11"/>
      <color indexed="23"/>
      <name val="Calibri"/>
      <family val="2"/>
      <charset val="1"/>
    </font>
    <font>
      <i/>
      <sz val="11"/>
      <color indexed="23"/>
      <name val="Calibri"/>
      <family val="2"/>
      <charset val="128"/>
    </font>
    <font>
      <sz val="10"/>
      <name val="ＭＳ Ｐゴシック"/>
      <family val="2"/>
      <charset val="128"/>
    </font>
    <font>
      <u/>
      <sz val="10"/>
      <color theme="11"/>
      <name val="Arial"/>
      <family val="2"/>
    </font>
    <font>
      <sz val="11"/>
      <color indexed="17"/>
      <name val="Calibri"/>
      <family val="2"/>
    </font>
    <font>
      <sz val="11"/>
      <color indexed="17"/>
      <name val="Calibri"/>
      <family val="2"/>
      <charset val="1"/>
    </font>
    <font>
      <sz val="11"/>
      <color indexed="17"/>
      <name val="Calibri"/>
      <family val="2"/>
      <charset val="128"/>
    </font>
    <font>
      <b/>
      <sz val="15"/>
      <color indexed="56"/>
      <name val="Calibri"/>
      <family val="2"/>
    </font>
    <font>
      <b/>
      <sz val="15"/>
      <color indexed="56"/>
      <name val="Calibri"/>
      <family val="2"/>
      <charset val="1"/>
    </font>
    <font>
      <b/>
      <sz val="15"/>
      <color indexed="56"/>
      <name val="Calibri"/>
      <family val="2"/>
      <charset val="128"/>
    </font>
    <font>
      <b/>
      <sz val="15"/>
      <color indexed="62"/>
      <name val="Calibri"/>
      <family val="2"/>
      <charset val="128"/>
    </font>
    <font>
      <b/>
      <sz val="15"/>
      <color indexed="62"/>
      <name val="Calibri"/>
      <family val="2"/>
    </font>
    <font>
      <b/>
      <sz val="13"/>
      <color indexed="56"/>
      <name val="Calibri"/>
      <family val="2"/>
    </font>
    <font>
      <b/>
      <sz val="13"/>
      <color indexed="56"/>
      <name val="Calibri"/>
      <family val="2"/>
      <charset val="1"/>
    </font>
    <font>
      <b/>
      <sz val="13"/>
      <color indexed="56"/>
      <name val="Calibri"/>
      <family val="2"/>
      <charset val="128"/>
    </font>
    <font>
      <b/>
      <sz val="13"/>
      <color indexed="62"/>
      <name val="Calibri"/>
      <family val="2"/>
      <charset val="128"/>
    </font>
    <font>
      <b/>
      <sz val="13"/>
      <color indexed="62"/>
      <name val="Calibri"/>
      <family val="2"/>
    </font>
    <font>
      <b/>
      <sz val="11"/>
      <color indexed="56"/>
      <name val="Calibri"/>
      <family val="2"/>
    </font>
    <font>
      <b/>
      <sz val="11"/>
      <color indexed="56"/>
      <name val="Calibri"/>
      <family val="2"/>
      <charset val="1"/>
    </font>
    <font>
      <b/>
      <sz val="11"/>
      <color indexed="56"/>
      <name val="Calibri"/>
      <family val="2"/>
      <charset val="128"/>
    </font>
    <font>
      <b/>
      <sz val="11"/>
      <color indexed="62"/>
      <name val="Calibri"/>
      <family val="2"/>
      <charset val="128"/>
    </font>
    <font>
      <b/>
      <sz val="11"/>
      <color indexed="62"/>
      <name val="Calibri"/>
      <family val="2"/>
    </font>
    <font>
      <u/>
      <sz val="10"/>
      <color indexed="12"/>
      <name val="ＭＳ Ｐゴシック"/>
      <family val="2"/>
      <charset val="128"/>
    </font>
    <font>
      <u/>
      <sz val="10"/>
      <color indexed="12"/>
      <name val="Arial"/>
      <family val="2"/>
    </font>
    <font>
      <u/>
      <sz val="8.5"/>
      <color indexed="12"/>
      <name val="Arial"/>
      <family val="2"/>
    </font>
    <font>
      <u/>
      <sz val="10"/>
      <color indexed="12"/>
      <name val="Arial"/>
      <family val="2"/>
      <charset val="128"/>
    </font>
    <font>
      <u/>
      <sz val="11"/>
      <color theme="10"/>
      <name val="Calibri"/>
      <family val="2"/>
    </font>
    <font>
      <u/>
      <sz val="11"/>
      <color theme="10"/>
      <name val="Calibri"/>
      <family val="2"/>
      <scheme val="minor"/>
    </font>
    <font>
      <u/>
      <sz val="11"/>
      <color indexed="12"/>
      <name val="Calibri"/>
      <family val="2"/>
    </font>
    <font>
      <u/>
      <sz val="11"/>
      <color indexed="12"/>
      <name val="Calibri"/>
      <family val="2"/>
      <charset val="128"/>
    </font>
    <font>
      <u/>
      <sz val="8"/>
      <color theme="10"/>
      <name val="Arial"/>
      <family val="2"/>
    </font>
    <font>
      <u/>
      <sz val="10"/>
      <color theme="10"/>
      <name val="Arial"/>
      <family val="2"/>
    </font>
    <font>
      <sz val="11"/>
      <color indexed="62"/>
      <name val="Calibri"/>
      <family val="2"/>
    </font>
    <font>
      <sz val="11"/>
      <color indexed="62"/>
      <name val="Calibri"/>
      <family val="2"/>
      <charset val="128"/>
    </font>
    <font>
      <sz val="11"/>
      <color indexed="62"/>
      <name val="Calibri"/>
      <family val="2"/>
      <charset val="1"/>
    </font>
    <font>
      <sz val="11"/>
      <color indexed="52"/>
      <name val="Calibri"/>
      <family val="2"/>
    </font>
    <font>
      <sz val="11"/>
      <color indexed="52"/>
      <name val="Calibri"/>
      <family val="2"/>
      <charset val="1"/>
    </font>
    <font>
      <sz val="11"/>
      <color indexed="52"/>
      <name val="Calibri"/>
      <family val="2"/>
      <charset val="128"/>
    </font>
    <font>
      <sz val="11"/>
      <color indexed="60"/>
      <name val="Calibri"/>
      <family val="2"/>
    </font>
    <font>
      <sz val="11"/>
      <color indexed="60"/>
      <name val="Calibri"/>
      <family val="2"/>
      <charset val="1"/>
    </font>
    <font>
      <sz val="11"/>
      <color indexed="60"/>
      <name val="Calibri"/>
      <family val="2"/>
      <charset val="128"/>
    </font>
    <font>
      <sz val="8"/>
      <color indexed="8"/>
      <name val="Arial"/>
      <family val="2"/>
    </font>
    <font>
      <sz val="12"/>
      <color theme="1"/>
      <name val="Times New Roman"/>
      <family val="2"/>
    </font>
    <font>
      <sz val="12"/>
      <name val="宋体"/>
    </font>
    <font>
      <sz val="11"/>
      <color indexed="8"/>
      <name val="Calibri"/>
      <family val="2"/>
      <scheme val="minor"/>
    </font>
    <font>
      <sz val="11"/>
      <color theme="1"/>
      <name val="Calibri"/>
      <family val="2"/>
    </font>
    <font>
      <sz val="11"/>
      <color indexed="8"/>
      <name val="ＭＳ Ｐゴシック"/>
      <family val="3"/>
      <charset val="128"/>
    </font>
    <font>
      <sz val="10"/>
      <name val="ＭＳ Ｐゴシック"/>
      <family val="2"/>
      <charset val="1"/>
    </font>
    <font>
      <sz val="10"/>
      <name val="ＭＳ Ｐゴシック"/>
      <family val="2"/>
    </font>
    <font>
      <sz val="11"/>
      <name val="ＭＳ Ｐゴシック"/>
      <family val="3"/>
      <charset val="128"/>
    </font>
    <font>
      <sz val="10"/>
      <color indexed="8"/>
      <name val="Arial"/>
      <family val="2"/>
      <charset val="128"/>
    </font>
    <font>
      <sz val="11"/>
      <color theme="1"/>
      <name val="Arial"/>
      <family val="2"/>
    </font>
    <font>
      <sz val="10"/>
      <color theme="1"/>
      <name val="Arial"/>
      <family val="2"/>
    </font>
    <font>
      <sz val="11"/>
      <color indexed="63"/>
      <name val="Calibri"/>
      <family val="2"/>
    </font>
    <font>
      <b/>
      <sz val="11"/>
      <color indexed="63"/>
      <name val="Calibri"/>
      <family val="2"/>
    </font>
    <font>
      <b/>
      <sz val="11"/>
      <color indexed="63"/>
      <name val="Calibri"/>
      <family val="2"/>
      <charset val="128"/>
    </font>
    <font>
      <b/>
      <sz val="11"/>
      <color indexed="63"/>
      <name val="Calibri"/>
      <family val="2"/>
      <charset val="1"/>
    </font>
    <font>
      <sz val="10"/>
      <color indexed="12"/>
      <name val="ＭＳ Ｐゴシック"/>
      <family val="2"/>
      <charset val="128"/>
    </font>
    <font>
      <u/>
      <sz val="10"/>
      <name val="ＭＳ Ｐゴシック"/>
      <family val="2"/>
      <charset val="128"/>
    </font>
    <font>
      <u/>
      <sz val="10"/>
      <name val="ＭＳ Ｐゴシック"/>
      <family val="3"/>
      <charset val="128"/>
    </font>
    <font>
      <u/>
      <sz val="10"/>
      <name val="ＭＳ Ｐゴシック"/>
      <family val="3"/>
      <charset val="1"/>
    </font>
    <font>
      <u/>
      <sz val="10"/>
      <name val="ＭＳ Ｐゴシック"/>
      <family val="3"/>
    </font>
    <font>
      <u/>
      <sz val="10"/>
      <name val="ＭＳ Ｐゴシック"/>
      <family val="2"/>
      <charset val="1"/>
    </font>
    <font>
      <u/>
      <sz val="10"/>
      <name val="ＭＳ Ｐゴシック"/>
      <family val="2"/>
    </font>
    <font>
      <b/>
      <sz val="18"/>
      <color indexed="56"/>
      <name val="Cambria"/>
      <family val="1"/>
    </font>
    <font>
      <b/>
      <sz val="18"/>
      <color indexed="56"/>
      <name val="Cambria"/>
      <family val="1"/>
      <charset val="1"/>
    </font>
    <font>
      <b/>
      <sz val="18"/>
      <color indexed="62"/>
      <name val="Cambria"/>
      <family val="1"/>
    </font>
    <font>
      <b/>
      <sz val="18"/>
      <color indexed="56"/>
      <name val="Cambria"/>
      <family val="1"/>
      <charset val="128"/>
    </font>
    <font>
      <b/>
      <sz val="18"/>
      <color indexed="62"/>
      <name val="Cambria"/>
      <family val="2"/>
    </font>
    <font>
      <b/>
      <sz val="11"/>
      <color indexed="8"/>
      <name val="Calibri"/>
      <family val="2"/>
    </font>
    <font>
      <b/>
      <sz val="11"/>
      <color indexed="8"/>
      <name val="Calibri"/>
      <family val="2"/>
      <charset val="1"/>
    </font>
    <font>
      <b/>
      <sz val="11"/>
      <color indexed="8"/>
      <name val="Calibri"/>
      <family val="2"/>
      <charset val="128"/>
    </font>
    <font>
      <sz val="10"/>
      <color indexed="57"/>
      <name val="Arial"/>
      <family val="2"/>
      <charset val="1"/>
    </font>
    <font>
      <sz val="10"/>
      <color indexed="57"/>
      <name val="Arial"/>
      <family val="2"/>
    </font>
    <font>
      <sz val="10"/>
      <color indexed="10"/>
      <name val="Arial"/>
      <family val="2"/>
      <charset val="1"/>
    </font>
    <font>
      <sz val="10"/>
      <color indexed="12"/>
      <name val="Arial"/>
      <family val="2"/>
      <charset val="128"/>
    </font>
    <font>
      <sz val="10"/>
      <color indexed="12"/>
      <name val="Arial"/>
      <family val="2"/>
      <charset val="1"/>
    </font>
    <font>
      <b/>
      <sz val="10"/>
      <color indexed="12"/>
      <name val="Arial"/>
      <family val="2"/>
      <charset val="1"/>
    </font>
    <font>
      <sz val="11"/>
      <color indexed="10"/>
      <name val="Calibri"/>
      <family val="2"/>
      <charset val="1"/>
    </font>
    <font>
      <sz val="11"/>
      <color indexed="10"/>
      <name val="Calibri"/>
      <family val="2"/>
      <charset val="128"/>
    </font>
    <font>
      <sz val="11"/>
      <name val="ＭＳ Ｐゴシック"/>
      <family val="3"/>
      <charset val="1"/>
    </font>
    <font>
      <sz val="11"/>
      <name val="ＭＳ Ｐゴシック"/>
      <family val="3"/>
    </font>
    <font>
      <sz val="11"/>
      <color indexed="8"/>
      <name val="Calibri"/>
      <family val="3"/>
      <charset val="128"/>
    </font>
    <font>
      <sz val="11"/>
      <color indexed="8"/>
      <name val="Calibri"/>
      <family val="3"/>
      <charset val="1"/>
    </font>
    <font>
      <sz val="11"/>
      <color indexed="8"/>
      <name val="Calibri"/>
      <family val="3"/>
    </font>
    <font>
      <u/>
      <sz val="12"/>
      <color indexed="12"/>
      <name val="宋体"/>
    </font>
    <font>
      <u/>
      <sz val="12"/>
      <color indexed="12"/>
      <name val="宋体"/>
    </font>
    <font>
      <u/>
      <sz val="12"/>
      <color indexed="12"/>
      <name val="宋体"/>
    </font>
    <font>
      <sz val="11"/>
      <color indexed="9"/>
      <name val="Calibri"/>
      <family val="2"/>
      <scheme val="minor"/>
    </font>
    <font>
      <b/>
      <sz val="16"/>
      <color indexed="12"/>
      <name val="Calibri"/>
      <family val="2"/>
      <scheme val="minor"/>
    </font>
    <font>
      <sz val="16"/>
      <name val="Calibri"/>
      <family val="2"/>
      <scheme val="minor"/>
    </font>
    <font>
      <sz val="16"/>
      <color indexed="8"/>
      <name val="Calibri"/>
      <family val="2"/>
      <scheme val="minor"/>
    </font>
    <font>
      <b/>
      <sz val="11"/>
      <name val="Calibri"/>
      <family val="2"/>
      <scheme val="minor"/>
    </font>
    <font>
      <b/>
      <sz val="16"/>
      <color rgb="FF0000FF"/>
      <name val="Calibri"/>
      <family val="2"/>
      <scheme val="minor"/>
    </font>
    <font>
      <b/>
      <sz val="11"/>
      <color rgb="FF0000FF"/>
      <name val="Calibri"/>
      <family val="2"/>
      <scheme val="minor"/>
    </font>
    <font>
      <b/>
      <sz val="11"/>
      <color indexed="8"/>
      <name val="Calibri"/>
      <family val="2"/>
      <scheme val="minor"/>
    </font>
    <font>
      <sz val="10"/>
      <name val="Arial"/>
      <family val="2"/>
    </font>
    <font>
      <sz val="11"/>
      <color indexed="17"/>
      <name val="Calibri"/>
      <family val="2"/>
      <scheme val="minor"/>
    </font>
    <font>
      <u/>
      <sz val="11"/>
      <color indexed="12"/>
      <name val="Calibri"/>
      <family val="2"/>
      <scheme val="minor"/>
    </font>
    <font>
      <sz val="11"/>
      <color indexed="12"/>
      <name val="Calibri"/>
      <family val="2"/>
      <scheme val="minor"/>
    </font>
    <font>
      <sz val="11"/>
      <color indexed="10"/>
      <name val="Calibri"/>
      <family val="2"/>
      <scheme val="minor"/>
    </font>
    <font>
      <b/>
      <sz val="11"/>
      <color indexed="10"/>
      <name val="Calibri"/>
      <family val="2"/>
      <scheme val="minor"/>
    </font>
    <font>
      <sz val="11"/>
      <color indexed="30"/>
      <name val="Calibri"/>
      <family val="2"/>
      <scheme val="minor"/>
    </font>
    <font>
      <strike/>
      <sz val="11"/>
      <name val="Calibri"/>
      <family val="2"/>
      <scheme val="minor"/>
    </font>
    <font>
      <sz val="11"/>
      <color indexed="40"/>
      <name val="Calibri"/>
      <family val="2"/>
      <scheme val="minor"/>
    </font>
    <font>
      <sz val="11"/>
      <color rgb="FF0000FF"/>
      <name val="Calibri"/>
      <family val="2"/>
      <scheme val="minor"/>
    </font>
    <font>
      <strike/>
      <sz val="11"/>
      <color indexed="10"/>
      <name val="Calibri"/>
      <family val="2"/>
      <scheme val="minor"/>
    </font>
    <font>
      <strike/>
      <sz val="11"/>
      <color indexed="8"/>
      <name val="Calibri"/>
      <family val="2"/>
      <scheme val="minor"/>
    </font>
    <font>
      <i/>
      <sz val="11"/>
      <name val="Calibri"/>
      <family val="2"/>
      <scheme val="minor"/>
    </font>
    <font>
      <b/>
      <sz val="11"/>
      <color indexed="30"/>
      <name val="Calibri"/>
      <family val="2"/>
      <scheme val="minor"/>
    </font>
    <font>
      <b/>
      <sz val="11"/>
      <color rgb="FFFF0000"/>
      <name val="Calibri"/>
      <family val="2"/>
      <scheme val="minor"/>
    </font>
    <font>
      <sz val="11"/>
      <color theme="0" tint="-0.499984740745262"/>
      <name val="Calibri"/>
      <family val="2"/>
      <scheme val="minor"/>
    </font>
    <font>
      <sz val="11"/>
      <name val="Calibri"/>
      <family val="2"/>
    </font>
    <font>
      <sz val="11"/>
      <color rgb="FF060ABA"/>
      <name val="Calibri"/>
      <family val="2"/>
      <scheme val="minor"/>
    </font>
    <font>
      <sz val="6"/>
      <name val="ＭＳ Ｐゴシック"/>
      <family val="3"/>
      <charset val="128"/>
    </font>
    <font>
      <b/>
      <sz val="11"/>
      <color rgb="FFFF0000"/>
      <name val="Calibri"/>
      <family val="3"/>
      <charset val="128"/>
      <scheme val="minor"/>
    </font>
    <font>
      <b/>
      <sz val="12"/>
      <color rgb="FF0000FF"/>
      <name val="Times New Roman"/>
      <family val="1"/>
    </font>
  </fonts>
  <fills count="88">
    <fill>
      <patternFill patternType="none"/>
    </fill>
    <fill>
      <patternFill patternType="gray125"/>
    </fill>
    <fill>
      <patternFill patternType="solid">
        <fgColor rgb="FFFFC7CE"/>
      </patternFill>
    </fill>
    <fill>
      <patternFill patternType="solid">
        <fgColor rgb="FFFFCC99"/>
      </patternFill>
    </fill>
    <fill>
      <patternFill patternType="solid">
        <fgColor rgb="FFA5A5A5"/>
      </patternFill>
    </fill>
    <fill>
      <patternFill patternType="solid">
        <fgColor rgb="FFFFFFCC"/>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8"/>
      </patternFill>
    </fill>
    <fill>
      <patternFill patternType="solid">
        <fgColor theme="9"/>
      </patternFill>
    </fill>
    <fill>
      <patternFill patternType="solid">
        <fgColor theme="9" tint="0.79998168889431442"/>
        <bgColor indexed="65"/>
      </patternFill>
    </fill>
    <fill>
      <patternFill patternType="solid">
        <fgColor rgb="FFFFFF00"/>
        <bgColor indexed="64"/>
      </patternFill>
    </fill>
    <fill>
      <patternFill patternType="solid">
        <fgColor indexed="42"/>
        <bgColor indexed="41"/>
      </patternFill>
    </fill>
    <fill>
      <patternFill patternType="solid">
        <fgColor indexed="13"/>
        <bgColor indexed="64"/>
      </patternFill>
    </fill>
    <fill>
      <patternFill patternType="solid">
        <fgColor theme="0" tint="-0.34998626667073579"/>
        <bgColor indexed="64"/>
      </patternFill>
    </fill>
    <fill>
      <patternFill patternType="solid">
        <fgColor indexed="27"/>
        <bgColor indexed="41"/>
      </patternFill>
    </fill>
    <fill>
      <patternFill patternType="solid">
        <fgColor indexed="47"/>
        <bgColor indexed="31"/>
      </patternFill>
    </fill>
    <fill>
      <patternFill patternType="solid">
        <fgColor indexed="26"/>
        <bgColor indexed="9"/>
      </patternFill>
    </fill>
    <fill>
      <patternFill patternType="solid">
        <fgColor indexed="22"/>
        <bgColor indexed="64"/>
      </patternFill>
    </fill>
    <fill>
      <patternFill patternType="solid">
        <fgColor indexed="43"/>
        <bgColor indexed="64"/>
      </patternFill>
    </fill>
    <fill>
      <patternFill patternType="solid">
        <fgColor indexed="31"/>
        <bgColor indexed="40"/>
      </patternFill>
    </fill>
    <fill>
      <patternFill patternType="solid">
        <fgColor indexed="31"/>
        <bgColor indexed="22"/>
      </patternFill>
    </fill>
    <fill>
      <patternFill patternType="solid">
        <fgColor indexed="41"/>
        <bgColor indexed="42"/>
      </patternFill>
    </fill>
    <fill>
      <patternFill patternType="solid">
        <fgColor indexed="41"/>
      </patternFill>
    </fill>
    <fill>
      <patternFill patternType="solid">
        <fgColor indexed="45"/>
        <bgColor indexed="29"/>
      </patternFill>
    </fill>
    <fill>
      <patternFill patternType="solid">
        <fgColor indexed="47"/>
      </patternFill>
    </fill>
    <fill>
      <patternFill patternType="solid">
        <fgColor indexed="42"/>
        <bgColor indexed="27"/>
      </patternFill>
    </fill>
    <fill>
      <patternFill patternType="solid">
        <fgColor indexed="26"/>
      </patternFill>
    </fill>
    <fill>
      <patternFill patternType="solid">
        <fgColor indexed="46"/>
        <bgColor indexed="45"/>
      </patternFill>
    </fill>
    <fill>
      <patternFill patternType="solid">
        <fgColor indexed="46"/>
        <bgColor indexed="22"/>
      </patternFill>
    </fill>
    <fill>
      <patternFill patternType="solid">
        <fgColor indexed="46"/>
        <bgColor indexed="24"/>
      </patternFill>
    </fill>
    <fill>
      <patternFill patternType="solid">
        <fgColor indexed="9"/>
        <bgColor indexed="26"/>
      </patternFill>
    </fill>
    <fill>
      <patternFill patternType="solid">
        <fgColor indexed="9"/>
      </patternFill>
    </fill>
    <fill>
      <patternFill patternType="solid">
        <fgColor indexed="27"/>
        <bgColor indexed="42"/>
      </patternFill>
    </fill>
    <fill>
      <patternFill patternType="solid">
        <fgColor indexed="47"/>
        <bgColor indexed="40"/>
      </patternFill>
    </fill>
    <fill>
      <patternFill patternType="solid">
        <fgColor indexed="47"/>
        <bgColor indexed="22"/>
      </patternFill>
    </fill>
    <fill>
      <patternFill patternType="solid">
        <fgColor indexed="44"/>
        <bgColor indexed="31"/>
      </patternFill>
    </fill>
    <fill>
      <patternFill patternType="solid">
        <fgColor indexed="44"/>
        <bgColor indexed="24"/>
      </patternFill>
    </fill>
    <fill>
      <patternFill patternType="solid">
        <fgColor indexed="29"/>
        <bgColor indexed="45"/>
      </patternFill>
    </fill>
    <fill>
      <patternFill patternType="solid">
        <fgColor indexed="11"/>
        <bgColor indexed="49"/>
      </patternFill>
    </fill>
    <fill>
      <patternFill patternType="solid">
        <fgColor indexed="31"/>
      </patternFill>
    </fill>
    <fill>
      <patternFill patternType="solid">
        <fgColor indexed="51"/>
        <bgColor indexed="61"/>
      </patternFill>
    </fill>
    <fill>
      <patternFill patternType="solid">
        <fgColor indexed="51"/>
        <bgColor indexed="13"/>
      </patternFill>
    </fill>
    <fill>
      <patternFill patternType="solid">
        <fgColor indexed="30"/>
        <bgColor indexed="21"/>
      </patternFill>
    </fill>
    <fill>
      <patternFill patternType="solid">
        <fgColor indexed="43"/>
        <bgColor indexed="13"/>
      </patternFill>
    </fill>
    <fill>
      <patternFill patternType="solid">
        <fgColor indexed="43"/>
      </patternFill>
    </fill>
    <fill>
      <patternFill patternType="solid">
        <fgColor indexed="20"/>
        <bgColor indexed="36"/>
      </patternFill>
    </fill>
    <fill>
      <patternFill patternType="solid">
        <fgColor indexed="46"/>
      </patternFill>
    </fill>
    <fill>
      <patternFill patternType="solid">
        <fgColor indexed="49"/>
        <bgColor indexed="57"/>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49"/>
      </patternFill>
    </fill>
    <fill>
      <patternFill patternType="solid">
        <fgColor indexed="10"/>
        <bgColor indexed="25"/>
      </patternFill>
    </fill>
    <fill>
      <patternFill patternType="solid">
        <fgColor indexed="10"/>
        <bgColor indexed="60"/>
      </patternFill>
    </fill>
    <fill>
      <patternFill patternType="solid">
        <fgColor indexed="57"/>
        <bgColor indexed="54"/>
      </patternFill>
    </fill>
    <fill>
      <patternFill patternType="solid">
        <fgColor indexed="57"/>
        <bgColor indexed="21"/>
      </patternFill>
    </fill>
    <fill>
      <patternFill patternType="solid">
        <fgColor indexed="54"/>
        <bgColor indexed="23"/>
      </patternFill>
    </fill>
    <fill>
      <patternFill patternType="solid">
        <fgColor indexed="54"/>
      </patternFill>
    </fill>
    <fill>
      <patternFill patternType="solid">
        <fgColor indexed="53"/>
        <bgColor indexed="52"/>
      </patternFill>
    </fill>
    <fill>
      <patternFill patternType="solid">
        <fgColor indexed="14"/>
      </patternFill>
    </fill>
    <fill>
      <patternFill patternType="solid">
        <fgColor indexed="22"/>
        <bgColor indexed="40"/>
      </patternFill>
    </fill>
    <fill>
      <patternFill patternType="solid">
        <fgColor indexed="22"/>
        <bgColor indexed="31"/>
      </patternFill>
    </fill>
    <fill>
      <patternFill patternType="solid">
        <fgColor indexed="55"/>
        <bgColor indexed="24"/>
      </patternFill>
    </fill>
    <fill>
      <patternFill patternType="solid">
        <fgColor indexed="55"/>
        <bgColor indexed="23"/>
      </patternFill>
    </fill>
    <fill>
      <patternFill patternType="solid">
        <fgColor indexed="13"/>
        <bgColor indexed="34"/>
      </patternFill>
    </fill>
    <fill>
      <patternFill patternType="solid">
        <fgColor indexed="43"/>
        <bgColor indexed="26"/>
      </patternFill>
    </fill>
    <fill>
      <patternFill patternType="solid">
        <fgColor indexed="12"/>
        <bgColor indexed="39"/>
      </patternFill>
    </fill>
    <fill>
      <patternFill patternType="solid">
        <fgColor indexed="50"/>
        <bgColor indexed="51"/>
      </patternFill>
    </fill>
    <fill>
      <patternFill patternType="solid">
        <fgColor indexed="15"/>
        <bgColor indexed="35"/>
      </patternFill>
    </fill>
    <fill>
      <patternFill patternType="solid">
        <fgColor indexed="46"/>
        <bgColor indexed="42"/>
      </patternFill>
    </fill>
    <fill>
      <patternFill patternType="solid">
        <fgColor rgb="FFCCFFFF"/>
        <bgColor indexed="41"/>
      </patternFill>
    </fill>
    <fill>
      <patternFill patternType="solid">
        <fgColor theme="6"/>
        <bgColor indexed="41"/>
      </patternFill>
    </fill>
    <fill>
      <patternFill patternType="solid">
        <fgColor rgb="FFFFFFCC"/>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CCFFFF"/>
        <bgColor indexed="31"/>
      </patternFill>
    </fill>
    <fill>
      <patternFill patternType="solid">
        <fgColor theme="3"/>
        <bgColor indexed="64"/>
      </patternFill>
    </fill>
    <fill>
      <patternFill patternType="solid">
        <fgColor rgb="FFCCFFCC"/>
        <bgColor indexed="64"/>
      </patternFill>
    </fill>
    <fill>
      <patternFill patternType="solid">
        <fgColor rgb="FFCCFFCC"/>
        <bgColor indexed="41"/>
      </patternFill>
    </fill>
    <fill>
      <patternFill patternType="solid">
        <fgColor theme="5" tint="0.39997558519241921"/>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9" tint="0.39997558519241921"/>
        <bgColor indexed="64"/>
      </patternFill>
    </fill>
  </fills>
  <borders count="4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indexed="41"/>
      </bottom>
      <diagonal/>
    </border>
    <border>
      <left/>
      <right/>
      <top/>
      <bottom style="medium">
        <color indexed="30"/>
      </bottom>
      <diagonal/>
    </border>
    <border>
      <left/>
      <right/>
      <top/>
      <bottom style="medium">
        <color indexed="4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46"/>
      </left>
      <right style="thin">
        <color indexed="46"/>
      </right>
      <top style="thin">
        <color indexed="46"/>
      </top>
      <bottom style="thin">
        <color indexed="46"/>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hair">
        <color indexed="8"/>
      </left>
      <right style="hair">
        <color indexed="8"/>
      </right>
      <top style="hair">
        <color indexed="8"/>
      </top>
      <bottom style="hair">
        <color indexed="8"/>
      </bottom>
      <diagonal/>
    </border>
    <border>
      <left style="thin">
        <color indexed="64"/>
      </left>
      <right/>
      <top style="thin">
        <color indexed="64"/>
      </top>
      <bottom/>
      <diagonal/>
    </border>
    <border>
      <left/>
      <right style="thick">
        <color indexed="64"/>
      </right>
      <top style="thin">
        <color indexed="64"/>
      </top>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ck">
        <color auto="1"/>
      </left>
      <right/>
      <top/>
      <bottom/>
      <diagonal/>
    </border>
    <border>
      <left style="thin">
        <color indexed="64"/>
      </left>
      <right/>
      <top style="thin">
        <color indexed="64"/>
      </top>
      <bottom style="medium">
        <color indexed="64"/>
      </bottom>
      <diagonal/>
    </border>
  </borders>
  <cellStyleXfs count="12421">
    <xf numFmtId="166" fontId="0" fillId="0" borderId="0">
      <alignment horizontal="center" vertical="center"/>
    </xf>
    <xf numFmtId="43" fontId="22" fillId="0" borderId="0" applyFont="0" applyFill="0" applyBorder="0" applyAlignment="0" applyProtection="0"/>
    <xf numFmtId="166" fontId="25" fillId="0" borderId="0"/>
    <xf numFmtId="166" fontId="9" fillId="0" borderId="0"/>
    <xf numFmtId="166" fontId="22" fillId="0" borderId="0">
      <alignment horizontal="center" vertical="center"/>
    </xf>
    <xf numFmtId="166" fontId="22" fillId="0" borderId="0">
      <alignment horizontal="center" vertical="center"/>
    </xf>
    <xf numFmtId="43" fontId="24" fillId="0" borderId="0" applyFill="0" applyBorder="0" applyAlignment="0" applyProtection="0"/>
    <xf numFmtId="166" fontId="35" fillId="22" borderId="0" applyProtection="0">
      <alignment vertical="center"/>
    </xf>
    <xf numFmtId="166" fontId="36" fillId="23" borderId="0" applyProtection="0">
      <alignment vertical="center"/>
    </xf>
    <xf numFmtId="166" fontId="36" fillId="23"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3"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25" fillId="23"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3"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5" fillId="22" borderId="0" applyProtection="0">
      <alignment vertical="center"/>
    </xf>
    <xf numFmtId="166" fontId="36" fillId="24" borderId="0" applyBorder="0" applyProtection="0">
      <alignment horizontal="center" vertical="center"/>
    </xf>
    <xf numFmtId="166" fontId="35"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24" borderId="0" applyBorder="0" applyProtection="0">
      <alignment horizontal="center" vertical="center"/>
    </xf>
    <xf numFmtId="166" fontId="36"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2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5" fillId="26" borderId="0" applyProtection="0">
      <alignment vertical="center"/>
    </xf>
    <xf numFmtId="166" fontId="36" fillId="26" borderId="0" applyProtection="0">
      <alignment vertical="center"/>
    </xf>
    <xf numFmtId="166" fontId="36" fillId="26" borderId="0" applyProtection="0">
      <alignment vertical="center"/>
    </xf>
    <xf numFmtId="166" fontId="36" fillId="18" borderId="0" applyBorder="0" applyProtection="0">
      <alignment horizontal="center" vertical="center"/>
    </xf>
    <xf numFmtId="166" fontId="35" fillId="18" borderId="0" applyBorder="0" applyProtection="0">
      <alignment horizontal="center" vertical="center"/>
    </xf>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35" fillId="18" borderId="0" applyBorder="0" applyProtection="0">
      <alignment horizontal="center" vertical="center"/>
    </xf>
    <xf numFmtId="166" fontId="36" fillId="18" borderId="0" applyBorder="0" applyProtection="0">
      <alignment horizontal="center" vertical="center"/>
    </xf>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14" borderId="0" applyProtection="0">
      <alignment vertical="center"/>
    </xf>
    <xf numFmtId="166" fontId="35" fillId="14"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2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5" fillId="28" borderId="0" applyProtection="0">
      <alignment vertical="center"/>
    </xf>
    <xf numFmtId="166" fontId="36" fillId="14" borderId="0" applyProtection="0">
      <alignment vertical="center"/>
    </xf>
    <xf numFmtId="166" fontId="36" fillId="14" borderId="0" applyProtection="0">
      <alignment vertical="center"/>
    </xf>
    <xf numFmtId="166" fontId="36" fillId="19" borderId="0" applyBorder="0" applyProtection="0">
      <alignment horizontal="center" vertical="center"/>
    </xf>
    <xf numFmtId="166" fontId="35" fillId="19" borderId="0" applyBorder="0" applyProtection="0">
      <alignment horizontal="center" vertical="center"/>
    </xf>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35" fillId="19" borderId="0" applyBorder="0" applyProtection="0">
      <alignment horizontal="center" vertical="center"/>
    </xf>
    <xf numFmtId="166" fontId="36" fillId="19" borderId="0" applyBorder="0" applyProtection="0">
      <alignment horizontal="center" vertical="center"/>
    </xf>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35" fillId="30" borderId="0" applyProtection="0">
      <alignment vertical="center"/>
    </xf>
    <xf numFmtId="166" fontId="36" fillId="31" borderId="0" applyProtection="0">
      <alignment vertical="center"/>
    </xf>
    <xf numFmtId="166" fontId="36" fillId="31" borderId="0" applyProtection="0">
      <alignment vertical="center"/>
    </xf>
    <xf numFmtId="166" fontId="35" fillId="30" borderId="0" applyProtection="0">
      <alignment vertical="center"/>
    </xf>
    <xf numFmtId="166" fontId="35" fillId="31"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1"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6" fillId="33" borderId="0" applyBorder="0" applyProtection="0">
      <alignment horizontal="center" vertical="center"/>
    </xf>
    <xf numFmtId="166" fontId="35" fillId="33" borderId="0" applyBorder="0" applyProtection="0">
      <alignment horizontal="center" vertical="center"/>
    </xf>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35" fillId="33" borderId="0" applyBorder="0" applyProtection="0">
      <alignment horizontal="center" vertical="center"/>
    </xf>
    <xf numFmtId="166" fontId="36" fillId="33" borderId="0" applyBorder="0" applyProtection="0">
      <alignment horizontal="center" vertical="center"/>
    </xf>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9" fillId="34" borderId="0" applyNumberFormat="0" applyBorder="0" applyAlignment="0" applyProtection="0"/>
    <xf numFmtId="166" fontId="35" fillId="35" borderId="0" applyProtection="0">
      <alignment vertical="center"/>
    </xf>
    <xf numFmtId="166" fontId="36" fillId="17" borderId="0" applyProtection="0">
      <alignment vertical="center"/>
    </xf>
    <xf numFmtId="166" fontId="36" fillId="17"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17"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25" fillId="17"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17"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5" fillId="35" borderId="0" applyProtection="0">
      <alignment vertical="center"/>
    </xf>
    <xf numFmtId="166" fontId="36" fillId="24" borderId="0" applyBorder="0" applyProtection="0">
      <alignment horizontal="center" vertical="center"/>
    </xf>
    <xf numFmtId="166" fontId="35"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24" borderId="0" applyBorder="0" applyProtection="0">
      <alignment horizontal="center" vertical="center"/>
    </xf>
    <xf numFmtId="166" fontId="36"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36" borderId="0" applyProtection="0">
      <alignment vertical="center"/>
    </xf>
    <xf numFmtId="166" fontId="36" fillId="18" borderId="0" applyProtection="0">
      <alignment vertical="center"/>
    </xf>
    <xf numFmtId="166" fontId="36" fillId="18" borderId="0" applyProtection="0">
      <alignment vertical="center"/>
    </xf>
    <xf numFmtId="166" fontId="35" fillId="36" borderId="0" applyProtection="0">
      <alignment vertical="center"/>
    </xf>
    <xf numFmtId="166" fontId="35" fillId="18"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18"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25" fillId="37"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7"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5" fillId="36" borderId="0" applyProtection="0">
      <alignment vertical="center"/>
    </xf>
    <xf numFmtId="166" fontId="36" fillId="18" borderId="0" applyBorder="0" applyProtection="0">
      <alignment horizontal="center" vertical="center"/>
    </xf>
    <xf numFmtId="166" fontId="35" fillId="18" borderId="0" applyBorder="0" applyProtection="0">
      <alignment horizontal="center" vertical="center"/>
    </xf>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35" fillId="18" borderId="0" applyBorder="0" applyProtection="0">
      <alignment horizontal="center" vertical="center"/>
    </xf>
    <xf numFmtId="166" fontId="36" fillId="18" borderId="0" applyBorder="0" applyProtection="0">
      <alignment horizontal="center" vertical="center"/>
    </xf>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9" fillId="12" borderId="0" applyNumberFormat="0" applyBorder="0" applyAlignment="0" applyProtection="0"/>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9" borderId="0" applyProtection="0">
      <alignment vertical="center"/>
    </xf>
    <xf numFmtId="166" fontId="35" fillId="39"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6" fillId="39" borderId="0" applyProtection="0">
      <alignment vertical="center"/>
    </xf>
    <xf numFmtId="166" fontId="36" fillId="39" borderId="0" applyProtection="0">
      <alignment vertical="center"/>
    </xf>
    <xf numFmtId="166" fontId="36" fillId="24" borderId="0" applyBorder="0" applyProtection="0">
      <alignment horizontal="center" vertical="center"/>
    </xf>
    <xf numFmtId="166" fontId="35"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24" borderId="0" applyBorder="0" applyProtection="0">
      <alignment horizontal="center" vertical="center"/>
    </xf>
    <xf numFmtId="166" fontId="36"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2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5" fillId="40" borderId="0" applyProtection="0">
      <alignment vertical="center"/>
    </xf>
    <xf numFmtId="166" fontId="36" fillId="40" borderId="0" applyProtection="0">
      <alignment vertical="center"/>
    </xf>
    <xf numFmtId="166" fontId="36" fillId="40" borderId="0" applyProtection="0">
      <alignment vertical="center"/>
    </xf>
    <xf numFmtId="166" fontId="36" fillId="40" borderId="0" applyBorder="0" applyProtection="0">
      <alignment horizontal="center" vertical="center"/>
    </xf>
    <xf numFmtId="166" fontId="35" fillId="40" borderId="0" applyBorder="0" applyProtection="0">
      <alignment horizontal="center" vertical="center"/>
    </xf>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35" fillId="40" borderId="0" applyBorder="0" applyProtection="0">
      <alignment horizontal="center" vertical="center"/>
    </xf>
    <xf numFmtId="166" fontId="36" fillId="40" borderId="0" applyBorder="0" applyProtection="0">
      <alignment horizontal="center" vertical="center"/>
    </xf>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9" fillId="7" borderId="0" applyNumberFormat="0" applyBorder="0" applyAlignment="0" applyProtection="0"/>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2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5" fillId="41" borderId="0" applyProtection="0">
      <alignment vertical="center"/>
    </xf>
    <xf numFmtId="166" fontId="36" fillId="41" borderId="0" applyProtection="0">
      <alignment vertical="center"/>
    </xf>
    <xf numFmtId="166" fontId="36" fillId="41" borderId="0" applyProtection="0">
      <alignment vertical="center"/>
    </xf>
    <xf numFmtId="166" fontId="36" fillId="19" borderId="0" applyBorder="0" applyProtection="0">
      <alignment horizontal="center" vertical="center"/>
    </xf>
    <xf numFmtId="166" fontId="35" fillId="19" borderId="0" applyBorder="0" applyProtection="0">
      <alignment horizontal="center" vertical="center"/>
    </xf>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35" fillId="19" borderId="0" applyBorder="0" applyProtection="0">
      <alignment horizontal="center" vertical="center"/>
    </xf>
    <xf numFmtId="166" fontId="36" fillId="19" borderId="0" applyBorder="0" applyProtection="0">
      <alignment horizontal="center" vertical="center"/>
    </xf>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9" fillId="29" borderId="0" applyNumberFormat="0" applyBorder="0" applyAlignment="0" applyProtection="0"/>
    <xf numFmtId="166" fontId="35" fillId="30" borderId="0" applyProtection="0">
      <alignment vertical="center"/>
    </xf>
    <xf numFmtId="166" fontId="36" fillId="31" borderId="0" applyProtection="0">
      <alignment vertical="center"/>
    </xf>
    <xf numFmtId="166" fontId="36" fillId="31" borderId="0" applyProtection="0">
      <alignment vertical="center"/>
    </xf>
    <xf numFmtId="166" fontId="35" fillId="30" borderId="0" applyProtection="0">
      <alignment vertical="center"/>
    </xf>
    <xf numFmtId="166" fontId="35" fillId="31"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1"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2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2"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5" fillId="30" borderId="0" applyProtection="0">
      <alignment vertical="center"/>
    </xf>
    <xf numFmtId="166" fontId="36" fillId="23" borderId="0" applyBorder="0" applyProtection="0">
      <alignment horizontal="center" vertical="center"/>
    </xf>
    <xf numFmtId="166" fontId="35" fillId="23" borderId="0" applyBorder="0" applyProtection="0">
      <alignment horizontal="center" vertical="center"/>
    </xf>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35" fillId="23" borderId="0" applyBorder="0" applyProtection="0">
      <alignment horizontal="center" vertical="center"/>
    </xf>
    <xf numFmtId="166" fontId="36" fillId="23" borderId="0" applyBorder="0" applyProtection="0">
      <alignment horizontal="center" vertical="center"/>
    </xf>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9" fillId="42" borderId="0" applyNumberFormat="0" applyBorder="0" applyAlignment="0" applyProtection="0"/>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9" borderId="0" applyProtection="0">
      <alignment vertical="center"/>
    </xf>
    <xf numFmtId="166" fontId="35" fillId="39"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2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5" fillId="38" borderId="0" applyProtection="0">
      <alignment vertical="center"/>
    </xf>
    <xf numFmtId="166" fontId="36" fillId="39" borderId="0" applyProtection="0">
      <alignment vertical="center"/>
    </xf>
    <xf numFmtId="166" fontId="36" fillId="39" borderId="0" applyProtection="0">
      <alignment vertical="center"/>
    </xf>
    <xf numFmtId="166" fontId="36" fillId="24" borderId="0" applyBorder="0" applyProtection="0">
      <alignment horizontal="center" vertical="center"/>
    </xf>
    <xf numFmtId="166" fontId="35"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24" borderId="0" applyBorder="0" applyProtection="0">
      <alignment horizontal="center" vertical="center"/>
    </xf>
    <xf numFmtId="166" fontId="36" fillId="24" borderId="0" applyBorder="0" applyProtection="0">
      <alignment horizontal="center" vertical="center"/>
    </xf>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9" fillId="25" borderId="0" applyNumberFormat="0" applyBorder="0" applyAlignment="0" applyProtection="0"/>
    <xf numFmtId="166" fontId="35" fillId="43" borderId="0" applyProtection="0">
      <alignment vertical="center"/>
    </xf>
    <xf numFmtId="166" fontId="36" fillId="44" borderId="0" applyProtection="0">
      <alignment vertical="center"/>
    </xf>
    <xf numFmtId="166" fontId="36" fillId="44"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4"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25" fillId="44"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4"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5" fillId="43" borderId="0" applyProtection="0">
      <alignment vertical="center"/>
    </xf>
    <xf numFmtId="166" fontId="36" fillId="18" borderId="0" applyBorder="0" applyProtection="0">
      <alignment horizontal="center" vertical="center"/>
    </xf>
    <xf numFmtId="166" fontId="35" fillId="18" borderId="0" applyBorder="0" applyProtection="0">
      <alignment horizontal="center" vertical="center"/>
    </xf>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35" fillId="18" borderId="0" applyBorder="0" applyProtection="0">
      <alignment horizontal="center" vertical="center"/>
    </xf>
    <xf numFmtId="166" fontId="36" fillId="18" borderId="0" applyBorder="0" applyProtection="0">
      <alignment horizontal="center" vertical="center"/>
    </xf>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9" fillId="27" borderId="0" applyNumberFormat="0" applyBorder="0" applyAlignment="0" applyProtection="0"/>
    <xf numFmtId="166" fontId="37" fillId="45" borderId="0" applyProtection="0">
      <alignment vertical="center"/>
    </xf>
    <xf numFmtId="166" fontId="37"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7" fillId="45" borderId="0" applyProtection="0">
      <alignment vertical="center"/>
    </xf>
    <xf numFmtId="166" fontId="37" fillId="45" borderId="0" applyProtection="0">
      <alignment vertical="center"/>
    </xf>
    <xf numFmtId="166" fontId="37"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8" fillId="45" borderId="0" applyProtection="0">
      <alignment vertical="center"/>
    </xf>
    <xf numFmtId="166" fontId="37" fillId="45" borderId="0" applyProtection="0">
      <alignment vertical="center"/>
    </xf>
    <xf numFmtId="166" fontId="37" fillId="45" borderId="0" applyProtection="0">
      <alignment vertical="center"/>
    </xf>
    <xf numFmtId="166" fontId="37" fillId="45" borderId="0" applyProtection="0">
      <alignment vertical="center"/>
    </xf>
    <xf numFmtId="166" fontId="37" fillId="45" borderId="0" applyProtection="0">
      <alignment vertical="center"/>
    </xf>
    <xf numFmtId="166" fontId="37" fillId="45" borderId="0" applyProtection="0">
      <alignment vertical="center"/>
    </xf>
    <xf numFmtId="166" fontId="39" fillId="45" borderId="0" applyProtection="0">
      <alignment vertical="center"/>
    </xf>
    <xf numFmtId="166" fontId="39" fillId="45" borderId="0" applyProtection="0">
      <alignment vertical="center"/>
    </xf>
    <xf numFmtId="166" fontId="39" fillId="24" borderId="0" applyBorder="0" applyProtection="0">
      <alignment horizontal="center" vertical="center"/>
    </xf>
    <xf numFmtId="166" fontId="37" fillId="24" borderId="0" applyBorder="0" applyProtection="0">
      <alignment horizontal="center" vertical="center"/>
    </xf>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37" fillId="24" borderId="0" applyBorder="0" applyProtection="0">
      <alignment horizontal="center" vertical="center"/>
    </xf>
    <xf numFmtId="166" fontId="39" fillId="24" borderId="0" applyBorder="0" applyProtection="0">
      <alignment horizontal="center" vertical="center"/>
    </xf>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37" fillId="40" borderId="0" applyProtection="0">
      <alignment vertical="center"/>
    </xf>
    <xf numFmtId="166" fontId="37"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7" fillId="40" borderId="0" applyProtection="0">
      <alignment vertical="center"/>
    </xf>
    <xf numFmtId="166" fontId="37" fillId="40" borderId="0" applyProtection="0">
      <alignment vertical="center"/>
    </xf>
    <xf numFmtId="166" fontId="37"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8" fillId="40" borderId="0" applyProtection="0">
      <alignment vertical="center"/>
    </xf>
    <xf numFmtId="166" fontId="37" fillId="40" borderId="0" applyProtection="0">
      <alignment vertical="center"/>
    </xf>
    <xf numFmtId="166" fontId="37" fillId="40" borderId="0" applyProtection="0">
      <alignment vertical="center"/>
    </xf>
    <xf numFmtId="166" fontId="37" fillId="40" borderId="0" applyProtection="0">
      <alignment vertical="center"/>
    </xf>
    <xf numFmtId="166" fontId="37" fillId="40" borderId="0" applyProtection="0">
      <alignment vertical="center"/>
    </xf>
    <xf numFmtId="166" fontId="37" fillId="40" borderId="0" applyProtection="0">
      <alignment vertical="center"/>
    </xf>
    <xf numFmtId="166" fontId="39" fillId="40" borderId="0" applyProtection="0">
      <alignment vertical="center"/>
    </xf>
    <xf numFmtId="166" fontId="39" fillId="40" borderId="0" applyProtection="0">
      <alignment vertical="center"/>
    </xf>
    <xf numFmtId="166" fontId="39" fillId="40" borderId="0" applyBorder="0" applyProtection="0">
      <alignment horizontal="center" vertical="center"/>
    </xf>
    <xf numFmtId="166" fontId="37" fillId="40" borderId="0" applyBorder="0" applyProtection="0">
      <alignment horizontal="center" vertical="center"/>
    </xf>
    <xf numFmtId="166" fontId="21" fillId="8" borderId="0" applyNumberFormat="0" applyBorder="0" applyAlignment="0" applyProtection="0"/>
    <xf numFmtId="166" fontId="21" fillId="8" borderId="0" applyNumberFormat="0" applyBorder="0" applyAlignment="0" applyProtection="0"/>
    <xf numFmtId="166" fontId="21" fillId="8" borderId="0" applyNumberFormat="0" applyBorder="0" applyAlignment="0" applyProtection="0"/>
    <xf numFmtId="166" fontId="21" fillId="8" borderId="0" applyNumberFormat="0" applyBorder="0" applyAlignment="0" applyProtection="0"/>
    <xf numFmtId="166" fontId="37" fillId="40" borderId="0" applyBorder="0" applyProtection="0">
      <alignment horizontal="center" vertical="center"/>
    </xf>
    <xf numFmtId="166" fontId="39" fillId="40" borderId="0" applyBorder="0" applyProtection="0">
      <alignment horizontal="center" vertical="center"/>
    </xf>
    <xf numFmtId="166" fontId="21" fillId="8" borderId="0" applyNumberFormat="0" applyBorder="0" applyAlignment="0" applyProtection="0"/>
    <xf numFmtId="166" fontId="21" fillId="8" borderId="0" applyNumberFormat="0" applyBorder="0" applyAlignment="0" applyProtection="0"/>
    <xf numFmtId="166" fontId="21" fillId="8" borderId="0" applyNumberFormat="0" applyBorder="0" applyAlignment="0" applyProtection="0"/>
    <xf numFmtId="166" fontId="21" fillId="8" borderId="0" applyNumberFormat="0" applyBorder="0" applyAlignment="0" applyProtection="0"/>
    <xf numFmtId="166" fontId="21" fillId="8" borderId="0" applyNumberFormat="0" applyBorder="0" applyAlignment="0" applyProtection="0"/>
    <xf numFmtId="166" fontId="21" fillId="8" borderId="0" applyNumberFormat="0" applyBorder="0" applyAlignment="0" applyProtection="0"/>
    <xf numFmtId="166" fontId="37" fillId="41" borderId="0" applyProtection="0">
      <alignment vertical="center"/>
    </xf>
    <xf numFmtId="166" fontId="37"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7" fillId="41" borderId="0" applyProtection="0">
      <alignment vertical="center"/>
    </xf>
    <xf numFmtId="166" fontId="37" fillId="41" borderId="0" applyProtection="0">
      <alignment vertical="center"/>
    </xf>
    <xf numFmtId="166" fontId="37"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8" fillId="41" borderId="0" applyProtection="0">
      <alignment vertical="center"/>
    </xf>
    <xf numFmtId="166" fontId="37" fillId="41" borderId="0" applyProtection="0">
      <alignment vertical="center"/>
    </xf>
    <xf numFmtId="166" fontId="37" fillId="41" borderId="0" applyProtection="0">
      <alignment vertical="center"/>
    </xf>
    <xf numFmtId="166" fontId="37" fillId="41" borderId="0" applyProtection="0">
      <alignment vertical="center"/>
    </xf>
    <xf numFmtId="166" fontId="37" fillId="41" borderId="0" applyProtection="0">
      <alignment vertical="center"/>
    </xf>
    <xf numFmtId="166" fontId="37" fillId="41" borderId="0" applyProtection="0">
      <alignment vertical="center"/>
    </xf>
    <xf numFmtId="166" fontId="39" fillId="41" borderId="0" applyProtection="0">
      <alignment vertical="center"/>
    </xf>
    <xf numFmtId="166" fontId="39" fillId="41" borderId="0" applyProtection="0">
      <alignment vertical="center"/>
    </xf>
    <xf numFmtId="166" fontId="39" fillId="46" borderId="0" applyBorder="0" applyProtection="0">
      <alignment horizontal="center" vertical="center"/>
    </xf>
    <xf numFmtId="166" fontId="37" fillId="46" borderId="0" applyBorder="0" applyProtection="0">
      <alignment horizontal="center" vertical="center"/>
    </xf>
    <xf numFmtId="166" fontId="21" fillId="47" borderId="0" applyNumberFormat="0" applyBorder="0" applyAlignment="0" applyProtection="0"/>
    <xf numFmtId="166" fontId="21" fillId="47" borderId="0" applyNumberFormat="0" applyBorder="0" applyAlignment="0" applyProtection="0"/>
    <xf numFmtId="166" fontId="21" fillId="47" borderId="0" applyNumberFormat="0" applyBorder="0" applyAlignment="0" applyProtection="0"/>
    <xf numFmtId="166" fontId="21" fillId="47" borderId="0" applyNumberFormat="0" applyBorder="0" applyAlignment="0" applyProtection="0"/>
    <xf numFmtId="166" fontId="37" fillId="46" borderId="0" applyBorder="0" applyProtection="0">
      <alignment horizontal="center" vertical="center"/>
    </xf>
    <xf numFmtId="166" fontId="39" fillId="46" borderId="0" applyBorder="0" applyProtection="0">
      <alignment horizontal="center" vertical="center"/>
    </xf>
    <xf numFmtId="166" fontId="21" fillId="47" borderId="0" applyNumberFormat="0" applyBorder="0" applyAlignment="0" applyProtection="0"/>
    <xf numFmtId="166" fontId="21" fillId="47" borderId="0" applyNumberFormat="0" applyBorder="0" applyAlignment="0" applyProtection="0"/>
    <xf numFmtId="166" fontId="21" fillId="47" borderId="0" applyNumberFormat="0" applyBorder="0" applyAlignment="0" applyProtection="0"/>
    <xf numFmtId="166" fontId="21" fillId="47" borderId="0" applyNumberFormat="0" applyBorder="0" applyAlignment="0" applyProtection="0"/>
    <xf numFmtId="166" fontId="21" fillId="47" borderId="0" applyNumberFormat="0" applyBorder="0" applyAlignment="0" applyProtection="0"/>
    <xf numFmtId="166" fontId="21" fillId="47" borderId="0" applyNumberFormat="0" applyBorder="0" applyAlignment="0" applyProtection="0"/>
    <xf numFmtId="166" fontId="37" fillId="48" borderId="0" applyProtection="0">
      <alignment vertical="center"/>
    </xf>
    <xf numFmtId="166" fontId="37"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9" fillId="48" borderId="0" applyProtection="0">
      <alignment vertical="center"/>
    </xf>
    <xf numFmtId="166" fontId="39" fillId="48" borderId="0" applyProtection="0">
      <alignment vertical="center"/>
    </xf>
    <xf numFmtId="166" fontId="39" fillId="31" borderId="0" applyBorder="0" applyProtection="0">
      <alignment horizontal="center" vertical="center"/>
    </xf>
    <xf numFmtId="166" fontId="37" fillId="31" borderId="0" applyBorder="0" applyProtection="0">
      <alignment horizontal="center" vertical="center"/>
    </xf>
    <xf numFmtId="166" fontId="21" fillId="49" borderId="0" applyNumberFormat="0" applyBorder="0" applyAlignment="0" applyProtection="0"/>
    <xf numFmtId="166" fontId="21" fillId="49" borderId="0" applyNumberFormat="0" applyBorder="0" applyAlignment="0" applyProtection="0"/>
    <xf numFmtId="166" fontId="21" fillId="49" borderId="0" applyNumberFormat="0" applyBorder="0" applyAlignment="0" applyProtection="0"/>
    <xf numFmtId="166" fontId="21" fillId="49" borderId="0" applyNumberFormat="0" applyBorder="0" applyAlignment="0" applyProtection="0"/>
    <xf numFmtId="166" fontId="37" fillId="31" borderId="0" applyBorder="0" applyProtection="0">
      <alignment horizontal="center" vertical="center"/>
    </xf>
    <xf numFmtId="166" fontId="39" fillId="31" borderId="0" applyBorder="0" applyProtection="0">
      <alignment horizontal="center" vertical="center"/>
    </xf>
    <xf numFmtId="166" fontId="21" fillId="49" borderId="0" applyNumberFormat="0" applyBorder="0" applyAlignment="0" applyProtection="0"/>
    <xf numFmtId="166" fontId="21" fillId="49" borderId="0" applyNumberFormat="0" applyBorder="0" applyAlignment="0" applyProtection="0"/>
    <xf numFmtId="166" fontId="21" fillId="49" borderId="0" applyNumberFormat="0" applyBorder="0" applyAlignment="0" applyProtection="0"/>
    <xf numFmtId="166" fontId="21" fillId="49" borderId="0" applyNumberFormat="0" applyBorder="0" applyAlignment="0" applyProtection="0"/>
    <xf numFmtId="166" fontId="21" fillId="49" borderId="0" applyNumberFormat="0" applyBorder="0" applyAlignment="0" applyProtection="0"/>
    <xf numFmtId="166" fontId="21" fillId="49" borderId="0" applyNumberFormat="0" applyBorder="0" applyAlignment="0" applyProtection="0"/>
    <xf numFmtId="166" fontId="37" fillId="50" borderId="0" applyProtection="0">
      <alignment vertical="center"/>
    </xf>
    <xf numFmtId="166" fontId="39" fillId="51" borderId="0" applyProtection="0">
      <alignment vertical="center"/>
    </xf>
    <xf numFmtId="166" fontId="39" fillId="51" borderId="0" applyProtection="0">
      <alignment vertical="center"/>
    </xf>
    <xf numFmtId="166" fontId="37"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7" fillId="50" borderId="0" applyProtection="0">
      <alignment vertical="center"/>
    </xf>
    <xf numFmtId="166" fontId="37" fillId="50"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9" fillId="24" borderId="0" applyBorder="0" applyProtection="0">
      <alignment horizontal="center" vertical="center"/>
    </xf>
    <xf numFmtId="166" fontId="37" fillId="24" borderId="0" applyBorder="0" applyProtection="0">
      <alignment horizontal="center" vertical="center"/>
    </xf>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37" fillId="24" borderId="0" applyBorder="0" applyProtection="0">
      <alignment horizontal="center" vertical="center"/>
    </xf>
    <xf numFmtId="166" fontId="39" fillId="24" borderId="0" applyBorder="0" applyProtection="0">
      <alignment horizontal="center" vertical="center"/>
    </xf>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21" fillId="25" borderId="0" applyNumberFormat="0" applyBorder="0" applyAlignment="0" applyProtection="0"/>
    <xf numFmtId="166" fontId="37" fillId="52" borderId="0" applyProtection="0">
      <alignment vertical="center"/>
    </xf>
    <xf numFmtId="166" fontId="37"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7" fillId="52" borderId="0" applyProtection="0">
      <alignment vertical="center"/>
    </xf>
    <xf numFmtId="166" fontId="37" fillId="52" borderId="0" applyProtection="0">
      <alignment vertical="center"/>
    </xf>
    <xf numFmtId="166" fontId="37"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8" fillId="52" borderId="0" applyProtection="0">
      <alignment vertical="center"/>
    </xf>
    <xf numFmtId="166" fontId="37" fillId="52" borderId="0" applyProtection="0">
      <alignment vertical="center"/>
    </xf>
    <xf numFmtId="166" fontId="37" fillId="52" borderId="0" applyProtection="0">
      <alignment vertical="center"/>
    </xf>
    <xf numFmtId="166" fontId="37" fillId="52" borderId="0" applyProtection="0">
      <alignment vertical="center"/>
    </xf>
    <xf numFmtId="166" fontId="37" fillId="52" borderId="0" applyProtection="0">
      <alignment vertical="center"/>
    </xf>
    <xf numFmtId="166" fontId="37" fillId="52" borderId="0" applyProtection="0">
      <alignment vertical="center"/>
    </xf>
    <xf numFmtId="166" fontId="39" fillId="52" borderId="0" applyProtection="0">
      <alignment vertical="center"/>
    </xf>
    <xf numFmtId="166" fontId="39" fillId="52" borderId="0" applyProtection="0">
      <alignment vertical="center"/>
    </xf>
    <xf numFmtId="166" fontId="39" fillId="18" borderId="0" applyBorder="0" applyProtection="0">
      <alignment horizontal="center" vertical="center"/>
    </xf>
    <xf numFmtId="166" fontId="37" fillId="18" borderId="0" applyBorder="0" applyProtection="0">
      <alignment horizontal="center" vertical="center"/>
    </xf>
    <xf numFmtId="166" fontId="21" fillId="27" borderId="0" applyNumberFormat="0" applyBorder="0" applyAlignment="0" applyProtection="0"/>
    <xf numFmtId="166" fontId="21" fillId="27" borderId="0" applyNumberFormat="0" applyBorder="0" applyAlignment="0" applyProtection="0"/>
    <xf numFmtId="166" fontId="21" fillId="27" borderId="0" applyNumberFormat="0" applyBorder="0" applyAlignment="0" applyProtection="0"/>
    <xf numFmtId="166" fontId="21" fillId="27" borderId="0" applyNumberFormat="0" applyBorder="0" applyAlignment="0" applyProtection="0"/>
    <xf numFmtId="166" fontId="37" fillId="18" borderId="0" applyBorder="0" applyProtection="0">
      <alignment horizontal="center" vertical="center"/>
    </xf>
    <xf numFmtId="166" fontId="39" fillId="18" borderId="0" applyBorder="0" applyProtection="0">
      <alignment horizontal="center" vertical="center"/>
    </xf>
    <xf numFmtId="166" fontId="21" fillId="27" borderId="0" applyNumberFormat="0" applyBorder="0" applyAlignment="0" applyProtection="0"/>
    <xf numFmtId="166" fontId="21" fillId="27" borderId="0" applyNumberFormat="0" applyBorder="0" applyAlignment="0" applyProtection="0"/>
    <xf numFmtId="166" fontId="21" fillId="27" borderId="0" applyNumberFormat="0" applyBorder="0" applyAlignment="0" applyProtection="0"/>
    <xf numFmtId="166" fontId="21" fillId="27" borderId="0" applyNumberFormat="0" applyBorder="0" applyAlignment="0" applyProtection="0"/>
    <xf numFmtId="166" fontId="21" fillId="27" borderId="0" applyNumberFormat="0" applyBorder="0" applyAlignment="0" applyProtection="0"/>
    <xf numFmtId="166" fontId="21" fillId="27" borderId="0" applyNumberFormat="0" applyBorder="0" applyAlignment="0" applyProtection="0"/>
    <xf numFmtId="166" fontId="37" fillId="53" borderId="0" applyProtection="0">
      <alignment vertical="center"/>
    </xf>
    <xf numFmtId="166" fontId="37"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7" fillId="53" borderId="0" applyProtection="0">
      <alignment vertical="center"/>
    </xf>
    <xf numFmtId="166" fontId="37" fillId="53" borderId="0" applyProtection="0">
      <alignment vertical="center"/>
    </xf>
    <xf numFmtId="166" fontId="37"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8" fillId="53" borderId="0" applyProtection="0">
      <alignment vertical="center"/>
    </xf>
    <xf numFmtId="166" fontId="37" fillId="53" borderId="0" applyProtection="0">
      <alignment vertical="center"/>
    </xf>
    <xf numFmtId="166" fontId="37" fillId="53" borderId="0" applyProtection="0">
      <alignment vertical="center"/>
    </xf>
    <xf numFmtId="166" fontId="37" fillId="53" borderId="0" applyProtection="0">
      <alignment vertical="center"/>
    </xf>
    <xf numFmtId="166" fontId="37" fillId="53" borderId="0" applyProtection="0">
      <alignment vertical="center"/>
    </xf>
    <xf numFmtId="166" fontId="37" fillId="53" borderId="0" applyProtection="0">
      <alignment vertical="center"/>
    </xf>
    <xf numFmtId="166" fontId="39" fillId="53" borderId="0" applyProtection="0">
      <alignment vertical="center"/>
    </xf>
    <xf numFmtId="166" fontId="39" fillId="53" borderId="0" applyProtection="0">
      <alignment vertical="center"/>
    </xf>
    <xf numFmtId="166" fontId="39" fillId="51" borderId="0" applyBorder="0" applyProtection="0">
      <alignment horizontal="center" vertical="center"/>
    </xf>
    <xf numFmtId="166" fontId="37" fillId="51" borderId="0" applyBorder="0" applyProtection="0">
      <alignment horizontal="center" vertical="center"/>
    </xf>
    <xf numFmtId="166" fontId="21" fillId="54" borderId="0" applyNumberFormat="0" applyBorder="0" applyAlignment="0" applyProtection="0"/>
    <xf numFmtId="166" fontId="21" fillId="54" borderId="0" applyNumberFormat="0" applyBorder="0" applyAlignment="0" applyProtection="0"/>
    <xf numFmtId="166" fontId="21" fillId="54" borderId="0" applyNumberFormat="0" applyBorder="0" applyAlignment="0" applyProtection="0"/>
    <xf numFmtId="166" fontId="21" fillId="54" borderId="0" applyNumberFormat="0" applyBorder="0" applyAlignment="0" applyProtection="0"/>
    <xf numFmtId="166" fontId="37" fillId="51" borderId="0" applyBorder="0" applyProtection="0">
      <alignment horizontal="center" vertical="center"/>
    </xf>
    <xf numFmtId="166" fontId="39" fillId="51" borderId="0" applyBorder="0" applyProtection="0">
      <alignment horizontal="center" vertical="center"/>
    </xf>
    <xf numFmtId="166" fontId="21" fillId="54" borderId="0" applyNumberFormat="0" applyBorder="0" applyAlignment="0" applyProtection="0"/>
    <xf numFmtId="166" fontId="21" fillId="54" borderId="0" applyNumberFormat="0" applyBorder="0" applyAlignment="0" applyProtection="0"/>
    <xf numFmtId="166" fontId="21" fillId="54" borderId="0" applyNumberFormat="0" applyBorder="0" applyAlignment="0" applyProtection="0"/>
    <xf numFmtId="166" fontId="21" fillId="54" borderId="0" applyNumberFormat="0" applyBorder="0" applyAlignment="0" applyProtection="0"/>
    <xf numFmtId="166" fontId="21" fillId="54" borderId="0" applyNumberFormat="0" applyBorder="0" applyAlignment="0" applyProtection="0"/>
    <xf numFmtId="166" fontId="21" fillId="54" borderId="0" applyNumberFormat="0" applyBorder="0" applyAlignment="0" applyProtection="0"/>
    <xf numFmtId="166" fontId="37" fillId="55" borderId="0" applyProtection="0">
      <alignment vertical="center"/>
    </xf>
    <xf numFmtId="166" fontId="39" fillId="56" borderId="0" applyProtection="0">
      <alignment vertical="center"/>
    </xf>
    <xf numFmtId="166" fontId="39" fillId="56" borderId="0" applyProtection="0">
      <alignment vertical="center"/>
    </xf>
    <xf numFmtId="166" fontId="37"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7" fillId="55" borderId="0" applyProtection="0">
      <alignment vertical="center"/>
    </xf>
    <xf numFmtId="166" fontId="37" fillId="55"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8" fillId="56"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6"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37" fillId="55" borderId="0" applyProtection="0">
      <alignment vertical="center"/>
    </xf>
    <xf numFmtId="166" fontId="21" fillId="6" borderId="0" applyNumberFormat="0" applyBorder="0" applyAlignment="0" applyProtection="0"/>
    <xf numFmtId="166" fontId="21" fillId="6" borderId="0" applyNumberFormat="0" applyBorder="0" applyAlignment="0" applyProtection="0"/>
    <xf numFmtId="166" fontId="37" fillId="55" borderId="0" applyProtection="0">
      <alignment vertical="center"/>
    </xf>
    <xf numFmtId="166" fontId="37" fillId="55" borderId="0" applyProtection="0">
      <alignment vertical="center"/>
    </xf>
    <xf numFmtId="166" fontId="39" fillId="56" borderId="0" applyBorder="0" applyProtection="0">
      <alignment horizontal="center" vertical="center"/>
    </xf>
    <xf numFmtId="166" fontId="37" fillId="56" borderId="0" applyBorder="0" applyProtection="0">
      <alignment horizontal="center" vertical="center"/>
    </xf>
    <xf numFmtId="166" fontId="21" fillId="6" borderId="0" applyNumberFormat="0" applyBorder="0" applyAlignment="0" applyProtection="0"/>
    <xf numFmtId="166" fontId="21" fillId="6" borderId="0" applyNumberFormat="0" applyBorder="0" applyAlignment="0" applyProtection="0"/>
    <xf numFmtId="166" fontId="21" fillId="6" borderId="0" applyNumberFormat="0" applyBorder="0" applyAlignment="0" applyProtection="0"/>
    <xf numFmtId="166" fontId="21" fillId="6" borderId="0" applyNumberFormat="0" applyBorder="0" applyAlignment="0" applyProtection="0"/>
    <xf numFmtId="166" fontId="37" fillId="56" borderId="0" applyBorder="0" applyProtection="0">
      <alignment horizontal="center" vertical="center"/>
    </xf>
    <xf numFmtId="166" fontId="39" fillId="56" borderId="0" applyBorder="0" applyProtection="0">
      <alignment horizontal="center" vertical="center"/>
    </xf>
    <xf numFmtId="166" fontId="21" fillId="6" borderId="0" applyNumberFormat="0" applyBorder="0" applyAlignment="0" applyProtection="0"/>
    <xf numFmtId="166" fontId="21" fillId="6" borderId="0" applyNumberFormat="0" applyBorder="0" applyAlignment="0" applyProtection="0"/>
    <xf numFmtId="166" fontId="21" fillId="6" borderId="0" applyNumberFormat="0" applyBorder="0" applyAlignment="0" applyProtection="0"/>
    <xf numFmtId="166" fontId="21" fillId="6" borderId="0" applyNumberFormat="0" applyBorder="0" applyAlignment="0" applyProtection="0"/>
    <xf numFmtId="166" fontId="21" fillId="6" borderId="0" applyNumberFormat="0" applyBorder="0" applyAlignment="0" applyProtection="0"/>
    <xf numFmtId="166" fontId="21" fillId="6" borderId="0" applyNumberFormat="0" applyBorder="0" applyAlignment="0" applyProtection="0"/>
    <xf numFmtId="166" fontId="37" fillId="57" borderId="0" applyProtection="0">
      <alignment vertical="center"/>
    </xf>
    <xf numFmtId="166" fontId="39" fillId="58" borderId="0" applyProtection="0">
      <alignment vertical="center"/>
    </xf>
    <xf numFmtId="166" fontId="39" fillId="58" borderId="0" applyProtection="0">
      <alignment vertical="center"/>
    </xf>
    <xf numFmtId="166" fontId="37"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7" fillId="57" borderId="0" applyProtection="0">
      <alignment vertical="center"/>
    </xf>
    <xf numFmtId="166" fontId="37" fillId="57"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8" fillId="58"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8"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7" fillId="57" borderId="0" applyProtection="0">
      <alignment vertical="center"/>
    </xf>
    <xf numFmtId="166" fontId="39" fillId="58" borderId="0" applyBorder="0" applyProtection="0">
      <alignment horizontal="center" vertical="center"/>
    </xf>
    <xf numFmtId="166" fontId="37" fillId="58" borderId="0" applyBorder="0" applyProtection="0">
      <alignment horizontal="center" vertical="center"/>
    </xf>
    <xf numFmtId="166" fontId="21" fillId="9" borderId="0" applyNumberFormat="0" applyBorder="0" applyAlignment="0" applyProtection="0"/>
    <xf numFmtId="166" fontId="21" fillId="9" borderId="0" applyNumberFormat="0" applyBorder="0" applyAlignment="0" applyProtection="0"/>
    <xf numFmtId="166" fontId="21" fillId="9" borderId="0" applyNumberFormat="0" applyBorder="0" applyAlignment="0" applyProtection="0"/>
    <xf numFmtId="166" fontId="21" fillId="9" borderId="0" applyNumberFormat="0" applyBorder="0" applyAlignment="0" applyProtection="0"/>
    <xf numFmtId="166" fontId="37" fillId="58" borderId="0" applyBorder="0" applyProtection="0">
      <alignment horizontal="center" vertical="center"/>
    </xf>
    <xf numFmtId="166" fontId="39" fillId="58" borderId="0" applyBorder="0" applyProtection="0">
      <alignment horizontal="center" vertical="center"/>
    </xf>
    <xf numFmtId="166" fontId="21" fillId="9" borderId="0" applyNumberFormat="0" applyBorder="0" applyAlignment="0" applyProtection="0"/>
    <xf numFmtId="166" fontId="21" fillId="9" borderId="0" applyNumberFormat="0" applyBorder="0" applyAlignment="0" applyProtection="0"/>
    <xf numFmtId="166" fontId="21" fillId="9" borderId="0" applyNumberFormat="0" applyBorder="0" applyAlignment="0" applyProtection="0"/>
    <xf numFmtId="166" fontId="21" fillId="9" borderId="0" applyNumberFormat="0" applyBorder="0" applyAlignment="0" applyProtection="0"/>
    <xf numFmtId="166" fontId="21" fillId="9" borderId="0" applyNumberFormat="0" applyBorder="0" applyAlignment="0" applyProtection="0"/>
    <xf numFmtId="166" fontId="21" fillId="9" borderId="0" applyNumberFormat="0" applyBorder="0" applyAlignment="0" applyProtection="0"/>
    <xf numFmtId="166" fontId="37" fillId="48" borderId="0" applyProtection="0">
      <alignment vertical="center"/>
    </xf>
    <xf numFmtId="166" fontId="37"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8"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7" fillId="48" borderId="0" applyProtection="0">
      <alignment vertical="center"/>
    </xf>
    <xf numFmtId="166" fontId="39" fillId="48" borderId="0" applyProtection="0">
      <alignment vertical="center"/>
    </xf>
    <xf numFmtId="166" fontId="39" fillId="48" borderId="0" applyProtection="0">
      <alignment vertical="center"/>
    </xf>
    <xf numFmtId="166" fontId="39" fillId="59" borderId="0" applyBorder="0" applyProtection="0">
      <alignment horizontal="center" vertical="center"/>
    </xf>
    <xf numFmtId="166" fontId="37" fillId="59" borderId="0" applyBorder="0" applyProtection="0">
      <alignment horizontal="center" vertical="center"/>
    </xf>
    <xf numFmtId="166" fontId="21" fillId="60" borderId="0" applyNumberFormat="0" applyBorder="0" applyAlignment="0" applyProtection="0"/>
    <xf numFmtId="166" fontId="21" fillId="60" borderId="0" applyNumberFormat="0" applyBorder="0" applyAlignment="0" applyProtection="0"/>
    <xf numFmtId="166" fontId="21" fillId="60" borderId="0" applyNumberFormat="0" applyBorder="0" applyAlignment="0" applyProtection="0"/>
    <xf numFmtId="166" fontId="21" fillId="60" borderId="0" applyNumberFormat="0" applyBorder="0" applyAlignment="0" applyProtection="0"/>
    <xf numFmtId="166" fontId="37" fillId="59" borderId="0" applyBorder="0" applyProtection="0">
      <alignment horizontal="center" vertical="center"/>
    </xf>
    <xf numFmtId="166" fontId="39" fillId="59" borderId="0" applyBorder="0" applyProtection="0">
      <alignment horizontal="center" vertical="center"/>
    </xf>
    <xf numFmtId="166" fontId="21" fillId="60" borderId="0" applyNumberFormat="0" applyBorder="0" applyAlignment="0" applyProtection="0"/>
    <xf numFmtId="166" fontId="21" fillId="60" borderId="0" applyNumberFormat="0" applyBorder="0" applyAlignment="0" applyProtection="0"/>
    <xf numFmtId="166" fontId="21" fillId="60" borderId="0" applyNumberFormat="0" applyBorder="0" applyAlignment="0" applyProtection="0"/>
    <xf numFmtId="166" fontId="21" fillId="60" borderId="0" applyNumberFormat="0" applyBorder="0" applyAlignment="0" applyProtection="0"/>
    <xf numFmtId="166" fontId="21" fillId="60" borderId="0" applyNumberFormat="0" applyBorder="0" applyAlignment="0" applyProtection="0"/>
    <xf numFmtId="166" fontId="21" fillId="60" borderId="0" applyNumberFormat="0" applyBorder="0" applyAlignment="0" applyProtection="0"/>
    <xf numFmtId="166" fontId="37" fillId="50" borderId="0" applyProtection="0">
      <alignment vertical="center"/>
    </xf>
    <xf numFmtId="166" fontId="39" fillId="51" borderId="0" applyProtection="0">
      <alignment vertical="center"/>
    </xf>
    <xf numFmtId="166" fontId="39" fillId="51" borderId="0" applyProtection="0">
      <alignment vertical="center"/>
    </xf>
    <xf numFmtId="166" fontId="37"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7" fillId="50" borderId="0" applyProtection="0">
      <alignment vertical="center"/>
    </xf>
    <xf numFmtId="166" fontId="37" fillId="50"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8" fillId="51"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1"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7" fillId="50" borderId="0" applyProtection="0">
      <alignment vertical="center"/>
    </xf>
    <xf numFmtId="166" fontId="39" fillId="51" borderId="0" applyBorder="0" applyProtection="0">
      <alignment horizontal="center" vertical="center"/>
    </xf>
    <xf numFmtId="166" fontId="37" fillId="51" borderId="0" applyBorder="0" applyProtection="0">
      <alignment horizontal="center" vertical="center"/>
    </xf>
    <xf numFmtId="166" fontId="21" fillId="10" borderId="0" applyNumberFormat="0" applyBorder="0" applyAlignment="0" applyProtection="0"/>
    <xf numFmtId="166" fontId="21" fillId="10" borderId="0" applyNumberFormat="0" applyBorder="0" applyAlignment="0" applyProtection="0"/>
    <xf numFmtId="166" fontId="21" fillId="10" borderId="0" applyNumberFormat="0" applyBorder="0" applyAlignment="0" applyProtection="0"/>
    <xf numFmtId="166" fontId="21" fillId="10" borderId="0" applyNumberFormat="0" applyBorder="0" applyAlignment="0" applyProtection="0"/>
    <xf numFmtId="166" fontId="37" fillId="51" borderId="0" applyBorder="0" applyProtection="0">
      <alignment horizontal="center" vertical="center"/>
    </xf>
    <xf numFmtId="166" fontId="39" fillId="51" borderId="0" applyBorder="0" applyProtection="0">
      <alignment horizontal="center" vertical="center"/>
    </xf>
    <xf numFmtId="166" fontId="21" fillId="10" borderId="0" applyNumberFormat="0" applyBorder="0" applyAlignment="0" applyProtection="0"/>
    <xf numFmtId="166" fontId="21" fillId="10" borderId="0" applyNumberFormat="0" applyBorder="0" applyAlignment="0" applyProtection="0"/>
    <xf numFmtId="166" fontId="21" fillId="10" borderId="0" applyNumberFormat="0" applyBorder="0" applyAlignment="0" applyProtection="0"/>
    <xf numFmtId="166" fontId="21" fillId="10" borderId="0" applyNumberFormat="0" applyBorder="0" applyAlignment="0" applyProtection="0"/>
    <xf numFmtId="166" fontId="21" fillId="10" borderId="0" applyNumberFormat="0" applyBorder="0" applyAlignment="0" applyProtection="0"/>
    <xf numFmtId="166" fontId="21" fillId="10" borderId="0" applyNumberFormat="0" applyBorder="0" applyAlignment="0" applyProtection="0"/>
    <xf numFmtId="166" fontId="37" fillId="61" borderId="0" applyProtection="0">
      <alignment vertical="center"/>
    </xf>
    <xf numFmtId="166" fontId="37"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7" fillId="61" borderId="0" applyProtection="0">
      <alignment vertical="center"/>
    </xf>
    <xf numFmtId="166" fontId="37" fillId="61" borderId="0" applyProtection="0">
      <alignment vertical="center"/>
    </xf>
    <xf numFmtId="166" fontId="37"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8" fillId="61" borderId="0" applyProtection="0">
      <alignment vertical="center"/>
    </xf>
    <xf numFmtId="166" fontId="37" fillId="61" borderId="0" applyProtection="0">
      <alignment vertical="center"/>
    </xf>
    <xf numFmtId="166" fontId="37" fillId="61" borderId="0" applyProtection="0">
      <alignment vertical="center"/>
    </xf>
    <xf numFmtId="166" fontId="37" fillId="61" borderId="0" applyProtection="0">
      <alignment vertical="center"/>
    </xf>
    <xf numFmtId="166" fontId="37" fillId="61" borderId="0" applyProtection="0">
      <alignment vertical="center"/>
    </xf>
    <xf numFmtId="166" fontId="37" fillId="61" borderId="0" applyProtection="0">
      <alignment vertical="center"/>
    </xf>
    <xf numFmtId="166" fontId="39" fillId="61" borderId="0" applyProtection="0">
      <alignment vertical="center"/>
    </xf>
    <xf numFmtId="166" fontId="39" fillId="61" borderId="0" applyProtection="0">
      <alignment vertical="center"/>
    </xf>
    <xf numFmtId="166" fontId="39" fillId="61" borderId="0" applyBorder="0" applyProtection="0">
      <alignment horizontal="center" vertical="center"/>
    </xf>
    <xf numFmtId="166" fontId="37" fillId="61" borderId="0" applyBorder="0" applyProtection="0">
      <alignment horizontal="center" vertical="center"/>
    </xf>
    <xf numFmtId="166" fontId="21" fillId="11" borderId="0" applyNumberFormat="0" applyBorder="0" applyAlignment="0" applyProtection="0"/>
    <xf numFmtId="166" fontId="21" fillId="11" borderId="0" applyNumberFormat="0" applyBorder="0" applyAlignment="0" applyProtection="0"/>
    <xf numFmtId="166" fontId="21" fillId="11" borderId="0" applyNumberFormat="0" applyBorder="0" applyAlignment="0" applyProtection="0"/>
    <xf numFmtId="166" fontId="21" fillId="11" borderId="0" applyNumberFormat="0" applyBorder="0" applyAlignment="0" applyProtection="0"/>
    <xf numFmtId="166" fontId="37" fillId="61" borderId="0" applyBorder="0" applyProtection="0">
      <alignment horizontal="center" vertical="center"/>
    </xf>
    <xf numFmtId="166" fontId="39" fillId="61" borderId="0" applyBorder="0" applyProtection="0">
      <alignment horizontal="center" vertical="center"/>
    </xf>
    <xf numFmtId="166" fontId="21" fillId="11" borderId="0" applyNumberFormat="0" applyBorder="0" applyAlignment="0" applyProtection="0"/>
    <xf numFmtId="166" fontId="21" fillId="11" borderId="0" applyNumberFormat="0" applyBorder="0" applyAlignment="0" applyProtection="0"/>
    <xf numFmtId="166" fontId="21" fillId="11" borderId="0" applyNumberFormat="0" applyBorder="0" applyAlignment="0" applyProtection="0"/>
    <xf numFmtId="166" fontId="21" fillId="11" borderId="0" applyNumberFormat="0" applyBorder="0" applyAlignment="0" applyProtection="0"/>
    <xf numFmtId="166" fontId="21" fillId="11" borderId="0" applyNumberFormat="0" applyBorder="0" applyAlignment="0" applyProtection="0"/>
    <xf numFmtId="166" fontId="21" fillId="11" borderId="0" applyNumberFormat="0" applyBorder="0" applyAlignment="0" applyProtection="0"/>
    <xf numFmtId="166" fontId="40" fillId="26" borderId="0" applyProtection="0">
      <alignment vertical="center"/>
    </xf>
    <xf numFmtId="166" fontId="40"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0" fillId="26" borderId="0" applyProtection="0">
      <alignment vertical="center"/>
    </xf>
    <xf numFmtId="166" fontId="40" fillId="26" borderId="0" applyProtection="0">
      <alignment vertical="center"/>
    </xf>
    <xf numFmtId="166" fontId="40"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1" fillId="26" borderId="0" applyProtection="0">
      <alignment vertical="center"/>
    </xf>
    <xf numFmtId="166" fontId="40" fillId="26" borderId="0" applyProtection="0">
      <alignment vertical="center"/>
    </xf>
    <xf numFmtId="166" fontId="40" fillId="26" borderId="0" applyProtection="0">
      <alignment vertical="center"/>
    </xf>
    <xf numFmtId="166" fontId="40" fillId="26" borderId="0" applyProtection="0">
      <alignment vertical="center"/>
    </xf>
    <xf numFmtId="166" fontId="40" fillId="26" borderId="0" applyProtection="0">
      <alignment vertical="center"/>
    </xf>
    <xf numFmtId="166" fontId="40" fillId="26" borderId="0" applyProtection="0">
      <alignment vertical="center"/>
    </xf>
    <xf numFmtId="166" fontId="42" fillId="26" borderId="0" applyProtection="0">
      <alignment vertical="center"/>
    </xf>
    <xf numFmtId="166" fontId="42" fillId="26" borderId="0" applyProtection="0">
      <alignment vertical="center"/>
    </xf>
    <xf numFmtId="166" fontId="42" fillId="26" borderId="0" applyBorder="0" applyProtection="0">
      <alignment horizontal="center" vertical="center"/>
    </xf>
    <xf numFmtId="166" fontId="40" fillId="26" borderId="0" applyBorder="0" applyProtection="0">
      <alignment horizontal="center" vertical="center"/>
    </xf>
    <xf numFmtId="166" fontId="11" fillId="2" borderId="0" applyNumberFormat="0" applyBorder="0" applyAlignment="0" applyProtection="0"/>
    <xf numFmtId="166" fontId="11" fillId="2" borderId="0" applyNumberFormat="0" applyBorder="0" applyAlignment="0" applyProtection="0"/>
    <xf numFmtId="166" fontId="11" fillId="2" borderId="0" applyNumberFormat="0" applyBorder="0" applyAlignment="0" applyProtection="0"/>
    <xf numFmtId="166" fontId="11" fillId="2" borderId="0" applyNumberFormat="0" applyBorder="0" applyAlignment="0" applyProtection="0"/>
    <xf numFmtId="166" fontId="40" fillId="26" borderId="0" applyBorder="0" applyProtection="0">
      <alignment horizontal="center" vertical="center"/>
    </xf>
    <xf numFmtId="166" fontId="11" fillId="62" borderId="0" applyNumberFormat="0" applyBorder="0" applyAlignment="0" applyProtection="0"/>
    <xf numFmtId="166" fontId="11" fillId="62" borderId="0" applyNumberFormat="0" applyBorder="0" applyAlignment="0" applyProtection="0"/>
    <xf numFmtId="166" fontId="42" fillId="26" borderId="0" applyBorder="0" applyProtection="0">
      <alignment horizontal="center" vertical="center"/>
    </xf>
    <xf numFmtId="166" fontId="11" fillId="2" borderId="0" applyNumberFormat="0" applyBorder="0" applyAlignment="0" applyProtection="0"/>
    <xf numFmtId="166" fontId="11" fillId="2" borderId="0" applyNumberFormat="0" applyBorder="0" applyAlignment="0" applyProtection="0"/>
    <xf numFmtId="166" fontId="11" fillId="2" borderId="0" applyNumberFormat="0" applyBorder="0" applyAlignment="0" applyProtection="0"/>
    <xf numFmtId="166" fontId="11" fillId="2" borderId="0" applyNumberFormat="0" applyBorder="0" applyAlignment="0" applyProtection="0"/>
    <xf numFmtId="166" fontId="11" fillId="2" borderId="0" applyNumberFormat="0" applyBorder="0" applyAlignment="0" applyProtection="0"/>
    <xf numFmtId="166" fontId="11" fillId="2" borderId="0" applyNumberFormat="0" applyBorder="0" applyAlignment="0" applyProtection="0"/>
    <xf numFmtId="166" fontId="43" fillId="63" borderId="19" applyProtection="0">
      <alignment vertical="center"/>
    </xf>
    <xf numFmtId="166" fontId="44" fillId="64" borderId="19" applyProtection="0">
      <alignment vertical="center"/>
    </xf>
    <xf numFmtId="166" fontId="44" fillId="64" borderId="19" applyProtection="0">
      <alignment vertical="center"/>
    </xf>
    <xf numFmtId="166" fontId="43"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3" fillId="63" borderId="19" applyProtection="0">
      <alignment vertical="center"/>
    </xf>
    <xf numFmtId="166" fontId="43" fillId="63"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5" fillId="64"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4"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3" fillId="63" borderId="19" applyProtection="0">
      <alignment vertical="center"/>
    </xf>
    <xf numFmtId="166" fontId="44" fillId="33" borderId="19" applyProtection="0">
      <alignment horizontal="center" vertical="center"/>
    </xf>
    <xf numFmtId="166" fontId="43" fillId="33" borderId="19" applyProtection="0">
      <alignment horizontal="center" vertical="center"/>
    </xf>
    <xf numFmtId="166" fontId="15" fillId="34" borderId="1" applyNumberFormat="0" applyAlignment="0" applyProtection="0"/>
    <xf numFmtId="166" fontId="15" fillId="34" borderId="1" applyNumberFormat="0" applyAlignment="0" applyProtection="0"/>
    <xf numFmtId="166" fontId="15" fillId="34" borderId="1" applyNumberFormat="0" applyAlignment="0" applyProtection="0"/>
    <xf numFmtId="166" fontId="15" fillId="34" borderId="1" applyNumberFormat="0" applyAlignment="0" applyProtection="0"/>
    <xf numFmtId="166" fontId="43" fillId="33" borderId="19" applyProtection="0">
      <alignment horizontal="center" vertical="center"/>
    </xf>
    <xf numFmtId="166" fontId="44" fillId="33" borderId="19" applyProtection="0">
      <alignment horizontal="center" vertical="center"/>
    </xf>
    <xf numFmtId="166" fontId="15" fillId="34" borderId="1" applyNumberFormat="0" applyAlignment="0" applyProtection="0"/>
    <xf numFmtId="166" fontId="15" fillId="34" borderId="1" applyNumberFormat="0" applyAlignment="0" applyProtection="0"/>
    <xf numFmtId="166" fontId="15" fillId="34" borderId="1" applyNumberFormat="0" applyAlignment="0" applyProtection="0"/>
    <xf numFmtId="166" fontId="15" fillId="34" borderId="1" applyNumberFormat="0" applyAlignment="0" applyProtection="0"/>
    <xf numFmtId="166" fontId="15" fillId="34" borderId="1" applyNumberFormat="0" applyAlignment="0" applyProtection="0"/>
    <xf numFmtId="166" fontId="15" fillId="34" borderId="1" applyNumberFormat="0" applyAlignment="0" applyProtection="0"/>
    <xf numFmtId="166" fontId="46" fillId="65" borderId="20" applyProtection="0">
      <alignment vertical="center"/>
    </xf>
    <xf numFmtId="166" fontId="47" fillId="66" borderId="20" applyProtection="0">
      <alignment vertical="center"/>
    </xf>
    <xf numFmtId="166" fontId="47" fillId="66" borderId="20" applyProtection="0">
      <alignment vertical="center"/>
    </xf>
    <xf numFmtId="166" fontId="46"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6" fillId="65" borderId="20" applyProtection="0">
      <alignment vertical="center"/>
    </xf>
    <xf numFmtId="166" fontId="46" fillId="65"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8" fillId="66"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6"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6" fillId="65" borderId="20" applyProtection="0">
      <alignment vertical="center"/>
    </xf>
    <xf numFmtId="166" fontId="47" fillId="66" borderId="20" applyProtection="0">
      <alignment horizontal="center" vertical="center"/>
    </xf>
    <xf numFmtId="166" fontId="46" fillId="66" borderId="20" applyProtection="0">
      <alignment horizontal="center" vertical="center"/>
    </xf>
    <xf numFmtId="166" fontId="17" fillId="4" borderId="4" applyNumberFormat="0" applyAlignment="0" applyProtection="0"/>
    <xf numFmtId="166" fontId="17" fillId="4" borderId="4" applyNumberFormat="0" applyAlignment="0" applyProtection="0"/>
    <xf numFmtId="166" fontId="17" fillId="4" borderId="4" applyNumberFormat="0" applyAlignment="0" applyProtection="0"/>
    <xf numFmtId="166" fontId="17" fillId="4" borderId="4" applyNumberFormat="0" applyAlignment="0" applyProtection="0"/>
    <xf numFmtId="166" fontId="46" fillId="66" borderId="20" applyProtection="0">
      <alignment horizontal="center" vertical="center"/>
    </xf>
    <xf numFmtId="166" fontId="47" fillId="66" borderId="20" applyProtection="0">
      <alignment horizontal="center" vertical="center"/>
    </xf>
    <xf numFmtId="166" fontId="17" fillId="4" borderId="4" applyNumberFormat="0" applyAlignment="0" applyProtection="0"/>
    <xf numFmtId="166" fontId="17" fillId="4" borderId="4" applyNumberFormat="0" applyAlignment="0" applyProtection="0"/>
    <xf numFmtId="166" fontId="17" fillId="4" borderId="4" applyNumberFormat="0" applyAlignment="0" applyProtection="0"/>
    <xf numFmtId="166" fontId="17" fillId="4" borderId="4" applyNumberFormat="0" applyAlignment="0" applyProtection="0"/>
    <xf numFmtId="166" fontId="17" fillId="4" borderId="4" applyNumberFormat="0" applyAlignment="0" applyProtection="0"/>
    <xf numFmtId="166" fontId="17" fillId="4" borderId="4" applyNumberFormat="0" applyAlignment="0" applyProtection="0"/>
    <xf numFmtId="43" fontId="2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2" fillId="0" borderId="0" applyFont="0" applyFill="0" applyBorder="0" applyAlignment="0" applyProtection="0"/>
    <xf numFmtId="43" fontId="2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4" fillId="0" borderId="0" applyFill="0" applyBorder="0" applyAlignment="0" applyProtection="0"/>
    <xf numFmtId="166" fontId="49" fillId="0" borderId="0" applyProtection="0">
      <alignment vertical="center"/>
    </xf>
    <xf numFmtId="166" fontId="50" fillId="0" borderId="0" applyProtection="0">
      <alignment vertical="center"/>
    </xf>
    <xf numFmtId="166" fontId="51" fillId="0" borderId="0" applyProtection="0">
      <alignment vertical="center"/>
    </xf>
    <xf numFmtId="166" fontId="51" fillId="0" borderId="0" applyProtection="0">
      <alignment vertical="center"/>
    </xf>
    <xf numFmtId="166" fontId="51" fillId="0" borderId="0" applyProtection="0">
      <alignment vertical="center"/>
    </xf>
    <xf numFmtId="166" fontId="51" fillId="0" borderId="0" applyProtection="0">
      <alignment vertical="center"/>
    </xf>
    <xf numFmtId="166" fontId="50" fillId="0" borderId="0" applyProtection="0">
      <alignment vertical="center"/>
    </xf>
    <xf numFmtId="166" fontId="50" fillId="0" borderId="0" applyProtection="0">
      <alignment vertical="center"/>
    </xf>
    <xf numFmtId="166" fontId="50"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50" fillId="0" borderId="0" applyProtection="0">
      <alignment vertical="center"/>
    </xf>
    <xf numFmtId="166" fontId="50" fillId="0" borderId="0" applyProtection="0">
      <alignment vertical="center"/>
    </xf>
    <xf numFmtId="166" fontId="50"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49" fillId="0" borderId="0" applyProtection="0">
      <alignment vertical="center"/>
    </xf>
    <xf numFmtId="166" fontId="52" fillId="0" borderId="0"/>
    <xf numFmtId="166" fontId="52"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25"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52" fillId="0" borderId="0"/>
    <xf numFmtId="166" fontId="25" fillId="0" borderId="0"/>
    <xf numFmtId="166" fontId="52" fillId="0" borderId="0"/>
    <xf numFmtId="166" fontId="52" fillId="0" borderId="0"/>
    <xf numFmtId="166" fontId="43" fillId="33" borderId="19" applyProtection="0">
      <alignment horizontal="center" vertical="center"/>
    </xf>
    <xf numFmtId="166" fontId="54" fillId="0" borderId="0" applyProtection="0">
      <alignment vertical="center"/>
    </xf>
    <xf numFmtId="166" fontId="54"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4" fillId="0" borderId="0" applyProtection="0">
      <alignment vertical="center"/>
    </xf>
    <xf numFmtId="166" fontId="54" fillId="0" borderId="0" applyProtection="0">
      <alignment vertical="center"/>
    </xf>
    <xf numFmtId="166" fontId="54"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5" fillId="0" borderId="0" applyProtection="0">
      <alignment vertical="center"/>
    </xf>
    <xf numFmtId="166" fontId="54" fillId="0" borderId="0" applyProtection="0">
      <alignment vertical="center"/>
    </xf>
    <xf numFmtId="166" fontId="54" fillId="0" borderId="0" applyProtection="0">
      <alignment vertical="center"/>
    </xf>
    <xf numFmtId="166" fontId="54" fillId="0" borderId="0" applyProtection="0">
      <alignment vertical="center"/>
    </xf>
    <xf numFmtId="166" fontId="54" fillId="0" borderId="0" applyProtection="0">
      <alignment vertical="center"/>
    </xf>
    <xf numFmtId="166" fontId="54" fillId="0" borderId="0" applyProtection="0">
      <alignment vertical="center"/>
    </xf>
    <xf numFmtId="166" fontId="56" fillId="0" borderId="0" applyProtection="0">
      <alignment vertical="center"/>
    </xf>
    <xf numFmtId="166" fontId="56" fillId="0" borderId="0" applyProtection="0">
      <alignment vertical="center"/>
    </xf>
    <xf numFmtId="166" fontId="56" fillId="0" borderId="0" applyFill="0" applyBorder="0" applyProtection="0">
      <alignment horizontal="center" vertical="center"/>
    </xf>
    <xf numFmtId="166" fontId="54" fillId="0" borderId="0" applyFill="0" applyBorder="0" applyProtection="0">
      <alignment horizontal="center" vertical="center"/>
    </xf>
    <xf numFmtId="166" fontId="19" fillId="0" borderId="0" applyNumberFormat="0" applyFill="0" applyBorder="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54" fillId="0" borderId="0" applyFill="0" applyBorder="0" applyProtection="0">
      <alignment horizontal="center" vertical="center"/>
    </xf>
    <xf numFmtId="166" fontId="56" fillId="0" borderId="0" applyFill="0" applyBorder="0" applyProtection="0">
      <alignment horizontal="center" vertical="center"/>
    </xf>
    <xf numFmtId="166" fontId="19" fillId="0" borderId="0" applyNumberFormat="0" applyFill="0" applyBorder="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8" fillId="0" borderId="0" applyNumberFormat="0" applyFill="0" applyBorder="0" applyAlignment="0" applyProtection="0"/>
    <xf numFmtId="166" fontId="58" fillId="0" borderId="0" applyNumberFormat="0" applyFill="0" applyBorder="0" applyAlignment="0" applyProtection="0"/>
    <xf numFmtId="166" fontId="59" fillId="28" borderId="0" applyProtection="0">
      <alignment vertical="center"/>
    </xf>
    <xf numFmtId="166" fontId="59"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59" fillId="28" borderId="0" applyProtection="0">
      <alignment vertical="center"/>
    </xf>
    <xf numFmtId="166" fontId="59" fillId="28" borderId="0" applyProtection="0">
      <alignment vertical="center"/>
    </xf>
    <xf numFmtId="166" fontId="59" fillId="28" borderId="0" applyProtection="0">
      <alignment vertical="center"/>
    </xf>
    <xf numFmtId="166" fontId="59" fillId="28" borderId="0" applyProtection="0">
      <alignment vertical="center"/>
    </xf>
    <xf numFmtId="166" fontId="59" fillId="14" borderId="0" applyProtection="0">
      <alignment vertical="center"/>
    </xf>
    <xf numFmtId="166" fontId="59" fillId="14"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60" fillId="28" borderId="0" applyProtection="0">
      <alignment vertical="center"/>
    </xf>
    <xf numFmtId="166" fontId="59" fillId="28" borderId="0" applyProtection="0">
      <alignment vertical="center"/>
    </xf>
    <xf numFmtId="166" fontId="59" fillId="28" borderId="0" applyProtection="0">
      <alignment vertical="center"/>
    </xf>
    <xf numFmtId="166" fontId="59" fillId="28" borderId="0" applyProtection="0">
      <alignment vertical="center"/>
    </xf>
    <xf numFmtId="166" fontId="59" fillId="28" borderId="0" applyProtection="0">
      <alignment vertical="center"/>
    </xf>
    <xf numFmtId="166" fontId="59" fillId="28" borderId="0" applyProtection="0">
      <alignment vertical="center"/>
    </xf>
    <xf numFmtId="166" fontId="61" fillId="14" borderId="0" applyProtection="0">
      <alignment vertical="center"/>
    </xf>
    <xf numFmtId="166" fontId="61" fillId="14" borderId="0" applyProtection="0">
      <alignment vertical="center"/>
    </xf>
    <xf numFmtId="166" fontId="61" fillId="24" borderId="0" applyBorder="0" applyProtection="0">
      <alignment horizontal="center" vertical="center"/>
    </xf>
    <xf numFmtId="166" fontId="59" fillId="24" borderId="0" applyBorder="0" applyProtection="0">
      <alignment horizontal="center" vertical="center"/>
    </xf>
    <xf numFmtId="166" fontId="10" fillId="25" borderId="0" applyNumberFormat="0" applyBorder="0" applyAlignment="0" applyProtection="0"/>
    <xf numFmtId="166" fontId="10" fillId="25" borderId="0" applyNumberFormat="0" applyBorder="0" applyAlignment="0" applyProtection="0"/>
    <xf numFmtId="166" fontId="10" fillId="25" borderId="0" applyNumberFormat="0" applyBorder="0" applyAlignment="0" applyProtection="0"/>
    <xf numFmtId="166" fontId="10" fillId="25" borderId="0" applyNumberFormat="0" applyBorder="0" applyAlignment="0" applyProtection="0"/>
    <xf numFmtId="166" fontId="59" fillId="24" borderId="0" applyBorder="0" applyProtection="0">
      <alignment horizontal="center" vertical="center"/>
    </xf>
    <xf numFmtId="166" fontId="61" fillId="24" borderId="0" applyBorder="0" applyProtection="0">
      <alignment horizontal="center" vertical="center"/>
    </xf>
    <xf numFmtId="166" fontId="10" fillId="25" borderId="0" applyNumberFormat="0" applyBorder="0" applyAlignment="0" applyProtection="0"/>
    <xf numFmtId="166" fontId="10" fillId="25" borderId="0" applyNumberFormat="0" applyBorder="0" applyAlignment="0" applyProtection="0"/>
    <xf numFmtId="166" fontId="10" fillId="25" borderId="0" applyNumberFormat="0" applyBorder="0" applyAlignment="0" applyProtection="0"/>
    <xf numFmtId="166" fontId="10" fillId="25" borderId="0" applyNumberFormat="0" applyBorder="0" applyAlignment="0" applyProtection="0"/>
    <xf numFmtId="166" fontId="10" fillId="25" borderId="0" applyNumberFormat="0" applyBorder="0" applyAlignment="0" applyProtection="0"/>
    <xf numFmtId="166" fontId="10" fillId="25" borderId="0" applyNumberFormat="0" applyBorder="0" applyAlignment="0" applyProtection="0"/>
    <xf numFmtId="166" fontId="62" fillId="0" borderId="21" applyProtection="0">
      <alignment vertical="center"/>
    </xf>
    <xf numFmtId="166" fontId="62"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2" fillId="0" borderId="21" applyProtection="0">
      <alignment vertical="center"/>
    </xf>
    <xf numFmtId="166" fontId="62" fillId="0" borderId="21" applyProtection="0">
      <alignment vertical="center"/>
    </xf>
    <xf numFmtId="166" fontId="62"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3" fillId="0" borderId="21" applyProtection="0">
      <alignment vertical="center"/>
    </xf>
    <xf numFmtId="166" fontId="62" fillId="0" borderId="21" applyProtection="0">
      <alignment vertical="center"/>
    </xf>
    <xf numFmtId="166" fontId="62" fillId="0" borderId="21" applyProtection="0">
      <alignment vertical="center"/>
    </xf>
    <xf numFmtId="166" fontId="62" fillId="0" borderId="21" applyProtection="0">
      <alignment vertical="center"/>
    </xf>
    <xf numFmtId="166" fontId="62" fillId="0" borderId="21" applyProtection="0">
      <alignment vertical="center"/>
    </xf>
    <xf numFmtId="166" fontId="62" fillId="0" borderId="21" applyProtection="0">
      <alignment vertical="center"/>
    </xf>
    <xf numFmtId="166" fontId="64" fillId="0" borderId="21" applyProtection="0">
      <alignment vertical="center"/>
    </xf>
    <xf numFmtId="166" fontId="64" fillId="0" borderId="21" applyProtection="0">
      <alignment vertical="center"/>
    </xf>
    <xf numFmtId="166" fontId="65" fillId="0" borderId="22" applyFill="0" applyProtection="0">
      <alignment horizontal="center" vertical="center"/>
    </xf>
    <xf numFmtId="166" fontId="66" fillId="0" borderId="22" applyFill="0" applyProtection="0">
      <alignment horizontal="center" vertical="center"/>
    </xf>
    <xf numFmtId="166" fontId="66" fillId="0" borderId="22" applyNumberFormat="0" applyFill="0" applyAlignment="0" applyProtection="0"/>
    <xf numFmtId="166" fontId="66" fillId="0" borderId="22" applyNumberFormat="0" applyFill="0" applyAlignment="0" applyProtection="0"/>
    <xf numFmtId="166" fontId="66" fillId="0" borderId="22" applyNumberFormat="0" applyFill="0" applyAlignment="0" applyProtection="0"/>
    <xf numFmtId="166" fontId="66" fillId="0" borderId="22" applyNumberFormat="0" applyFill="0" applyAlignment="0" applyProtection="0"/>
    <xf numFmtId="166" fontId="66" fillId="0" borderId="22" applyFill="0" applyProtection="0">
      <alignment horizontal="center" vertical="center"/>
    </xf>
    <xf numFmtId="166" fontId="65" fillId="0" borderId="22" applyFill="0" applyProtection="0">
      <alignment horizontal="center" vertical="center"/>
    </xf>
    <xf numFmtId="166" fontId="66" fillId="0" borderId="22" applyNumberFormat="0" applyFill="0" applyAlignment="0" applyProtection="0"/>
    <xf numFmtId="166" fontId="66" fillId="0" borderId="22" applyNumberFormat="0" applyFill="0" applyAlignment="0" applyProtection="0"/>
    <xf numFmtId="166" fontId="66" fillId="0" borderId="22" applyNumberFormat="0" applyFill="0" applyAlignment="0" applyProtection="0"/>
    <xf numFmtId="166" fontId="66" fillId="0" borderId="22" applyNumberFormat="0" applyFill="0" applyAlignment="0" applyProtection="0"/>
    <xf numFmtId="166" fontId="66" fillId="0" borderId="22" applyNumberFormat="0" applyFill="0" applyAlignment="0" applyProtection="0"/>
    <xf numFmtId="166" fontId="66" fillId="0" borderId="22" applyNumberFormat="0" applyFill="0" applyAlignment="0" applyProtection="0"/>
    <xf numFmtId="166" fontId="67" fillId="0" borderId="23" applyProtection="0">
      <alignment vertical="center"/>
    </xf>
    <xf numFmtId="166" fontId="67"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7" fillId="0" borderId="23" applyProtection="0">
      <alignment vertical="center"/>
    </xf>
    <xf numFmtId="166" fontId="67" fillId="0" borderId="23" applyProtection="0">
      <alignment vertical="center"/>
    </xf>
    <xf numFmtId="166" fontId="67"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8" fillId="0" borderId="23" applyProtection="0">
      <alignment vertical="center"/>
    </xf>
    <xf numFmtId="166" fontId="67" fillId="0" borderId="23" applyProtection="0">
      <alignment vertical="center"/>
    </xf>
    <xf numFmtId="166" fontId="67" fillId="0" borderId="23" applyProtection="0">
      <alignment vertical="center"/>
    </xf>
    <xf numFmtId="166" fontId="67" fillId="0" borderId="23" applyProtection="0">
      <alignment vertical="center"/>
    </xf>
    <xf numFmtId="166" fontId="67" fillId="0" borderId="23" applyProtection="0">
      <alignment vertical="center"/>
    </xf>
    <xf numFmtId="166" fontId="67" fillId="0" borderId="23" applyProtection="0">
      <alignment vertical="center"/>
    </xf>
    <xf numFmtId="166" fontId="69" fillId="0" borderId="23" applyProtection="0">
      <alignment vertical="center"/>
    </xf>
    <xf numFmtId="166" fontId="69" fillId="0" borderId="23" applyProtection="0">
      <alignment vertical="center"/>
    </xf>
    <xf numFmtId="166" fontId="70" fillId="0" borderId="24" applyFill="0" applyProtection="0">
      <alignment horizontal="center" vertical="center"/>
    </xf>
    <xf numFmtId="166" fontId="71" fillId="0" borderId="24" applyFill="0" applyProtection="0">
      <alignment horizontal="center" vertical="center"/>
    </xf>
    <xf numFmtId="166" fontId="71" fillId="0" borderId="24" applyNumberFormat="0" applyFill="0" applyAlignment="0" applyProtection="0"/>
    <xf numFmtId="166" fontId="71" fillId="0" borderId="24" applyNumberFormat="0" applyFill="0" applyAlignment="0" applyProtection="0"/>
    <xf numFmtId="166" fontId="71" fillId="0" borderId="24" applyNumberFormat="0" applyFill="0" applyAlignment="0" applyProtection="0"/>
    <xf numFmtId="166" fontId="71" fillId="0" borderId="24" applyNumberFormat="0" applyFill="0" applyAlignment="0" applyProtection="0"/>
    <xf numFmtId="166" fontId="71" fillId="0" borderId="24" applyFill="0" applyProtection="0">
      <alignment horizontal="center" vertical="center"/>
    </xf>
    <xf numFmtId="166" fontId="70" fillId="0" borderId="24" applyFill="0" applyProtection="0">
      <alignment horizontal="center" vertical="center"/>
    </xf>
    <xf numFmtId="166" fontId="71" fillId="0" borderId="24" applyNumberFormat="0" applyFill="0" applyAlignment="0" applyProtection="0"/>
    <xf numFmtId="166" fontId="71" fillId="0" borderId="24" applyNumberFormat="0" applyFill="0" applyAlignment="0" applyProtection="0"/>
    <xf numFmtId="166" fontId="71" fillId="0" borderId="24" applyNumberFormat="0" applyFill="0" applyAlignment="0" applyProtection="0"/>
    <xf numFmtId="166" fontId="71" fillId="0" borderId="24" applyNumberFormat="0" applyFill="0" applyAlignment="0" applyProtection="0"/>
    <xf numFmtId="166" fontId="71" fillId="0" borderId="24" applyNumberFormat="0" applyFill="0" applyAlignment="0" applyProtection="0"/>
    <xf numFmtId="166" fontId="71" fillId="0" borderId="24" applyNumberFormat="0" applyFill="0" applyAlignment="0" applyProtection="0"/>
    <xf numFmtId="166" fontId="72" fillId="0" borderId="25" applyProtection="0">
      <alignment vertical="center"/>
    </xf>
    <xf numFmtId="166" fontId="72"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2" fillId="0" borderId="25" applyProtection="0">
      <alignment vertical="center"/>
    </xf>
    <xf numFmtId="166" fontId="72" fillId="0" borderId="25" applyProtection="0">
      <alignment vertical="center"/>
    </xf>
    <xf numFmtId="166" fontId="72"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3" fillId="0" borderId="25" applyProtection="0">
      <alignment vertical="center"/>
    </xf>
    <xf numFmtId="166" fontId="72" fillId="0" borderId="25" applyProtection="0">
      <alignment vertical="center"/>
    </xf>
    <xf numFmtId="166" fontId="72" fillId="0" borderId="25" applyProtection="0">
      <alignment vertical="center"/>
    </xf>
    <xf numFmtId="166" fontId="72" fillId="0" borderId="25" applyProtection="0">
      <alignment vertical="center"/>
    </xf>
    <xf numFmtId="166" fontId="72" fillId="0" borderId="25" applyProtection="0">
      <alignment vertical="center"/>
    </xf>
    <xf numFmtId="166" fontId="72" fillId="0" borderId="25" applyProtection="0">
      <alignment vertical="center"/>
    </xf>
    <xf numFmtId="166" fontId="74" fillId="0" borderId="25" applyProtection="0">
      <alignment vertical="center"/>
    </xf>
    <xf numFmtId="166" fontId="74" fillId="0" borderId="25" applyProtection="0">
      <alignment vertical="center"/>
    </xf>
    <xf numFmtId="166" fontId="75" fillId="0" borderId="26" applyFill="0" applyProtection="0">
      <alignment horizontal="center" vertical="center"/>
    </xf>
    <xf numFmtId="166" fontId="76" fillId="0" borderId="26" applyFill="0" applyProtection="0">
      <alignment horizontal="center" vertical="center"/>
    </xf>
    <xf numFmtId="166" fontId="76" fillId="0" borderId="26" applyNumberFormat="0" applyFill="0" applyAlignment="0" applyProtection="0"/>
    <xf numFmtId="166" fontId="76" fillId="0" borderId="26" applyNumberFormat="0" applyFill="0" applyAlignment="0" applyProtection="0"/>
    <xf numFmtId="166" fontId="76" fillId="0" borderId="26" applyNumberFormat="0" applyFill="0" applyAlignment="0" applyProtection="0"/>
    <xf numFmtId="166" fontId="76" fillId="0" borderId="26" applyNumberFormat="0" applyFill="0" applyAlignment="0" applyProtection="0"/>
    <xf numFmtId="166" fontId="76" fillId="0" borderId="26" applyFill="0" applyProtection="0">
      <alignment horizontal="center" vertical="center"/>
    </xf>
    <xf numFmtId="166" fontId="75" fillId="0" borderId="26" applyFill="0" applyProtection="0">
      <alignment horizontal="center" vertical="center"/>
    </xf>
    <xf numFmtId="166" fontId="76" fillId="0" borderId="26" applyNumberFormat="0" applyFill="0" applyAlignment="0" applyProtection="0"/>
    <xf numFmtId="166" fontId="76" fillId="0" borderId="26" applyNumberFormat="0" applyFill="0" applyAlignment="0" applyProtection="0"/>
    <xf numFmtId="166" fontId="76" fillId="0" borderId="26" applyNumberFormat="0" applyFill="0" applyAlignment="0" applyProtection="0"/>
    <xf numFmtId="166" fontId="76" fillId="0" borderId="26" applyNumberFormat="0" applyFill="0" applyAlignment="0" applyProtection="0"/>
    <xf numFmtId="166" fontId="76" fillId="0" borderId="26" applyNumberFormat="0" applyFill="0" applyAlignment="0" applyProtection="0"/>
    <xf numFmtId="166" fontId="76" fillId="0" borderId="26" applyNumberFormat="0" applyFill="0" applyAlignment="0" applyProtection="0"/>
    <xf numFmtId="166" fontId="72" fillId="0" borderId="0" applyProtection="0">
      <alignment vertical="center"/>
    </xf>
    <xf numFmtId="166" fontId="72"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2" fillId="0" borderId="0" applyProtection="0">
      <alignment vertical="center"/>
    </xf>
    <xf numFmtId="166" fontId="72" fillId="0" borderId="0" applyProtection="0">
      <alignment vertical="center"/>
    </xf>
    <xf numFmtId="166" fontId="72"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3" fillId="0" borderId="0" applyProtection="0">
      <alignment vertical="center"/>
    </xf>
    <xf numFmtId="166" fontId="72" fillId="0" borderId="0" applyProtection="0">
      <alignment vertical="center"/>
    </xf>
    <xf numFmtId="166" fontId="72" fillId="0" borderId="0" applyProtection="0">
      <alignment vertical="center"/>
    </xf>
    <xf numFmtId="166" fontId="72" fillId="0" borderId="0" applyProtection="0">
      <alignment vertical="center"/>
    </xf>
    <xf numFmtId="166" fontId="72" fillId="0" borderId="0" applyProtection="0">
      <alignment vertical="center"/>
    </xf>
    <xf numFmtId="166" fontId="72" fillId="0" borderId="0" applyProtection="0">
      <alignment vertical="center"/>
    </xf>
    <xf numFmtId="166" fontId="74" fillId="0" borderId="0" applyProtection="0">
      <alignment vertical="center"/>
    </xf>
    <xf numFmtId="166" fontId="74" fillId="0" borderId="0" applyProtection="0">
      <alignment vertical="center"/>
    </xf>
    <xf numFmtId="166" fontId="75" fillId="0" borderId="0" applyFill="0" applyBorder="0" applyProtection="0">
      <alignment horizontal="center" vertical="center"/>
    </xf>
    <xf numFmtId="166" fontId="76" fillId="0" borderId="0" applyFill="0" applyBorder="0" applyProtection="0">
      <alignment horizontal="center" vertical="center"/>
    </xf>
    <xf numFmtId="166" fontId="76" fillId="0" borderId="0" applyNumberFormat="0" applyFill="0" applyBorder="0" applyAlignment="0" applyProtection="0"/>
    <xf numFmtId="166" fontId="76" fillId="0" borderId="0" applyNumberFormat="0" applyFill="0" applyBorder="0" applyAlignment="0" applyProtection="0"/>
    <xf numFmtId="166" fontId="76" fillId="0" borderId="0" applyNumberFormat="0" applyFill="0" applyBorder="0" applyAlignment="0" applyProtection="0"/>
    <xf numFmtId="166" fontId="76" fillId="0" borderId="0" applyNumberFormat="0" applyFill="0" applyBorder="0" applyAlignment="0" applyProtection="0"/>
    <xf numFmtId="166" fontId="76" fillId="0" borderId="0" applyFill="0" applyBorder="0" applyProtection="0">
      <alignment horizontal="center" vertical="center"/>
    </xf>
    <xf numFmtId="166" fontId="75" fillId="0" borderId="0" applyFill="0" applyBorder="0" applyProtection="0">
      <alignment horizontal="center" vertical="center"/>
    </xf>
    <xf numFmtId="166" fontId="76" fillId="0" borderId="0" applyNumberFormat="0" applyFill="0" applyBorder="0" applyAlignment="0" applyProtection="0"/>
    <xf numFmtId="166" fontId="76" fillId="0" borderId="0" applyNumberFormat="0" applyFill="0" applyBorder="0" applyAlignment="0" applyProtection="0"/>
    <xf numFmtId="166" fontId="76" fillId="0" borderId="0" applyNumberFormat="0" applyFill="0" applyBorder="0" applyAlignment="0" applyProtection="0"/>
    <xf numFmtId="166" fontId="76" fillId="0" borderId="0" applyNumberFormat="0" applyFill="0" applyBorder="0" applyAlignment="0" applyProtection="0"/>
    <xf numFmtId="166" fontId="76" fillId="0" borderId="0" applyNumberFormat="0" applyFill="0" applyBorder="0" applyAlignment="0" applyProtection="0"/>
    <xf numFmtId="166" fontId="76" fillId="0" borderId="0" applyNumberFormat="0" applyFill="0" applyBorder="0" applyAlignment="0" applyProtection="0"/>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2" fillId="0" borderId="0" applyFill="0" applyBorder="0" applyProtection="0">
      <alignment horizontal="center" vertical="center"/>
    </xf>
    <xf numFmtId="166" fontId="32" fillId="0" borderId="0" applyFill="0" applyBorder="0" applyProtection="0">
      <alignment horizontal="center" vertical="center"/>
    </xf>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8" fillId="0" borderId="0" applyNumberFormat="0" applyFill="0" applyBorder="0" applyAlignment="0" applyProtection="0">
      <alignment vertical="top"/>
      <protection locked="0"/>
    </xf>
    <xf numFmtId="166" fontId="78" fillId="0" borderId="0" applyNumberFormat="0" applyFill="0" applyBorder="0" applyAlignment="0" applyProtection="0">
      <alignment vertical="top"/>
      <protection locked="0"/>
    </xf>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Fill="0" applyBorder="0" applyProtection="0">
      <alignment horizontal="center" vertical="center"/>
    </xf>
    <xf numFmtId="166" fontId="77" fillId="0" borderId="0" applyFill="0" applyBorder="0" applyProtection="0">
      <alignment horizontal="center" vertical="center"/>
    </xf>
    <xf numFmtId="166" fontId="77" fillId="0" borderId="0" applyNumberFormat="0" applyFill="0" applyBorder="0" applyAlignment="0" applyProtection="0"/>
    <xf numFmtId="166" fontId="77" fillId="0" borderId="0" applyNumberFormat="0" applyFill="0" applyBorder="0" applyAlignment="0" applyProtection="0"/>
    <xf numFmtId="166" fontId="79" fillId="0" borderId="0" applyNumberFormat="0" applyFill="0" applyBorder="0" applyAlignment="0" applyProtection="0">
      <alignment vertical="top"/>
      <protection locked="0"/>
    </xf>
    <xf numFmtId="166" fontId="79" fillId="0" borderId="0" applyNumberFormat="0" applyFill="0" applyBorder="0" applyAlignment="0" applyProtection="0">
      <alignment vertical="top"/>
      <protection locked="0"/>
    </xf>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NumberFormat="0" applyFill="0" applyBorder="0" applyAlignment="0" applyProtection="0"/>
    <xf numFmtId="166" fontId="78" fillId="0" borderId="0" applyNumberFormat="0" applyFill="0" applyBorder="0" applyAlignment="0" applyProtection="0">
      <alignment vertical="top"/>
      <protection locked="0"/>
    </xf>
    <xf numFmtId="166" fontId="78" fillId="0" borderId="0" applyNumberFormat="0" applyFill="0" applyBorder="0" applyAlignment="0" applyProtection="0">
      <alignment vertical="top"/>
      <protection locked="0"/>
    </xf>
    <xf numFmtId="166" fontId="77" fillId="0" borderId="0" applyNumberFormat="0" applyFill="0" applyBorder="0" applyAlignment="0" applyProtection="0"/>
    <xf numFmtId="166" fontId="77" fillId="0" borderId="0" applyNumberFormat="0" applyFill="0" applyBorder="0" applyAlignment="0" applyProtection="0"/>
    <xf numFmtId="166" fontId="77" fillId="0" borderId="0" applyFill="0" applyBorder="0" applyProtection="0">
      <alignment horizontal="center" vertical="center"/>
    </xf>
    <xf numFmtId="166" fontId="77" fillId="0" borderId="0" applyFill="0" applyBorder="0" applyProtection="0">
      <alignment horizontal="center" vertical="center"/>
    </xf>
    <xf numFmtId="166" fontId="78" fillId="0" borderId="0" applyNumberFormat="0" applyFill="0" applyBorder="0" applyAlignment="0" applyProtection="0">
      <alignment vertical="top"/>
      <protection locked="0"/>
    </xf>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Fill="0" applyBorder="0" applyProtection="0">
      <alignment horizontal="center" vertical="center"/>
    </xf>
    <xf numFmtId="166" fontId="80" fillId="0" borderId="0" applyFill="0" applyBorder="0" applyProtection="0">
      <alignment horizontal="center" vertical="center"/>
    </xf>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NumberFormat="0" applyFill="0" applyBorder="0" applyAlignment="0" applyProtection="0"/>
    <xf numFmtId="166" fontId="81" fillId="0" borderId="0" applyNumberFormat="0" applyFill="0" applyBorder="0" applyAlignment="0" applyProtection="0">
      <alignment vertical="top"/>
      <protection locked="0"/>
    </xf>
    <xf numFmtId="166" fontId="81" fillId="0" borderId="0" applyNumberFormat="0" applyFill="0" applyBorder="0" applyAlignment="0" applyProtection="0">
      <alignment vertical="top"/>
      <protection locked="0"/>
    </xf>
    <xf numFmtId="166" fontId="80" fillId="0" borderId="0" applyNumberFormat="0" applyFill="0" applyBorder="0" applyAlignment="0" applyProtection="0"/>
    <xf numFmtId="166" fontId="80" fillId="0" borderId="0" applyNumberFormat="0" applyFill="0" applyBorder="0" applyAlignment="0" applyProtection="0"/>
    <xf numFmtId="166" fontId="80" fillId="0" borderId="0" applyFill="0" applyBorder="0" applyProtection="0">
      <alignment horizontal="center" vertical="center"/>
    </xf>
    <xf numFmtId="166" fontId="80" fillId="0" borderId="0" applyFill="0" applyBorder="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82" fillId="0" borderId="0" applyNumberFormat="0" applyFill="0" applyBorder="0" applyAlignment="0" applyProtection="0"/>
    <xf numFmtId="166" fontId="82" fillId="0" borderId="0" applyNumberFormat="0" applyFill="0" applyBorder="0" applyAlignment="0" applyProtection="0"/>
    <xf numFmtId="166" fontId="82" fillId="0" borderId="0" applyNumberFormat="0" applyFill="0" applyBorder="0" applyAlignment="0" applyProtection="0"/>
    <xf numFmtId="166" fontId="82" fillId="0" borderId="0" applyNumberFormat="0" applyFill="0" applyBorder="0" applyAlignment="0" applyProtection="0"/>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83" fillId="0" borderId="0" applyFill="0" applyBorder="0" applyProtection="0">
      <alignment horizontal="center" vertical="center"/>
    </xf>
    <xf numFmtId="166" fontId="83" fillId="0" borderId="0" applyFill="0" applyBorder="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83" fillId="0" borderId="0" applyNumberFormat="0" applyFill="0" applyBorder="0" applyAlignment="0" applyProtection="0">
      <alignment vertical="top"/>
      <protection locked="0"/>
    </xf>
    <xf numFmtId="166" fontId="83" fillId="0" borderId="0" applyNumberFormat="0" applyFill="0" applyBorder="0" applyAlignment="0" applyProtection="0">
      <alignment vertical="top"/>
      <protection locked="0"/>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84" fillId="0" borderId="0" applyFill="0" applyBorder="0" applyProtection="0">
      <alignment horizontal="center" vertical="center"/>
    </xf>
    <xf numFmtId="166" fontId="84" fillId="0" borderId="0" applyFill="0" applyBorder="0" applyProtection="0">
      <alignment horizontal="center" vertical="center"/>
    </xf>
    <xf numFmtId="166" fontId="85" fillId="0" borderId="0" applyNumberFormat="0" applyFill="0" applyBorder="0" applyAlignment="0" applyProtection="0"/>
    <xf numFmtId="166" fontId="85" fillId="0" borderId="0" applyNumberFormat="0" applyFill="0" applyBorder="0" applyAlignment="0" applyProtection="0"/>
    <xf numFmtId="166" fontId="85" fillId="0" borderId="0" applyNumberFormat="0" applyFill="0" applyBorder="0" applyAlignment="0" applyProtection="0"/>
    <xf numFmtId="166" fontId="85" fillId="0" borderId="0" applyNumberFormat="0" applyFill="0" applyBorder="0" applyAlignment="0" applyProtection="0"/>
    <xf numFmtId="166" fontId="85" fillId="0" borderId="0" applyNumberFormat="0" applyFill="0" applyBorder="0" applyAlignment="0" applyProtection="0"/>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85" fillId="0" borderId="0" applyNumberFormat="0" applyFill="0" applyBorder="0" applyAlignment="0" applyProtection="0"/>
    <xf numFmtId="166" fontId="85" fillId="0" borderId="0" applyNumberFormat="0" applyFill="0" applyBorder="0" applyAlignment="0" applyProtection="0"/>
    <xf numFmtId="166" fontId="85" fillId="0" borderId="0" applyNumberFormat="0" applyFill="0" applyBorder="0" applyAlignment="0" applyProtection="0"/>
    <xf numFmtId="166" fontId="86" fillId="0" borderId="0" applyNumberFormat="0" applyFill="0" applyBorder="0" applyAlignment="0" applyProtection="0"/>
    <xf numFmtId="166" fontId="86" fillId="0" borderId="0" applyNumberFormat="0" applyFill="0" applyBorder="0" applyAlignment="0" applyProtection="0"/>
    <xf numFmtId="166" fontId="85" fillId="0" borderId="0" applyNumberFormat="0" applyFill="0" applyBorder="0" applyAlignment="0" applyProtection="0"/>
    <xf numFmtId="166" fontId="85" fillId="0" borderId="0" applyNumberFormat="0" applyFill="0" applyBorder="0" applyAlignment="0" applyProtection="0"/>
    <xf numFmtId="166" fontId="85" fillId="0" borderId="0" applyNumberFormat="0" applyFill="0" applyBorder="0" applyAlignment="0" applyProtection="0"/>
    <xf numFmtId="166" fontId="32" fillId="0" borderId="0" applyFill="0" applyBorder="0" applyProtection="0">
      <alignment horizontal="center" vertical="center"/>
    </xf>
    <xf numFmtId="166" fontId="32" fillId="0" borderId="0" applyFill="0" applyBorder="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79" fillId="0" borderId="0" applyNumberFormat="0" applyFill="0" applyBorder="0" applyAlignment="0" applyProtection="0">
      <alignment vertical="top"/>
      <protection locked="0"/>
    </xf>
    <xf numFmtId="166" fontId="79" fillId="0" borderId="0" applyNumberFormat="0" applyFill="0" applyBorder="0" applyAlignment="0" applyProtection="0">
      <alignment vertical="top"/>
      <protection locked="0"/>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31" fillId="0" borderId="0" applyNumberFormat="0" applyFill="0" applyBorder="0" applyAlignment="0" applyProtection="0">
      <alignment horizontal="center" vertical="center"/>
    </xf>
    <xf numFmtId="166" fontId="78" fillId="0" borderId="0" applyNumberFormat="0" applyFill="0" applyBorder="0" applyAlignment="0" applyProtection="0">
      <alignment vertical="top"/>
      <protection locked="0"/>
    </xf>
    <xf numFmtId="166" fontId="78" fillId="0" borderId="0" applyNumberFormat="0" applyFill="0" applyBorder="0" applyAlignment="0" applyProtection="0">
      <alignment vertical="top"/>
      <protection locked="0"/>
    </xf>
    <xf numFmtId="166" fontId="31" fillId="0" borderId="0" applyNumberFormat="0" applyFill="0" applyBorder="0" applyAlignment="0" applyProtection="0">
      <alignment horizontal="center" vertical="center"/>
    </xf>
    <xf numFmtId="166" fontId="87" fillId="36" borderId="19" applyProtection="0">
      <alignment vertical="center"/>
    </xf>
    <xf numFmtId="166" fontId="88" fillId="18" borderId="19" applyProtection="0">
      <alignment vertical="center"/>
    </xf>
    <xf numFmtId="166" fontId="88" fillId="18" borderId="19" applyProtection="0">
      <alignment vertical="center"/>
    </xf>
    <xf numFmtId="166" fontId="87"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7" fillId="36" borderId="19" applyProtection="0">
      <alignment vertical="center"/>
    </xf>
    <xf numFmtId="166" fontId="87" fillId="36"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18" borderId="19" applyProtection="0">
      <alignment vertical="center"/>
    </xf>
    <xf numFmtId="166" fontId="87" fillId="18"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9" fillId="37"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7"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87" fillId="36" borderId="19" applyProtection="0">
      <alignment vertical="center"/>
    </xf>
    <xf numFmtId="166" fontId="13" fillId="3" borderId="1" applyNumberFormat="0" applyAlignment="0" applyProtection="0"/>
    <xf numFmtId="166" fontId="13" fillId="3" borderId="1" applyNumberFormat="0" applyAlignment="0" applyProtection="0"/>
    <xf numFmtId="166" fontId="87" fillId="36" borderId="19" applyProtection="0">
      <alignment vertical="center"/>
    </xf>
    <xf numFmtId="166" fontId="87" fillId="36" borderId="19" applyProtection="0">
      <alignment vertical="center"/>
    </xf>
    <xf numFmtId="166" fontId="88" fillId="18" borderId="19" applyProtection="0">
      <alignment horizontal="center" vertical="center"/>
    </xf>
    <xf numFmtId="166" fontId="87" fillId="18" borderId="19" applyProtection="0">
      <alignment horizontal="center" vertical="center"/>
    </xf>
    <xf numFmtId="166" fontId="13" fillId="3" borderId="1" applyNumberFormat="0" applyAlignment="0" applyProtection="0"/>
    <xf numFmtId="166" fontId="13" fillId="3" borderId="1" applyNumberFormat="0" applyAlignment="0" applyProtection="0"/>
    <xf numFmtId="166" fontId="13" fillId="3" borderId="1" applyNumberFormat="0" applyAlignment="0" applyProtection="0"/>
    <xf numFmtId="166" fontId="13" fillId="3" borderId="1" applyNumberFormat="0" applyAlignment="0" applyProtection="0"/>
    <xf numFmtId="166" fontId="87" fillId="18" borderId="19" applyProtection="0">
      <alignment horizontal="center" vertical="center"/>
    </xf>
    <xf numFmtId="166" fontId="88" fillId="18" borderId="19" applyProtection="0">
      <alignment horizontal="center" vertical="center"/>
    </xf>
    <xf numFmtId="166" fontId="13" fillId="3" borderId="1" applyNumberFormat="0" applyAlignment="0" applyProtection="0"/>
    <xf numFmtId="166" fontId="13" fillId="3" borderId="1" applyNumberFormat="0" applyAlignment="0" applyProtection="0"/>
    <xf numFmtId="166" fontId="13" fillId="3" borderId="1" applyNumberFormat="0" applyAlignment="0" applyProtection="0"/>
    <xf numFmtId="166" fontId="13" fillId="3" borderId="1" applyNumberFormat="0" applyAlignment="0" applyProtection="0"/>
    <xf numFmtId="166" fontId="13" fillId="3" borderId="1" applyNumberFormat="0" applyAlignment="0" applyProtection="0"/>
    <xf numFmtId="166" fontId="13" fillId="3" borderId="1" applyNumberFormat="0" applyAlignment="0" applyProtection="0"/>
    <xf numFmtId="166" fontId="90" fillId="0" borderId="27" applyProtection="0">
      <alignment vertical="center"/>
    </xf>
    <xf numFmtId="166" fontId="90"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0" fillId="0" borderId="27" applyProtection="0">
      <alignment vertical="center"/>
    </xf>
    <xf numFmtId="166" fontId="90" fillId="0" borderId="27" applyProtection="0">
      <alignment vertical="center"/>
    </xf>
    <xf numFmtId="166" fontId="90"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1" fillId="0" borderId="27" applyProtection="0">
      <alignment vertical="center"/>
    </xf>
    <xf numFmtId="166" fontId="90" fillId="0" borderId="27" applyProtection="0">
      <alignment vertical="center"/>
    </xf>
    <xf numFmtId="166" fontId="90" fillId="0" borderId="27" applyProtection="0">
      <alignment vertical="center"/>
    </xf>
    <xf numFmtId="166" fontId="90" fillId="0" borderId="27" applyProtection="0">
      <alignment vertical="center"/>
    </xf>
    <xf numFmtId="166" fontId="90" fillId="0" borderId="27" applyProtection="0">
      <alignment vertical="center"/>
    </xf>
    <xf numFmtId="166" fontId="90" fillId="0" borderId="27" applyProtection="0">
      <alignment vertical="center"/>
    </xf>
    <xf numFmtId="166" fontId="92" fillId="0" borderId="27" applyProtection="0">
      <alignment vertical="center"/>
    </xf>
    <xf numFmtId="166" fontId="92" fillId="0" borderId="27" applyProtection="0">
      <alignment vertical="center"/>
    </xf>
    <xf numFmtId="166" fontId="92" fillId="0" borderId="27" applyFill="0" applyProtection="0">
      <alignment horizontal="center" vertical="center"/>
    </xf>
    <xf numFmtId="166" fontId="90" fillId="0" borderId="27" applyFill="0" applyProtection="0">
      <alignment horizontal="center" vertical="center"/>
    </xf>
    <xf numFmtId="166" fontId="16" fillId="0" borderId="3" applyNumberFormat="0" applyFill="0" applyAlignment="0" applyProtection="0"/>
    <xf numFmtId="166" fontId="16" fillId="0" borderId="3" applyNumberFormat="0" applyFill="0" applyAlignment="0" applyProtection="0"/>
    <xf numFmtId="166" fontId="16" fillId="0" borderId="3" applyNumberFormat="0" applyFill="0" applyAlignment="0" applyProtection="0"/>
    <xf numFmtId="166" fontId="16" fillId="0" borderId="3" applyNumberFormat="0" applyFill="0" applyAlignment="0" applyProtection="0"/>
    <xf numFmtId="166" fontId="90" fillId="0" borderId="27" applyFill="0" applyProtection="0">
      <alignment horizontal="center" vertical="center"/>
    </xf>
    <xf numFmtId="166" fontId="92" fillId="0" borderId="27" applyFill="0" applyProtection="0">
      <alignment horizontal="center" vertical="center"/>
    </xf>
    <xf numFmtId="166" fontId="16" fillId="0" borderId="3" applyNumberFormat="0" applyFill="0" applyAlignment="0" applyProtection="0"/>
    <xf numFmtId="166" fontId="16" fillId="0" borderId="3" applyNumberFormat="0" applyFill="0" applyAlignment="0" applyProtection="0"/>
    <xf numFmtId="166" fontId="16" fillId="0" borderId="3" applyNumberFormat="0" applyFill="0" applyAlignment="0" applyProtection="0"/>
    <xf numFmtId="166" fontId="16" fillId="0" borderId="3" applyNumberFormat="0" applyFill="0" applyAlignment="0" applyProtection="0"/>
    <xf numFmtId="166" fontId="16" fillId="0" borderId="3" applyNumberFormat="0" applyFill="0" applyAlignment="0" applyProtection="0"/>
    <xf numFmtId="166" fontId="16" fillId="0" borderId="3" applyNumberFormat="0" applyFill="0" applyAlignment="0" applyProtection="0"/>
    <xf numFmtId="166" fontId="93" fillId="68" borderId="0" applyProtection="0">
      <alignment vertical="center"/>
    </xf>
    <xf numFmtId="166" fontId="93"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3" fillId="68" borderId="0" applyProtection="0">
      <alignment vertical="center"/>
    </xf>
    <xf numFmtId="166" fontId="93" fillId="68" borderId="0" applyProtection="0">
      <alignment vertical="center"/>
    </xf>
    <xf numFmtId="166" fontId="93" fillId="68" borderId="0" applyProtection="0">
      <alignment vertical="center"/>
    </xf>
    <xf numFmtId="166" fontId="93" fillId="68" borderId="0" applyProtection="0">
      <alignment vertical="center"/>
    </xf>
    <xf numFmtId="166" fontId="93" fillId="46" borderId="0" applyProtection="0">
      <alignment vertical="center"/>
    </xf>
    <xf numFmtId="166" fontId="93" fillId="46"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4" fillId="68" borderId="0" applyProtection="0">
      <alignment vertical="center"/>
    </xf>
    <xf numFmtId="166" fontId="93" fillId="68" borderId="0" applyProtection="0">
      <alignment vertical="center"/>
    </xf>
    <xf numFmtId="166" fontId="93" fillId="68" borderId="0" applyProtection="0">
      <alignment vertical="center"/>
    </xf>
    <xf numFmtId="166" fontId="93" fillId="68" borderId="0" applyProtection="0">
      <alignment vertical="center"/>
    </xf>
    <xf numFmtId="166" fontId="93" fillId="68" borderId="0" applyProtection="0">
      <alignment vertical="center"/>
    </xf>
    <xf numFmtId="166" fontId="93" fillId="68" borderId="0" applyProtection="0">
      <alignment vertical="center"/>
    </xf>
    <xf numFmtId="166" fontId="95" fillId="46" borderId="0" applyProtection="0">
      <alignment vertical="center"/>
    </xf>
    <xf numFmtId="166" fontId="95" fillId="46" borderId="0" applyProtection="0">
      <alignment vertical="center"/>
    </xf>
    <xf numFmtId="166" fontId="95" fillId="18" borderId="0" applyBorder="0" applyProtection="0">
      <alignment horizontal="center" vertical="center"/>
    </xf>
    <xf numFmtId="166" fontId="93" fillId="18" borderId="0" applyBorder="0" applyProtection="0">
      <alignment horizontal="center" vertical="center"/>
    </xf>
    <xf numFmtId="166" fontId="12" fillId="27" borderId="0" applyNumberFormat="0" applyBorder="0" applyAlignment="0" applyProtection="0"/>
    <xf numFmtId="166" fontId="12" fillId="27" borderId="0" applyNumberFormat="0" applyBorder="0" applyAlignment="0" applyProtection="0"/>
    <xf numFmtId="166" fontId="12" fillId="27" borderId="0" applyNumberFormat="0" applyBorder="0" applyAlignment="0" applyProtection="0"/>
    <xf numFmtId="166" fontId="12" fillId="27" borderId="0" applyNumberFormat="0" applyBorder="0" applyAlignment="0" applyProtection="0"/>
    <xf numFmtId="166" fontId="93" fillId="18" borderId="0" applyBorder="0" applyProtection="0">
      <alignment horizontal="center" vertical="center"/>
    </xf>
    <xf numFmtId="166" fontId="95" fillId="18" borderId="0" applyBorder="0" applyProtection="0">
      <alignment horizontal="center" vertical="center"/>
    </xf>
    <xf numFmtId="166" fontId="12" fillId="27" borderId="0" applyNumberFormat="0" applyBorder="0" applyAlignment="0" applyProtection="0"/>
    <xf numFmtId="166" fontId="12" fillId="27" borderId="0" applyNumberFormat="0" applyBorder="0" applyAlignment="0" applyProtection="0"/>
    <xf numFmtId="166" fontId="12" fillId="27" borderId="0" applyNumberFormat="0" applyBorder="0" applyAlignment="0" applyProtection="0"/>
    <xf numFmtId="166" fontId="12" fillId="27" borderId="0" applyNumberFormat="0" applyBorder="0" applyAlignment="0" applyProtection="0"/>
    <xf numFmtId="166" fontId="12" fillId="27" borderId="0" applyNumberFormat="0" applyBorder="0" applyAlignment="0" applyProtection="0"/>
    <xf numFmtId="166" fontId="12" fillId="27" borderId="0" applyNumberFormat="0" applyBorder="0" applyAlignment="0" applyProtection="0"/>
    <xf numFmtId="166" fontId="9" fillId="0" borderId="0"/>
    <xf numFmtId="166" fontId="22" fillId="0" borderId="0">
      <alignment horizontal="center" vertical="center"/>
    </xf>
    <xf numFmtId="166" fontId="22" fillId="0" borderId="0">
      <alignment horizontal="center" vertical="center"/>
    </xf>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4" fillId="0" borderId="0"/>
    <xf numFmtId="166" fontId="24"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35" fillId="0" borderId="0"/>
    <xf numFmtId="166" fontId="35" fillId="0" borderId="0"/>
    <xf numFmtId="166" fontId="35" fillId="0" borderId="0"/>
    <xf numFmtId="166" fontId="24" fillId="0" borderId="0"/>
    <xf numFmtId="166" fontId="24" fillId="0" borderId="0"/>
    <xf numFmtId="166" fontId="24" fillId="0" borderId="0"/>
    <xf numFmtId="166" fontId="24" fillId="0" borderId="0"/>
    <xf numFmtId="166" fontId="24"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6" fillId="0" borderId="0"/>
    <xf numFmtId="166" fontId="96" fillId="0" borderId="0"/>
    <xf numFmtId="166" fontId="96" fillId="0" borderId="0"/>
    <xf numFmtId="166" fontId="96" fillId="0" borderId="0"/>
    <xf numFmtId="166" fontId="96"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35" fillId="0" borderId="0"/>
    <xf numFmtId="166" fontId="35" fillId="0" borderId="0"/>
    <xf numFmtId="166" fontId="35" fillId="0" borderId="0"/>
    <xf numFmtId="166" fontId="96" fillId="0" borderId="0"/>
    <xf numFmtId="166" fontId="96" fillId="0" borderId="0"/>
    <xf numFmtId="166" fontId="96" fillId="0" borderId="0"/>
    <xf numFmtId="166" fontId="96"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97" fillId="0" borderId="0"/>
    <xf numFmtId="166" fontId="22" fillId="0" borderId="0">
      <alignment horizontal="center" vertical="center"/>
    </xf>
    <xf numFmtId="166" fontId="35" fillId="0" borderId="0"/>
    <xf numFmtId="166" fontId="35" fillId="0" borderId="0"/>
    <xf numFmtId="166" fontId="35"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35" fillId="0" borderId="0"/>
    <xf numFmtId="166" fontId="35" fillId="0" borderId="0"/>
    <xf numFmtId="166" fontId="35"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4" fillId="0" borderId="0"/>
    <xf numFmtId="166" fontId="24" fillId="0" borderId="0"/>
    <xf numFmtId="166" fontId="99" fillId="0" borderId="0"/>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29" fillId="0" borderId="0"/>
    <xf numFmtId="166" fontId="29" fillId="0" borderId="0"/>
    <xf numFmtId="166" fontId="29" fillId="0" borderId="0"/>
    <xf numFmtId="166" fontId="24" fillId="0" borderId="0"/>
    <xf numFmtId="166" fontId="27" fillId="0" borderId="0"/>
    <xf numFmtId="166" fontId="27" fillId="0" borderId="0"/>
    <xf numFmtId="166" fontId="100" fillId="0" borderId="0"/>
    <xf numFmtId="166" fontId="100" fillId="0" borderId="0"/>
    <xf numFmtId="166" fontId="27" fillId="0" borderId="0"/>
    <xf numFmtId="166" fontId="27"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9" fillId="0" borderId="0"/>
    <xf numFmtId="166" fontId="29" fillId="0" borderId="0"/>
    <xf numFmtId="166" fontId="29" fillId="0" borderId="0"/>
    <xf numFmtId="166" fontId="24" fillId="0" borderId="0"/>
    <xf numFmtId="166" fontId="24" fillId="0" borderId="0"/>
    <xf numFmtId="166" fontId="24" fillId="0" borderId="0"/>
    <xf numFmtId="166" fontId="24" fillId="0" borderId="0"/>
    <xf numFmtId="166" fontId="29"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9" fillId="0" borderId="0"/>
    <xf numFmtId="166" fontId="29" fillId="0" borderId="0"/>
    <xf numFmtId="166" fontId="24" fillId="0" borderId="0"/>
    <xf numFmtId="166" fontId="24" fillId="0" borderId="0"/>
    <xf numFmtId="166" fontId="24"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101" fillId="0" borderId="0"/>
    <xf numFmtId="166" fontId="101" fillId="0" borderId="0"/>
    <xf numFmtId="166" fontId="99" fillId="0" borderId="0"/>
    <xf numFmtId="166" fontId="29" fillId="0" borderId="0"/>
    <xf numFmtId="166" fontId="29" fillId="0" borderId="0"/>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24" fillId="0" borderId="0"/>
    <xf numFmtId="166" fontId="24" fillId="0" borderId="0"/>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24" fillId="0" borderId="0"/>
    <xf numFmtId="166" fontId="24" fillId="0" borderId="0"/>
    <xf numFmtId="166" fontId="98" fillId="0" borderId="0">
      <alignment vertical="center"/>
    </xf>
    <xf numFmtId="166" fontId="98" fillId="0" borderId="0">
      <alignment vertical="center"/>
    </xf>
    <xf numFmtId="166" fontId="24" fillId="0" borderId="0"/>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24" fillId="0" borderId="0"/>
    <xf numFmtId="166" fontId="24" fillId="0" borderId="0"/>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102" fillId="0" borderId="0"/>
    <xf numFmtId="166" fontId="102" fillId="0" borderId="0"/>
    <xf numFmtId="166" fontId="102" fillId="0" borderId="0"/>
    <xf numFmtId="166" fontId="102" fillId="0" borderId="0"/>
    <xf numFmtId="166" fontId="102" fillId="0" borderId="0"/>
    <xf numFmtId="166" fontId="102" fillId="0" borderId="0"/>
    <xf numFmtId="166" fontId="102" fillId="0" borderId="0"/>
    <xf numFmtId="166" fontId="102" fillId="0" borderId="0"/>
    <xf numFmtId="166" fontId="102" fillId="0" borderId="0"/>
    <xf numFmtId="166" fontId="102" fillId="0" borderId="0"/>
    <xf numFmtId="166" fontId="102"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103" fillId="0" borderId="0"/>
    <xf numFmtId="166" fontId="103" fillId="0" borderId="0"/>
    <xf numFmtId="166" fontId="103" fillId="0" borderId="0"/>
    <xf numFmtId="166" fontId="103" fillId="0" borderId="0"/>
    <xf numFmtId="166" fontId="103" fillId="0" borderId="0"/>
    <xf numFmtId="166" fontId="103" fillId="0" borderId="0"/>
    <xf numFmtId="166" fontId="103" fillId="0" borderId="0"/>
    <xf numFmtId="166" fontId="103" fillId="0" borderId="0"/>
    <xf numFmtId="166" fontId="103" fillId="0" borderId="0"/>
    <xf numFmtId="166" fontId="103" fillId="0" borderId="0"/>
    <xf numFmtId="166" fontId="103"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98" fillId="0" borderId="0">
      <alignment vertical="center"/>
    </xf>
    <xf numFmtId="166" fontId="98" fillId="0" borderId="0">
      <alignment vertical="center"/>
    </xf>
    <xf numFmtId="166" fontId="57" fillId="0" borderId="0"/>
    <xf numFmtId="166" fontId="57" fillId="0" borderId="0"/>
    <xf numFmtId="166" fontId="57" fillId="0" borderId="0"/>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24"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104" fillId="0" borderId="0">
      <alignment vertical="center"/>
    </xf>
    <xf numFmtId="166" fontId="104" fillId="0" borderId="0">
      <alignment vertical="center"/>
    </xf>
    <xf numFmtId="166" fontId="104" fillId="0" borderId="0">
      <alignment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4" fillId="0" borderId="0"/>
    <xf numFmtId="166" fontId="22" fillId="0" borderId="0">
      <alignment horizontal="center" vertical="center"/>
    </xf>
    <xf numFmtId="166" fontId="98" fillId="0" borderId="0">
      <alignment vertical="center"/>
    </xf>
    <xf numFmtId="166" fontId="24" fillId="0" borderId="0"/>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24" fillId="0" borderId="0"/>
    <xf numFmtId="166" fontId="29"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9" fillId="0" borderId="0"/>
    <xf numFmtId="166" fontId="29" fillId="0" borderId="0"/>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9" fillId="0" borderId="0"/>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98" fillId="0" borderId="0">
      <alignment vertical="center"/>
    </xf>
    <xf numFmtId="166" fontId="98" fillId="0" borderId="0">
      <alignment vertical="center"/>
    </xf>
    <xf numFmtId="166" fontId="24" fillId="0" borderId="0"/>
    <xf numFmtId="166" fontId="24" fillId="0" borderId="0"/>
    <xf numFmtId="166" fontId="24" fillId="0" borderId="0"/>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4" fillId="0" borderId="0"/>
    <xf numFmtId="166" fontId="24"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104" fillId="0" borderId="0">
      <alignment vertical="center"/>
    </xf>
    <xf numFmtId="166" fontId="104" fillId="0" borderId="0">
      <alignment vertical="center"/>
    </xf>
    <xf numFmtId="166" fontId="22" fillId="0" borderId="0">
      <alignment horizontal="center" vertical="center"/>
    </xf>
    <xf numFmtId="166" fontId="22"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105" fillId="0" borderId="0">
      <alignment horizontal="center" vertical="center"/>
    </xf>
    <xf numFmtId="166" fontId="105" fillId="0" borderId="0">
      <alignment horizontal="center" vertical="center"/>
    </xf>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57" fillId="0" borderId="0"/>
    <xf numFmtId="166" fontId="57" fillId="0" borderId="0"/>
    <xf numFmtId="166" fontId="57" fillId="0" borderId="0"/>
    <xf numFmtId="166" fontId="57" fillId="0" borderId="0"/>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4" fillId="0" borderId="0">
      <alignment vertical="center"/>
    </xf>
    <xf numFmtId="166" fontId="24" fillId="0" borderId="0">
      <alignment vertical="center"/>
    </xf>
    <xf numFmtId="166" fontId="57" fillId="0" borderId="0"/>
    <xf numFmtId="166" fontId="57" fillId="0" borderId="0"/>
    <xf numFmtId="166" fontId="57"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4" fillId="0" borderId="0"/>
    <xf numFmtId="166" fontId="23" fillId="0" borderId="0">
      <alignment horizontal="center" vertical="center"/>
    </xf>
    <xf numFmtId="166" fontId="22" fillId="0" borderId="0">
      <alignment horizontal="center" vertical="center"/>
    </xf>
    <xf numFmtId="166" fontId="100" fillId="0" borderId="0"/>
    <xf numFmtId="166" fontId="100"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4" fillId="0" borderId="0"/>
    <xf numFmtId="166" fontId="24" fillId="0" borderId="0"/>
    <xf numFmtId="166" fontId="24" fillId="0" borderId="0"/>
    <xf numFmtId="166" fontId="29" fillId="0" borderId="0"/>
    <xf numFmtId="166" fontId="29"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7"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4" fillId="0" borderId="0"/>
    <xf numFmtId="166" fontId="24" fillId="0" borderId="0"/>
    <xf numFmtId="166" fontId="24"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9" fillId="0" borderId="0"/>
    <xf numFmtId="166" fontId="29"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4" fillId="0" borderId="0"/>
    <xf numFmtId="166" fontId="29" fillId="0" borderId="0"/>
    <xf numFmtId="166" fontId="29"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3" fillId="0" borderId="0">
      <alignment horizontal="center" vertical="center"/>
    </xf>
    <xf numFmtId="166" fontId="29" fillId="0" borderId="0"/>
    <xf numFmtId="166" fontId="29" fillId="0" borderId="0"/>
    <xf numFmtId="166" fontId="29"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9" fillId="0" borderId="0"/>
    <xf numFmtId="166" fontId="29" fillId="0" borderId="0"/>
    <xf numFmtId="166" fontId="29"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57" fillId="0" borderId="0"/>
    <xf numFmtId="166" fontId="96" fillId="0" borderId="0"/>
    <xf numFmtId="166" fontId="96" fillId="0" borderId="0"/>
    <xf numFmtId="166" fontId="96" fillId="0" borderId="0"/>
    <xf numFmtId="166" fontId="100" fillId="0" borderId="0"/>
    <xf numFmtId="166" fontId="100" fillId="0" borderId="0"/>
    <xf numFmtId="166" fontId="96" fillId="0" borderId="0"/>
    <xf numFmtId="166" fontId="96" fillId="0" borderId="0"/>
    <xf numFmtId="166" fontId="96" fillId="0" borderId="0"/>
    <xf numFmtId="166" fontId="35" fillId="0" borderId="0"/>
    <xf numFmtId="166" fontId="35" fillId="0" borderId="0"/>
    <xf numFmtId="166" fontId="35" fillId="0" borderId="0"/>
    <xf numFmtId="166" fontId="57" fillId="0" borderId="0"/>
    <xf numFmtId="166" fontId="57" fillId="0" borderId="0"/>
    <xf numFmtId="166" fontId="57" fillId="0" borderId="0"/>
    <xf numFmtId="166" fontId="24" fillId="0" borderId="0"/>
    <xf numFmtId="166" fontId="24" fillId="0" borderId="0"/>
    <xf numFmtId="166" fontId="35" fillId="0" borderId="0"/>
    <xf numFmtId="166" fontId="35" fillId="0" borderId="0"/>
    <xf numFmtId="166" fontId="35" fillId="0" borderId="0"/>
    <xf numFmtId="166" fontId="35" fillId="0" borderId="0"/>
    <xf numFmtId="166" fontId="35" fillId="0" borderId="0"/>
    <xf numFmtId="166" fontId="35" fillId="0" borderId="0"/>
    <xf numFmtId="166" fontId="24"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35" fillId="0" borderId="0"/>
    <xf numFmtId="166" fontId="35" fillId="0" borderId="0"/>
    <xf numFmtId="166" fontId="106" fillId="0" borderId="0"/>
    <xf numFmtId="166" fontId="106" fillId="0" borderId="0"/>
    <xf numFmtId="166" fontId="35" fillId="0" borderId="0"/>
    <xf numFmtId="166" fontId="35" fillId="0" borderId="0"/>
    <xf numFmtId="166" fontId="24"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35" fillId="0" borderId="0"/>
    <xf numFmtId="166" fontId="35" fillId="0" borderId="0"/>
    <xf numFmtId="166" fontId="24" fillId="0" borderId="0"/>
    <xf numFmtId="166" fontId="24" fillId="0" borderId="0"/>
    <xf numFmtId="166" fontId="35" fillId="0" borderId="0"/>
    <xf numFmtId="166" fontId="35" fillId="0" borderId="0"/>
    <xf numFmtId="166" fontId="24" fillId="0" borderId="0"/>
    <xf numFmtId="166" fontId="24" fillId="0" borderId="0"/>
    <xf numFmtId="166" fontId="107" fillId="0" borderId="0">
      <alignment vertical="center"/>
    </xf>
    <xf numFmtId="166" fontId="107" fillId="0" borderId="0">
      <alignment vertical="center"/>
    </xf>
    <xf numFmtId="166" fontId="24" fillId="0" borderId="0"/>
    <xf numFmtId="166" fontId="36" fillId="0" borderId="0"/>
    <xf numFmtId="166" fontId="36" fillId="0" borderId="0"/>
    <xf numFmtId="166" fontId="35" fillId="0" borderId="0"/>
    <xf numFmtId="166" fontId="35" fillId="0" borderId="0"/>
    <xf numFmtId="166" fontId="35" fillId="0" borderId="0"/>
    <xf numFmtId="166" fontId="107" fillId="0" borderId="0">
      <alignment vertical="center"/>
    </xf>
    <xf numFmtId="166" fontId="107" fillId="0" borderId="0">
      <alignment vertical="center"/>
    </xf>
    <xf numFmtId="166" fontId="24" fillId="0" borderId="0"/>
    <xf numFmtId="166" fontId="24" fillId="0" borderId="0"/>
    <xf numFmtId="166" fontId="24" fillId="0" borderId="0"/>
    <xf numFmtId="166" fontId="36" fillId="0" borderId="0"/>
    <xf numFmtId="166" fontId="36"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22" fillId="0" borderId="0">
      <alignment horizontal="center" vertical="center"/>
    </xf>
    <xf numFmtId="166" fontId="35" fillId="0" borderId="0"/>
    <xf numFmtId="166" fontId="35" fillId="0" borderId="0"/>
    <xf numFmtId="166" fontId="22" fillId="0" borderId="0">
      <alignment horizontal="center" vertical="center"/>
    </xf>
    <xf numFmtId="166" fontId="22" fillId="0" borderId="0">
      <alignment horizontal="center" vertical="center"/>
    </xf>
    <xf numFmtId="166" fontId="35" fillId="0" borderId="0"/>
    <xf numFmtId="166" fontId="35" fillId="0" borderId="0"/>
    <xf numFmtId="166" fontId="35" fillId="0" borderId="0"/>
    <xf numFmtId="166" fontId="35" fillId="0" borderId="0"/>
    <xf numFmtId="166" fontId="107" fillId="0" borderId="0">
      <alignment vertical="center"/>
    </xf>
    <xf numFmtId="166" fontId="107" fillId="0" borderId="0">
      <alignment vertical="center"/>
    </xf>
    <xf numFmtId="166" fontId="35" fillId="0" borderId="0"/>
    <xf numFmtId="166" fontId="36" fillId="0" borderId="0"/>
    <xf numFmtId="166" fontId="36" fillId="0" borderId="0"/>
    <xf numFmtId="166" fontId="22" fillId="0" borderId="0">
      <alignment horizontal="center" vertical="center"/>
    </xf>
    <xf numFmtId="166" fontId="22" fillId="0" borderId="0">
      <alignment horizontal="center" vertical="center"/>
    </xf>
    <xf numFmtId="166" fontId="22" fillId="0" borderId="0">
      <alignment horizontal="center" vertical="center"/>
    </xf>
    <xf numFmtId="166" fontId="36" fillId="0" borderId="0"/>
    <xf numFmtId="166" fontId="36" fillId="0" borderId="0"/>
    <xf numFmtId="166" fontId="49" fillId="19" borderId="28" applyProtection="0">
      <alignment vertical="center"/>
    </xf>
    <xf numFmtId="166" fontId="50" fillId="19" borderId="28" applyProtection="0">
      <alignment vertical="center"/>
    </xf>
    <xf numFmtId="166" fontId="51" fillId="19" borderId="28" applyProtection="0">
      <alignment vertical="center"/>
    </xf>
    <xf numFmtId="166" fontId="51" fillId="19" borderId="28" applyProtection="0">
      <alignment vertical="center"/>
    </xf>
    <xf numFmtId="166" fontId="51" fillId="19" borderId="28" applyProtection="0">
      <alignment vertical="center"/>
    </xf>
    <xf numFmtId="166" fontId="51" fillId="19" borderId="28" applyProtection="0">
      <alignment vertical="center"/>
    </xf>
    <xf numFmtId="166" fontId="50" fillId="19" borderId="28" applyProtection="0">
      <alignment vertical="center"/>
    </xf>
    <xf numFmtId="166" fontId="108" fillId="5" borderId="29" applyNumberFormat="0" applyFont="0" applyAlignment="0" applyProtection="0"/>
    <xf numFmtId="166" fontId="108" fillId="5" borderId="29" applyNumberFormat="0" applyFont="0" applyAlignment="0" applyProtection="0"/>
    <xf numFmtId="166" fontId="50" fillId="19" borderId="28" applyProtection="0">
      <alignment vertical="center"/>
    </xf>
    <xf numFmtId="166" fontId="50" fillId="19" borderId="28" applyProtection="0">
      <alignment vertical="center"/>
    </xf>
    <xf numFmtId="166" fontId="49" fillId="19" borderId="28" applyProtection="0">
      <alignment vertical="center"/>
    </xf>
    <xf numFmtId="166" fontId="49" fillId="19" borderId="28" applyProtection="0">
      <alignment vertical="center"/>
    </xf>
    <xf numFmtId="166" fontId="49" fillId="19" borderId="28" applyProtection="0">
      <alignment vertical="center"/>
    </xf>
    <xf numFmtId="166" fontId="49" fillId="19" borderId="28" applyProtection="0">
      <alignment vertical="center"/>
    </xf>
    <xf numFmtId="166" fontId="49" fillId="19" borderId="28" applyProtection="0">
      <alignment vertical="center"/>
    </xf>
    <xf numFmtId="166" fontId="49" fillId="19" borderId="28" applyProtection="0">
      <alignment vertical="center"/>
    </xf>
    <xf numFmtId="166" fontId="49" fillId="19" borderId="28" applyProtection="0">
      <alignment vertical="center"/>
    </xf>
    <xf numFmtId="166" fontId="108" fillId="5" borderId="29" applyNumberFormat="0" applyFont="0" applyAlignment="0" applyProtection="0"/>
    <xf numFmtId="166" fontId="108" fillId="5" borderId="29" applyNumberFormat="0" applyFont="0" applyAlignment="0" applyProtection="0"/>
    <xf numFmtId="166" fontId="49" fillId="19" borderId="28" applyProtection="0">
      <alignment vertical="center"/>
    </xf>
    <xf numFmtId="166" fontId="49" fillId="19" borderId="28" applyProtection="0">
      <alignment vertical="center"/>
    </xf>
    <xf numFmtId="166" fontId="49" fillId="19" borderId="28" applyProtection="0">
      <alignment vertical="center"/>
    </xf>
    <xf numFmtId="166" fontId="22" fillId="19" borderId="29" applyProtection="0">
      <alignment horizontal="center" vertical="center"/>
    </xf>
    <xf numFmtId="166" fontId="22" fillId="19" borderId="29" applyProtection="0">
      <alignment horizontal="center" vertical="center"/>
    </xf>
    <xf numFmtId="166" fontId="35" fillId="5" borderId="29" applyNumberFormat="0" applyFont="0" applyAlignment="0" applyProtection="0"/>
    <xf numFmtId="166" fontId="35" fillId="5" borderId="29" applyNumberFormat="0" applyFont="0" applyAlignment="0" applyProtection="0"/>
    <xf numFmtId="166" fontId="35" fillId="5" borderId="29" applyNumberFormat="0" applyFont="0" applyAlignment="0" applyProtection="0"/>
    <xf numFmtId="166" fontId="35" fillId="5" borderId="29" applyNumberFormat="0" applyFont="0" applyAlignment="0" applyProtection="0"/>
    <xf numFmtId="166" fontId="35" fillId="5" borderId="29" applyNumberFormat="0" applyFont="0" applyAlignment="0" applyProtection="0"/>
    <xf numFmtId="166" fontId="35" fillId="5" borderId="29" applyNumberFormat="0" applyFont="0" applyAlignment="0" applyProtection="0"/>
    <xf numFmtId="166" fontId="35" fillId="5" borderId="29" applyNumberFormat="0" applyFont="0" applyAlignment="0" applyProtection="0"/>
    <xf numFmtId="166" fontId="35" fillId="5" borderId="29" applyNumberFormat="0" applyFont="0" applyAlignment="0" applyProtection="0"/>
    <xf numFmtId="166" fontId="22" fillId="19" borderId="29" applyProtection="0">
      <alignment horizontal="center" vertical="center"/>
    </xf>
    <xf numFmtId="166" fontId="22" fillId="19" borderId="29" applyProtection="0">
      <alignment horizontal="center" vertical="center"/>
    </xf>
    <xf numFmtId="166" fontId="109" fillId="63" borderId="30" applyProtection="0">
      <alignment vertical="center"/>
    </xf>
    <xf numFmtId="166" fontId="110" fillId="64" borderId="30" applyProtection="0">
      <alignment vertical="center"/>
    </xf>
    <xf numFmtId="166" fontId="110" fillId="64" borderId="30" applyProtection="0">
      <alignment vertical="center"/>
    </xf>
    <xf numFmtId="166" fontId="109"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09" fillId="63" borderId="30" applyProtection="0">
      <alignment vertical="center"/>
    </xf>
    <xf numFmtId="166" fontId="109" fillId="63"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11" fillId="64"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4"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09" fillId="63" borderId="30" applyProtection="0">
      <alignment vertical="center"/>
    </xf>
    <xf numFmtId="166" fontId="110" fillId="33" borderId="30" applyProtection="0">
      <alignment horizontal="center" vertical="center"/>
    </xf>
    <xf numFmtId="166" fontId="109" fillId="33" borderId="30" applyProtection="0">
      <alignment horizontal="center" vertical="center"/>
    </xf>
    <xf numFmtId="166" fontId="14" fillId="34" borderId="2" applyNumberFormat="0" applyAlignment="0" applyProtection="0"/>
    <xf numFmtId="166" fontId="14" fillId="34" borderId="2" applyNumberFormat="0" applyAlignment="0" applyProtection="0"/>
    <xf numFmtId="166" fontId="14" fillId="34" borderId="2" applyNumberFormat="0" applyAlignment="0" applyProtection="0"/>
    <xf numFmtId="166" fontId="14" fillId="34" borderId="2" applyNumberFormat="0" applyAlignment="0" applyProtection="0"/>
    <xf numFmtId="166" fontId="109" fillId="33" borderId="30" applyProtection="0">
      <alignment horizontal="center" vertical="center"/>
    </xf>
    <xf numFmtId="166" fontId="110" fillId="33" borderId="30" applyProtection="0">
      <alignment horizontal="center" vertical="center"/>
    </xf>
    <xf numFmtId="166" fontId="14" fillId="34" borderId="2" applyNumberFormat="0" applyAlignment="0" applyProtection="0"/>
    <xf numFmtId="166" fontId="14" fillId="34" borderId="2" applyNumberFormat="0" applyAlignment="0" applyProtection="0"/>
    <xf numFmtId="166" fontId="14" fillId="34" borderId="2" applyNumberFormat="0" applyAlignment="0" applyProtection="0"/>
    <xf numFmtId="166" fontId="14" fillId="34" borderId="2" applyNumberFormat="0" applyAlignment="0" applyProtection="0"/>
    <xf numFmtId="166" fontId="14" fillId="34" borderId="2" applyNumberFormat="0" applyAlignment="0" applyProtection="0"/>
    <xf numFmtId="166" fontId="14" fillId="34" borderId="2" applyNumberFormat="0" applyAlignment="0" applyProtection="0"/>
    <xf numFmtId="166" fontId="112" fillId="0" borderId="0" applyNumberFormat="0" applyFill="0" applyBorder="0" applyAlignment="0" applyProtection="0"/>
    <xf numFmtId="9" fontId="24" fillId="0" borderId="0" applyFill="0" applyBorder="0" applyAlignment="0" applyProtection="0"/>
    <xf numFmtId="9" fontId="24"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24" fillId="0" borderId="0" applyFill="0" applyBorder="0" applyAlignment="0" applyProtection="0"/>
    <xf numFmtId="9" fontId="24" fillId="0" borderId="0" applyFill="0" applyBorder="0" applyAlignment="0" applyProtection="0"/>
    <xf numFmtId="9" fontId="24" fillId="0" borderId="0" applyFill="0" applyBorder="0" applyAlignment="0" applyProtection="0"/>
    <xf numFmtId="166" fontId="113" fillId="0" borderId="0" applyNumberFormat="0" applyFill="0" applyBorder="0" applyAlignment="0" applyProtection="0"/>
    <xf numFmtId="166" fontId="113" fillId="0" borderId="0" applyFill="0" applyBorder="0" applyProtection="0">
      <alignment horizontal="center" vertical="center"/>
    </xf>
    <xf numFmtId="166" fontId="113" fillId="0" borderId="0" applyFill="0" applyBorder="0" applyProtection="0">
      <alignment horizontal="center" vertical="center"/>
    </xf>
    <xf numFmtId="166" fontId="114" fillId="0" borderId="0" applyNumberFormat="0" applyFill="0" applyBorder="0" applyAlignment="0" applyProtection="0"/>
    <xf numFmtId="166" fontId="114" fillId="0" borderId="0" applyFill="0" applyBorder="0" applyProtection="0">
      <alignment horizontal="center" vertical="center"/>
    </xf>
    <xf numFmtId="166" fontId="114" fillId="0" borderId="0" applyNumberFormat="0" applyFill="0" applyBorder="0" applyAlignment="0" applyProtection="0"/>
    <xf numFmtId="166" fontId="114" fillId="0" borderId="0" applyFill="0" applyBorder="0" applyProtection="0">
      <alignment horizontal="center" vertical="center"/>
    </xf>
    <xf numFmtId="166" fontId="115"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5"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6"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Fill="0" applyBorder="0" applyProtection="0">
      <alignment horizontal="center" vertical="center"/>
    </xf>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NumberFormat="0" applyFill="0" applyBorder="0" applyAlignment="0" applyProtection="0"/>
    <xf numFmtId="166" fontId="114" fillId="0" borderId="0" applyFill="0" applyBorder="0" applyProtection="0">
      <alignment horizontal="center" vertical="center"/>
    </xf>
    <xf numFmtId="166" fontId="113" fillId="0" borderId="0" applyNumberFormat="0" applyFill="0" applyBorder="0" applyAlignment="0" applyProtection="0"/>
    <xf numFmtId="166" fontId="113" fillId="0" borderId="0" applyFill="0" applyBorder="0" applyProtection="0">
      <alignment horizontal="center" vertical="center"/>
    </xf>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Fill="0" applyBorder="0" applyProtection="0">
      <alignment horizontal="center" vertical="center"/>
    </xf>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Fill="0" applyBorder="0" applyProtection="0">
      <alignment horizontal="center" vertical="center"/>
    </xf>
    <xf numFmtId="166" fontId="113" fillId="0" borderId="0" applyNumberFormat="0" applyFill="0" applyBorder="0" applyAlignment="0" applyProtection="0"/>
    <xf numFmtId="166" fontId="113" fillId="0" borderId="0" applyFill="0" applyBorder="0" applyProtection="0">
      <alignment horizontal="center" vertical="center"/>
    </xf>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7"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8"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Fill="0" applyBorder="0" applyProtection="0">
      <alignment horizontal="center" vertical="center"/>
    </xf>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NumberFormat="0" applyFill="0" applyBorder="0" applyAlignment="0" applyProtection="0"/>
    <xf numFmtId="166" fontId="113" fillId="0" borderId="0" applyFill="0" applyBorder="0" applyProtection="0">
      <alignment horizontal="center" vertical="center"/>
    </xf>
    <xf numFmtId="166" fontId="119" fillId="0" borderId="0" applyProtection="0">
      <alignment vertical="center"/>
    </xf>
    <xf numFmtId="166" fontId="119"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19" fillId="0" borderId="0" applyProtection="0">
      <alignment vertical="center"/>
    </xf>
    <xf numFmtId="166" fontId="121" fillId="0" borderId="0" applyNumberFormat="0" applyFill="0" applyBorder="0" applyAlignment="0" applyProtection="0"/>
    <xf numFmtId="166" fontId="121" fillId="0" borderId="0" applyNumberFormat="0" applyFill="0" applyBorder="0" applyAlignment="0" applyProtection="0"/>
    <xf numFmtId="166" fontId="119" fillId="0" borderId="0" applyProtection="0">
      <alignment vertical="center"/>
    </xf>
    <xf numFmtId="166" fontId="119"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21" fillId="0" borderId="0" applyNumberFormat="0" applyFill="0" applyBorder="0" applyAlignment="0" applyProtection="0"/>
    <xf numFmtId="166" fontId="121" fillId="0" borderId="0" applyNumberFormat="0" applyFill="0" applyBorder="0" applyAlignment="0" applyProtection="0"/>
    <xf numFmtId="166" fontId="120" fillId="0" borderId="0" applyProtection="0">
      <alignment vertical="center"/>
    </xf>
    <xf numFmtId="166" fontId="120" fillId="0" borderId="0" applyProtection="0">
      <alignment vertical="center"/>
    </xf>
    <xf numFmtId="166" fontId="120" fillId="0" borderId="0" applyProtection="0">
      <alignment vertical="center"/>
    </xf>
    <xf numFmtId="166" fontId="119" fillId="0" borderId="0" applyProtection="0">
      <alignment vertical="center"/>
    </xf>
    <xf numFmtId="166" fontId="119" fillId="0" borderId="0" applyProtection="0">
      <alignment vertical="center"/>
    </xf>
    <xf numFmtId="166" fontId="119" fillId="0" borderId="0" applyProtection="0">
      <alignment vertical="center"/>
    </xf>
    <xf numFmtId="166" fontId="121" fillId="0" borderId="0" applyNumberFormat="0" applyFill="0" applyBorder="0" applyAlignment="0" applyProtection="0"/>
    <xf numFmtId="166" fontId="121" fillId="0" borderId="0" applyNumberFormat="0" applyFill="0" applyBorder="0" applyAlignment="0" applyProtection="0"/>
    <xf numFmtId="166" fontId="119" fillId="0" borderId="0" applyProtection="0">
      <alignment vertical="center"/>
    </xf>
    <xf numFmtId="166" fontId="119" fillId="0" borderId="0" applyProtection="0">
      <alignment vertical="center"/>
    </xf>
    <xf numFmtId="166" fontId="122" fillId="0" borderId="0" applyProtection="0">
      <alignment vertical="center"/>
    </xf>
    <xf numFmtId="166" fontId="122" fillId="0" borderId="0" applyProtection="0">
      <alignment vertical="center"/>
    </xf>
    <xf numFmtId="166" fontId="123" fillId="0" borderId="0" applyNumberFormat="0" applyFill="0" applyBorder="0" applyAlignment="0" applyProtection="0"/>
    <xf numFmtId="166" fontId="121" fillId="0" borderId="0" applyNumberFormat="0" applyFill="0" applyBorder="0" applyAlignment="0" applyProtection="0"/>
    <xf numFmtId="166" fontId="121" fillId="0" borderId="0" applyNumberFormat="0" applyFill="0" applyBorder="0" applyAlignment="0" applyProtection="0"/>
    <xf numFmtId="166" fontId="123" fillId="0" borderId="0" applyNumberFormat="0" applyFill="0" applyBorder="0" applyAlignment="0" applyProtection="0"/>
    <xf numFmtId="166" fontId="123" fillId="0" borderId="0" applyNumberFormat="0" applyFill="0" applyBorder="0" applyAlignment="0" applyProtection="0"/>
    <xf numFmtId="166" fontId="123" fillId="0" borderId="0" applyNumberFormat="0" applyFill="0" applyBorder="0" applyAlignment="0" applyProtection="0"/>
    <xf numFmtId="166" fontId="22" fillId="69" borderId="0" applyProtection="0">
      <alignment horizontal="center" vertical="center"/>
    </xf>
    <xf numFmtId="166" fontId="23"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3" fillId="69" borderId="0" applyProtection="0">
      <alignment horizontal="center" vertical="center"/>
    </xf>
    <xf numFmtId="166" fontId="23" fillId="69" borderId="0" applyProtection="0">
      <alignment horizontal="center" vertical="center"/>
    </xf>
    <xf numFmtId="166" fontId="23"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3" fillId="69" borderId="0" applyProtection="0">
      <alignment horizontal="center" vertical="center"/>
    </xf>
    <xf numFmtId="166" fontId="23" fillId="69" borderId="0" applyProtection="0">
      <alignment horizontal="center" vertical="center"/>
    </xf>
    <xf numFmtId="166" fontId="23"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22" fillId="69" borderId="0" applyProtection="0">
      <alignment horizontal="center" vertical="center"/>
    </xf>
    <xf numFmtId="166" fontId="124" fillId="0" borderId="31" applyProtection="0">
      <alignment vertical="center"/>
    </xf>
    <xf numFmtId="166" fontId="124"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4" fillId="0" borderId="31" applyProtection="0">
      <alignment vertical="center"/>
    </xf>
    <xf numFmtId="166" fontId="124" fillId="0" borderId="31" applyProtection="0">
      <alignment vertical="center"/>
    </xf>
    <xf numFmtId="166" fontId="124"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5" fillId="0" borderId="31" applyProtection="0">
      <alignment vertical="center"/>
    </xf>
    <xf numFmtId="166" fontId="124" fillId="0" borderId="31" applyProtection="0">
      <alignment vertical="center"/>
    </xf>
    <xf numFmtId="166" fontId="124" fillId="0" borderId="31" applyProtection="0">
      <alignment vertical="center"/>
    </xf>
    <xf numFmtId="166" fontId="124" fillId="0" borderId="31" applyProtection="0">
      <alignment vertical="center"/>
    </xf>
    <xf numFmtId="166" fontId="124" fillId="0" borderId="31" applyProtection="0">
      <alignment vertical="center"/>
    </xf>
    <xf numFmtId="166" fontId="124" fillId="0" borderId="31" applyProtection="0">
      <alignment vertical="center"/>
    </xf>
    <xf numFmtId="166" fontId="126" fillId="0" borderId="31" applyProtection="0">
      <alignment vertical="center"/>
    </xf>
    <xf numFmtId="166" fontId="126" fillId="0" borderId="31" applyProtection="0">
      <alignment vertical="center"/>
    </xf>
    <xf numFmtId="166" fontId="126" fillId="0" borderId="32" applyFill="0" applyProtection="0">
      <alignment horizontal="center" vertical="center"/>
    </xf>
    <xf numFmtId="166" fontId="124" fillId="0" borderId="32" applyFill="0" applyProtection="0">
      <alignment horizontal="center" vertical="center"/>
    </xf>
    <xf numFmtId="166" fontId="20" fillId="0" borderId="32" applyNumberFormat="0" applyFill="0" applyAlignment="0" applyProtection="0"/>
    <xf numFmtId="166" fontId="20" fillId="0" borderId="32" applyNumberFormat="0" applyFill="0" applyAlignment="0" applyProtection="0"/>
    <xf numFmtId="166" fontId="20" fillId="0" borderId="32" applyNumberFormat="0" applyFill="0" applyAlignment="0" applyProtection="0"/>
    <xf numFmtId="166" fontId="20" fillId="0" borderId="32" applyNumberFormat="0" applyFill="0" applyAlignment="0" applyProtection="0"/>
    <xf numFmtId="166" fontId="124" fillId="0" borderId="32" applyFill="0" applyProtection="0">
      <alignment horizontal="center" vertical="center"/>
    </xf>
    <xf numFmtId="166" fontId="126" fillId="0" borderId="32" applyFill="0" applyProtection="0">
      <alignment horizontal="center" vertical="center"/>
    </xf>
    <xf numFmtId="166" fontId="20" fillId="0" borderId="32" applyNumberFormat="0" applyFill="0" applyAlignment="0" applyProtection="0"/>
    <xf numFmtId="166" fontId="20" fillId="0" borderId="32" applyNumberFormat="0" applyFill="0" applyAlignment="0" applyProtection="0"/>
    <xf numFmtId="166" fontId="20" fillId="0" borderId="32" applyNumberFormat="0" applyFill="0" applyAlignment="0" applyProtection="0"/>
    <xf numFmtId="166" fontId="20" fillId="0" borderId="32" applyNumberFormat="0" applyFill="0" applyAlignment="0" applyProtection="0"/>
    <xf numFmtId="166" fontId="20" fillId="0" borderId="32" applyNumberFormat="0" applyFill="0" applyAlignment="0" applyProtection="0"/>
    <xf numFmtId="166" fontId="20" fillId="0" borderId="32" applyNumberFormat="0" applyFill="0" applyAlignment="0" applyProtection="0"/>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4" fillId="69" borderId="0" applyProtection="0">
      <alignment vertical="center"/>
    </xf>
    <xf numFmtId="166" fontId="27" fillId="69" borderId="0" applyProtection="0">
      <alignment vertical="center"/>
    </xf>
    <xf numFmtId="166" fontId="27" fillId="69" borderId="0" applyProtection="0">
      <alignment vertical="center"/>
    </xf>
    <xf numFmtId="166" fontId="27" fillId="69" borderId="0" applyProtection="0">
      <alignment vertical="center"/>
    </xf>
    <xf numFmtId="166" fontId="27" fillId="69" borderId="0" applyProtection="0">
      <alignment vertical="center"/>
    </xf>
    <xf numFmtId="166" fontId="24" fillId="69" borderId="0" applyProtection="0">
      <alignment vertical="center"/>
    </xf>
    <xf numFmtId="166" fontId="24" fillId="69" borderId="0" applyProtection="0">
      <alignment vertical="center"/>
    </xf>
    <xf numFmtId="166" fontId="24"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57" fillId="67" borderId="0" applyNumberFormat="0" applyBorder="0" applyAlignment="0" applyProtection="0"/>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128" fillId="67" borderId="0" applyNumberFormat="0" applyBorder="0" applyProtection="0">
      <alignment horizontal="left"/>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127" fillId="67" borderId="0" applyNumberFormat="0" applyBorder="0" applyProtection="0">
      <alignment horizontal="left"/>
    </xf>
    <xf numFmtId="166" fontId="127" fillId="67" borderId="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Border="0" applyProtection="0">
      <alignment horizontal="left"/>
    </xf>
    <xf numFmtId="166" fontId="127" fillId="67" borderId="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127" fillId="67" borderId="0" applyNumberFormat="0" applyBorder="0" applyProtection="0">
      <alignment horizontal="left"/>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9" fillId="69" borderId="0" applyProtection="0">
      <alignment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70" borderId="0" applyBorder="0"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68" borderId="33"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22" fillId="46" borderId="33" applyProtection="0">
      <alignment horizontal="center" vertical="center"/>
    </xf>
    <xf numFmtId="166" fontId="129" fillId="0" borderId="0" applyProtection="0">
      <alignment vertical="center"/>
    </xf>
    <xf numFmtId="166" fontId="30"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30" fillId="0" borderId="0" applyProtection="0">
      <alignment vertical="center"/>
    </xf>
    <xf numFmtId="166" fontId="30" fillId="0" borderId="0" applyProtection="0">
      <alignment vertical="center"/>
    </xf>
    <xf numFmtId="166" fontId="30"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30" fillId="0" borderId="0" applyProtection="0">
      <alignment vertical="center"/>
    </xf>
    <xf numFmtId="166" fontId="30" fillId="0" borderId="0" applyProtection="0">
      <alignment vertical="center"/>
    </xf>
    <xf numFmtId="166" fontId="30"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129" fillId="0"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71" borderId="0" applyProtection="0">
      <alignment vertical="center"/>
    </xf>
    <xf numFmtId="166" fontId="29" fillId="71" borderId="0" applyProtection="0">
      <alignment vertical="center"/>
    </xf>
    <xf numFmtId="166" fontId="27" fillId="71" borderId="0" applyProtection="0">
      <alignment vertical="center"/>
    </xf>
    <xf numFmtId="166" fontId="27" fillId="71" borderId="0" applyProtection="0">
      <alignment vertical="center"/>
    </xf>
    <xf numFmtId="166" fontId="27" fillId="71" borderId="0" applyProtection="0">
      <alignment vertical="center"/>
    </xf>
    <xf numFmtId="166" fontId="27"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4" fillId="71" borderId="0" applyProtection="0">
      <alignment vertical="center"/>
    </xf>
    <xf numFmtId="166" fontId="24" fillId="71" borderId="0" applyProtection="0">
      <alignment vertical="center"/>
    </xf>
    <xf numFmtId="166" fontId="24" fillId="71" borderId="0" applyProtection="0">
      <alignment vertical="center"/>
    </xf>
    <xf numFmtId="166" fontId="24"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Fill="0" applyBorder="0" applyProtection="0">
      <alignment horizontal="center" vertical="center"/>
    </xf>
    <xf numFmtId="166" fontId="26" fillId="0" borderId="0" applyFill="0" applyBorder="0" applyProtection="0">
      <alignment horizontal="center" vertical="center"/>
    </xf>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130" fillId="0" borderId="0" applyFill="0" applyBorder="0" applyProtection="0">
      <alignment horizontal="center" vertical="center"/>
    </xf>
    <xf numFmtId="166" fontId="130" fillId="0" borderId="0" applyFill="0" applyBorder="0" applyProtection="0">
      <alignment horizontal="center"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28" borderId="0" applyProtection="0">
      <alignment vertical="center"/>
    </xf>
    <xf numFmtId="166" fontId="29" fillId="28" borderId="0" applyProtection="0">
      <alignment vertical="center"/>
    </xf>
    <xf numFmtId="166" fontId="29" fillId="28" borderId="0" applyProtection="0">
      <alignment vertical="center"/>
    </xf>
    <xf numFmtId="166" fontId="29" fillId="71" borderId="0" applyProtection="0">
      <alignment vertical="center"/>
    </xf>
    <xf numFmtId="166" fontId="29" fillId="71" borderId="0" applyProtection="0">
      <alignment vertical="center"/>
    </xf>
    <xf numFmtId="166" fontId="29" fillId="71"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31" borderId="0" applyProtection="0">
      <alignment vertical="center"/>
    </xf>
    <xf numFmtId="166" fontId="29" fillId="31" borderId="0" applyProtection="0">
      <alignment vertical="center"/>
    </xf>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131" fillId="0" borderId="0" applyNumberFormat="0" applyFill="0" applyBorder="0" applyAlignment="0" applyProtection="0"/>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72" borderId="0" applyProtection="0">
      <alignment vertical="center"/>
    </xf>
    <xf numFmtId="166" fontId="29" fillId="31" borderId="0" applyProtection="0">
      <alignment vertical="center"/>
    </xf>
    <xf numFmtId="166" fontId="29" fillId="31" borderId="0" applyProtection="0">
      <alignment vertical="center"/>
    </xf>
    <xf numFmtId="166" fontId="57" fillId="67" borderId="0" applyNumberFormat="0" applyBorder="0" applyAlignment="0" applyProtection="0"/>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Fill="0" applyBorder="0" applyProtection="0">
      <alignment horizontal="center" vertical="center"/>
    </xf>
    <xf numFmtId="166" fontId="130" fillId="0" borderId="0" applyFill="0" applyBorder="0" applyProtection="0">
      <alignment horizontal="center" vertical="center"/>
    </xf>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NumberFormat="0" applyFill="0" applyBorder="0" applyAlignment="0" applyProtection="0"/>
    <xf numFmtId="166" fontId="130" fillId="0" borderId="0" applyFill="0" applyBorder="0" applyProtection="0">
      <alignment horizontal="center" vertical="center"/>
    </xf>
    <xf numFmtId="166" fontId="130" fillId="0" borderId="0" applyFill="0" applyBorder="0" applyProtection="0">
      <alignment horizontal="center"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6" fillId="0" borderId="0" applyNumberFormat="0" applyFill="0" applyBorder="0" applyAlignment="0" applyProtection="0"/>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14" borderId="0" applyProtection="0">
      <alignment vertical="center"/>
    </xf>
    <xf numFmtId="166" fontId="29" fillId="28" borderId="0" applyProtection="0">
      <alignment vertical="center"/>
    </xf>
    <xf numFmtId="166" fontId="29" fillId="28" borderId="0" applyProtection="0">
      <alignment vertical="center"/>
    </xf>
    <xf numFmtId="166" fontId="29" fillId="28" borderId="0" applyProtection="0">
      <alignment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Border="0" applyProtection="0">
      <alignment horizontal="center" vertical="center"/>
    </xf>
    <xf numFmtId="166" fontId="29" fillId="56" borderId="0" applyBorder="0" applyProtection="0">
      <alignment horizontal="center" vertical="center"/>
    </xf>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NumberFormat="0" applyBorder="0" applyAlignment="0" applyProtection="0"/>
    <xf numFmtId="166" fontId="29" fillId="56" borderId="0" applyBorder="0" applyProtection="0">
      <alignment horizontal="center" vertical="center"/>
    </xf>
    <xf numFmtId="166" fontId="29" fillId="56" borderId="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32" fillId="0" borderId="0" applyFill="0" applyBorder="0" applyProtection="0">
      <alignment horizontal="center" vertical="center"/>
    </xf>
    <xf numFmtId="166" fontId="129"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129" fillId="0" borderId="0" applyFill="0" applyBorder="0" applyProtection="0">
      <alignment horizontal="center" vertical="center"/>
    </xf>
    <xf numFmtId="166" fontId="22" fillId="17" borderId="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NumberFormat="0" applyBorder="0" applyAlignment="0" applyProtection="0"/>
    <xf numFmtId="166" fontId="57" fillId="69" borderId="0" applyBorder="0" applyProtection="0">
      <alignment horizontal="center" vertical="center"/>
    </xf>
    <xf numFmtId="166" fontId="57" fillId="69"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NumberFormat="0" applyBorder="0" applyAlignment="0" applyProtection="0"/>
    <xf numFmtId="166" fontId="57" fillId="67" borderId="0" applyBorder="0" applyProtection="0">
      <alignment horizontal="center" vertical="center"/>
    </xf>
    <xf numFmtId="166" fontId="57" fillId="6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17" borderId="0" applyBorder="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22" fillId="0" borderId="33" applyFill="0" applyProtection="0">
      <alignment horizontal="center" vertical="center"/>
    </xf>
    <xf numFmtId="166" fontId="53" fillId="0" borderId="0" applyProtection="0">
      <alignment vertical="center"/>
    </xf>
    <xf numFmtId="166" fontId="5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53" fillId="0" borderId="0" applyProtection="0">
      <alignment vertical="center"/>
    </xf>
    <xf numFmtId="166" fontId="53" fillId="0" borderId="0" applyProtection="0">
      <alignment vertical="center"/>
    </xf>
    <xf numFmtId="166" fontId="5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133" fillId="0" borderId="0" applyProtection="0">
      <alignment vertical="center"/>
    </xf>
    <xf numFmtId="166" fontId="53" fillId="0" borderId="0" applyProtection="0">
      <alignment vertical="center"/>
    </xf>
    <xf numFmtId="166" fontId="53" fillId="0" borderId="0" applyProtection="0">
      <alignment vertical="center"/>
    </xf>
    <xf numFmtId="166" fontId="53" fillId="0" borderId="0" applyProtection="0">
      <alignment vertical="center"/>
    </xf>
    <xf numFmtId="166" fontId="53" fillId="0" borderId="0" applyProtection="0">
      <alignment vertical="center"/>
    </xf>
    <xf numFmtId="166" fontId="53" fillId="0" borderId="0" applyProtection="0">
      <alignment vertical="center"/>
    </xf>
    <xf numFmtId="166" fontId="134" fillId="0" borderId="0" applyProtection="0">
      <alignment vertical="center"/>
    </xf>
    <xf numFmtId="166" fontId="134" fillId="0" borderId="0" applyProtection="0">
      <alignment vertical="center"/>
    </xf>
    <xf numFmtId="166" fontId="134" fillId="0" borderId="0" applyFill="0" applyBorder="0" applyProtection="0">
      <alignment horizontal="center" vertical="center"/>
    </xf>
    <xf numFmtId="166" fontId="53" fillId="0" borderId="0" applyFill="0" applyBorder="0" applyProtection="0">
      <alignment horizontal="center" vertical="center"/>
    </xf>
    <xf numFmtId="166" fontId="18" fillId="0" borderId="0" applyNumberFormat="0" applyFill="0" applyBorder="0" applyAlignment="0" applyProtection="0"/>
    <xf numFmtId="166" fontId="18" fillId="0" borderId="0" applyNumberFormat="0" applyFill="0" applyBorder="0" applyAlignment="0" applyProtection="0"/>
    <xf numFmtId="166" fontId="18" fillId="0" borderId="0" applyNumberFormat="0" applyFill="0" applyBorder="0" applyAlignment="0" applyProtection="0"/>
    <xf numFmtId="166" fontId="18" fillId="0" borderId="0" applyNumberFormat="0" applyFill="0" applyBorder="0" applyAlignment="0" applyProtection="0"/>
    <xf numFmtId="166" fontId="53" fillId="0" borderId="0" applyFill="0" applyBorder="0" applyProtection="0">
      <alignment horizontal="center" vertical="center"/>
    </xf>
    <xf numFmtId="166" fontId="134" fillId="0" borderId="0" applyFill="0" applyBorder="0" applyProtection="0">
      <alignment horizontal="center" vertical="center"/>
    </xf>
    <xf numFmtId="166" fontId="18" fillId="0" borderId="0" applyNumberFormat="0" applyFill="0" applyBorder="0" applyAlignment="0" applyProtection="0"/>
    <xf numFmtId="166" fontId="18" fillId="0" borderId="0" applyNumberFormat="0" applyFill="0" applyBorder="0" applyAlignment="0" applyProtection="0"/>
    <xf numFmtId="166" fontId="18" fillId="0" borderId="0" applyNumberFormat="0" applyFill="0" applyBorder="0" applyAlignment="0" applyProtection="0"/>
    <xf numFmtId="166" fontId="18" fillId="0" borderId="0" applyNumberFormat="0" applyFill="0" applyBorder="0" applyAlignment="0" applyProtection="0"/>
    <xf numFmtId="166" fontId="18" fillId="0" borderId="0" applyNumberFormat="0" applyFill="0" applyBorder="0" applyAlignment="0" applyProtection="0"/>
    <xf numFmtId="166" fontId="18" fillId="0" borderId="0" applyNumberFormat="0" applyFill="0" applyBorder="0" applyAlignment="0" applyProtection="0"/>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98"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51" fillId="0" borderId="0">
      <alignment vertical="center"/>
    </xf>
    <xf numFmtId="166" fontId="98" fillId="0" borderId="0">
      <alignment vertical="center"/>
    </xf>
    <xf numFmtId="166" fontId="98" fillId="0" borderId="0">
      <alignment vertical="center"/>
    </xf>
    <xf numFmtId="166" fontId="50" fillId="0" borderId="0">
      <alignment vertical="center"/>
    </xf>
    <xf numFmtId="166" fontId="50" fillId="0" borderId="0">
      <alignment vertical="center"/>
    </xf>
    <xf numFmtId="166" fontId="50"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98" fillId="0" borderId="0">
      <alignment vertical="center"/>
    </xf>
    <xf numFmtId="166" fontId="104" fillId="0" borderId="0"/>
    <xf numFmtId="166" fontId="104" fillId="0" borderId="0"/>
    <xf numFmtId="166" fontId="104" fillId="0" borderId="0"/>
    <xf numFmtId="166" fontId="135" fillId="0" borderId="0"/>
    <xf numFmtId="166" fontId="135" fillId="0" borderId="0"/>
    <xf numFmtId="166" fontId="135" fillId="0" borderId="0"/>
    <xf numFmtId="166" fontId="135" fillId="0" borderId="0"/>
    <xf numFmtId="166" fontId="135" fillId="0" borderId="0"/>
    <xf numFmtId="166" fontId="135" fillId="0" borderId="0"/>
    <xf numFmtId="166" fontId="135" fillId="0" borderId="0"/>
    <xf numFmtId="166" fontId="135" fillId="0" borderId="0"/>
    <xf numFmtId="166" fontId="135" fillId="0" borderId="0"/>
    <xf numFmtId="166" fontId="135" fillId="0" borderId="0"/>
    <xf numFmtId="166" fontId="135"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36" fillId="0" borderId="0"/>
    <xf numFmtId="166" fontId="136" fillId="0" borderId="0"/>
    <xf numFmtId="166" fontId="136" fillId="0" borderId="0"/>
    <xf numFmtId="166" fontId="136" fillId="0" borderId="0"/>
    <xf numFmtId="166" fontId="136" fillId="0" borderId="0"/>
    <xf numFmtId="166" fontId="136" fillId="0" borderId="0"/>
    <xf numFmtId="166" fontId="136" fillId="0" borderId="0"/>
    <xf numFmtId="166" fontId="136" fillId="0" borderId="0"/>
    <xf numFmtId="166" fontId="136" fillId="0" borderId="0"/>
    <xf numFmtId="166" fontId="136" fillId="0" borderId="0"/>
    <xf numFmtId="166" fontId="136"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04"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8"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9"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37" fillId="0" borderId="0"/>
    <xf numFmtId="166" fontId="140" fillId="0" borderId="0" applyProtection="0">
      <alignment vertical="center"/>
    </xf>
    <xf numFmtId="166" fontId="141"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1" fillId="0" borderId="0" applyProtection="0">
      <alignment vertical="center"/>
    </xf>
    <xf numFmtId="166" fontId="141" fillId="0" borderId="0" applyProtection="0">
      <alignment vertical="center"/>
    </xf>
    <xf numFmtId="166" fontId="140"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2" fillId="0" borderId="0" applyProtection="0">
      <alignment vertical="center"/>
    </xf>
    <xf numFmtId="166" fontId="140" fillId="0" borderId="0" applyProtection="0">
      <alignment vertical="center"/>
    </xf>
    <xf numFmtId="166" fontId="140" fillId="0" borderId="0" applyProtection="0">
      <alignment vertical="center"/>
    </xf>
    <xf numFmtId="166" fontId="141" fillId="0" borderId="0" applyProtection="0">
      <alignment vertical="center"/>
    </xf>
    <xf numFmtId="166" fontId="141" fillId="0" borderId="0" applyProtection="0">
      <alignment vertical="center"/>
    </xf>
    <xf numFmtId="166" fontId="141"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140" fillId="0" borderId="0" applyProtection="0">
      <alignment vertical="center"/>
    </xf>
    <xf numFmtId="166" fontId="98" fillId="0" borderId="0">
      <alignment vertical="center"/>
    </xf>
    <xf numFmtId="166" fontId="22" fillId="0" borderId="0">
      <alignment horizontal="center" vertical="center"/>
    </xf>
    <xf numFmtId="166" fontId="22" fillId="0" borderId="0">
      <alignment horizontal="center" vertical="center"/>
    </xf>
    <xf numFmtId="166" fontId="9" fillId="0" borderId="0"/>
    <xf numFmtId="43" fontId="151" fillId="0" borderId="0" applyFill="0" applyBorder="0" applyAlignment="0" applyProtection="0"/>
    <xf numFmtId="166" fontId="32" fillId="0" borderId="0" applyFill="0" applyBorder="0" applyProtection="0">
      <alignment horizontal="center" vertical="center"/>
    </xf>
    <xf numFmtId="166" fontId="31" fillId="0" borderId="0" applyNumberFormat="0" applyFill="0" applyBorder="0" applyAlignment="0" applyProtection="0">
      <alignment horizontal="center" vertical="center"/>
    </xf>
    <xf numFmtId="166" fontId="22" fillId="0" borderId="0">
      <alignment horizontal="center" vertical="center"/>
    </xf>
    <xf numFmtId="166" fontId="31" fillId="0" borderId="0" applyNumberFormat="0" applyFill="0" applyBorder="0" applyAlignment="0" applyProtection="0">
      <alignment horizontal="center" vertical="center"/>
    </xf>
    <xf numFmtId="166" fontId="3" fillId="0" borderId="0"/>
  </cellStyleXfs>
  <cellXfs count="344">
    <xf numFmtId="166" fontId="0" fillId="0" borderId="0" xfId="0">
      <alignment horizontal="center" vertical="center"/>
    </xf>
    <xf numFmtId="166" fontId="28" fillId="0" borderId="0" xfId="12411" applyNumberFormat="1" applyFont="1" applyAlignment="1">
      <alignment horizontal="center" vertical="center"/>
    </xf>
    <xf numFmtId="166" fontId="143" fillId="0" borderId="0" xfId="12411" applyNumberFormat="1" applyFont="1" applyAlignment="1">
      <alignment horizontal="center" vertical="center"/>
    </xf>
    <xf numFmtId="166" fontId="99" fillId="0" borderId="0" xfId="12412" applyFont="1">
      <alignment horizontal="center" vertical="center"/>
    </xf>
    <xf numFmtId="166" fontId="144" fillId="0" borderId="0" xfId="12411" applyNumberFormat="1" applyFont="1" applyBorder="1" applyAlignment="1">
      <alignment horizontal="left"/>
    </xf>
    <xf numFmtId="166" fontId="145" fillId="0" borderId="0" xfId="12411" applyNumberFormat="1" applyFont="1" applyAlignment="1">
      <alignment horizontal="center" vertical="center"/>
    </xf>
    <xf numFmtId="166" fontId="146" fillId="0" borderId="0" xfId="12412" applyFont="1">
      <alignment horizontal="center" vertical="center"/>
    </xf>
    <xf numFmtId="166" fontId="147" fillId="17" borderId="5" xfId="12411" applyNumberFormat="1" applyFont="1" applyFill="1" applyBorder="1" applyAlignment="1">
      <alignment horizontal="center" vertical="center"/>
    </xf>
    <xf numFmtId="166" fontId="28" fillId="0" borderId="0" xfId="12411" applyNumberFormat="1" applyFont="1" applyFill="1" applyAlignment="1">
      <alignment horizontal="center" vertical="center"/>
    </xf>
    <xf numFmtId="166" fontId="99" fillId="0" borderId="0" xfId="12412" applyFont="1" applyFill="1">
      <alignment horizontal="center" vertical="center"/>
    </xf>
    <xf numFmtId="166" fontId="99" fillId="0" borderId="5" xfId="12413" applyNumberFormat="1" applyFont="1" applyFill="1" applyBorder="1" applyAlignment="1">
      <alignment horizontal="left" vertical="top" wrapText="1"/>
    </xf>
    <xf numFmtId="166" fontId="99" fillId="0" borderId="5" xfId="12413" applyNumberFormat="1" applyFont="1" applyFill="1" applyBorder="1" applyAlignment="1">
      <alignment horizontal="left" vertical="top"/>
    </xf>
    <xf numFmtId="166" fontId="147" fillId="0" borderId="0" xfId="0" applyFont="1" applyAlignment="1">
      <alignment horizontal="left" vertical="top"/>
    </xf>
    <xf numFmtId="166" fontId="28" fillId="0" borderId="0" xfId="0" applyFont="1" applyAlignment="1">
      <alignment horizontal="left" vertical="top"/>
    </xf>
    <xf numFmtId="166" fontId="28" fillId="0" borderId="0" xfId="0" applyFont="1" applyAlignment="1">
      <alignment horizontal="left" vertical="top" wrapText="1"/>
    </xf>
    <xf numFmtId="166" fontId="99" fillId="0" borderId="0" xfId="0" applyFont="1" applyAlignment="1">
      <alignment horizontal="left" vertical="top"/>
    </xf>
    <xf numFmtId="166" fontId="152" fillId="0" borderId="0" xfId="0" applyFont="1" applyAlignment="1">
      <alignment horizontal="left" vertical="top"/>
    </xf>
    <xf numFmtId="166" fontId="147" fillId="17" borderId="5" xfId="0" applyFont="1" applyFill="1" applyBorder="1" applyAlignment="1">
      <alignment horizontal="left" vertical="top"/>
    </xf>
    <xf numFmtId="166" fontId="147" fillId="17" borderId="5" xfId="0" applyFont="1" applyFill="1" applyBorder="1" applyAlignment="1">
      <alignment horizontal="left" vertical="top" wrapText="1"/>
    </xf>
    <xf numFmtId="49" fontId="147" fillId="17" borderId="5" xfId="0" applyNumberFormat="1" applyFont="1" applyFill="1" applyBorder="1" applyAlignment="1">
      <alignment horizontal="left" vertical="top" wrapText="1"/>
    </xf>
    <xf numFmtId="166" fontId="147" fillId="18" borderId="5" xfId="0" applyFont="1" applyFill="1" applyBorder="1" applyAlignment="1">
      <alignment horizontal="left" vertical="top" wrapText="1"/>
    </xf>
    <xf numFmtId="14" fontId="147" fillId="17" borderId="5" xfId="0" applyNumberFormat="1" applyFont="1" applyFill="1" applyBorder="1" applyAlignment="1">
      <alignment horizontal="left" vertical="top" wrapText="1"/>
    </xf>
    <xf numFmtId="49" fontId="147" fillId="14" borderId="5" xfId="0" applyNumberFormat="1" applyFont="1" applyFill="1" applyBorder="1" applyAlignment="1">
      <alignment horizontal="left" vertical="top"/>
    </xf>
    <xf numFmtId="49" fontId="147" fillId="14" borderId="5" xfId="0" applyNumberFormat="1" applyFont="1" applyFill="1" applyBorder="1" applyAlignment="1">
      <alignment horizontal="left" vertical="top" wrapText="1"/>
    </xf>
    <xf numFmtId="49" fontId="147" fillId="14" borderId="5" xfId="0" quotePrefix="1" applyNumberFormat="1" applyFont="1" applyFill="1" applyBorder="1" applyAlignment="1">
      <alignment horizontal="left" vertical="top"/>
    </xf>
    <xf numFmtId="166" fontId="28" fillId="0" borderId="5" xfId="0" applyFont="1" applyBorder="1" applyAlignment="1">
      <alignment horizontal="left" vertical="top" wrapText="1"/>
    </xf>
    <xf numFmtId="166" fontId="28" fillId="0" borderId="5" xfId="0" applyNumberFormat="1" applyFont="1" applyFill="1" applyBorder="1" applyAlignment="1">
      <alignment horizontal="left" vertical="top" wrapText="1"/>
    </xf>
    <xf numFmtId="49" fontId="28" fillId="0" borderId="5" xfId="0" applyNumberFormat="1" applyFont="1" applyFill="1" applyBorder="1" applyAlignment="1">
      <alignment horizontal="left" vertical="top" wrapText="1"/>
    </xf>
    <xf numFmtId="166" fontId="28" fillId="0" borderId="5" xfId="0" applyFont="1" applyBorder="1" applyAlignment="1">
      <alignment horizontal="left" vertical="top"/>
    </xf>
    <xf numFmtId="14" fontId="28" fillId="0" borderId="5" xfId="8795" applyNumberFormat="1" applyFont="1" applyFill="1" applyBorder="1" applyAlignment="1">
      <alignment horizontal="left" vertical="top" wrapText="1"/>
    </xf>
    <xf numFmtId="166" fontId="28" fillId="0" borderId="5" xfId="8795" applyFont="1" applyFill="1" applyBorder="1" applyAlignment="1">
      <alignment horizontal="left" vertical="top" wrapText="1"/>
    </xf>
    <xf numFmtId="14" fontId="28" fillId="0" borderId="5" xfId="0" applyNumberFormat="1" applyFont="1" applyFill="1" applyBorder="1" applyAlignment="1">
      <alignment horizontal="left" vertical="top" wrapText="1"/>
    </xf>
    <xf numFmtId="166" fontId="99" fillId="0" borderId="5" xfId="0" applyFont="1" applyBorder="1" applyAlignment="1">
      <alignment horizontal="left" vertical="top"/>
    </xf>
    <xf numFmtId="166" fontId="28" fillId="0" borderId="0" xfId="0" applyFont="1" applyFill="1" applyAlignment="1">
      <alignment horizontal="left" vertical="top"/>
    </xf>
    <xf numFmtId="49" fontId="28" fillId="0" borderId="0" xfId="0" applyNumberFormat="1" applyFont="1" applyFill="1" applyAlignment="1">
      <alignment horizontal="left" vertical="top"/>
    </xf>
    <xf numFmtId="166" fontId="99" fillId="0" borderId="0" xfId="0" applyFont="1" applyAlignment="1">
      <alignment horizontal="left" vertical="top" wrapText="1"/>
    </xf>
    <xf numFmtId="49" fontId="147" fillId="0" borderId="5" xfId="0" applyNumberFormat="1" applyFont="1" applyFill="1" applyBorder="1" applyAlignment="1">
      <alignment horizontal="left" vertical="top" wrapText="1"/>
    </xf>
    <xf numFmtId="166" fontId="157" fillId="0" borderId="5" xfId="0" applyFont="1" applyBorder="1" applyAlignment="1">
      <alignment horizontal="left" vertical="top" wrapText="1"/>
    </xf>
    <xf numFmtId="166" fontId="152" fillId="0" borderId="5" xfId="0" applyFont="1" applyBorder="1" applyAlignment="1">
      <alignment horizontal="left" vertical="top" wrapText="1"/>
    </xf>
    <xf numFmtId="14" fontId="99" fillId="0" borderId="5" xfId="0" applyNumberFormat="1" applyFont="1" applyBorder="1" applyAlignment="1">
      <alignment horizontal="left" vertical="top" wrapText="1"/>
    </xf>
    <xf numFmtId="166" fontId="99" fillId="0" borderId="5" xfId="0" applyFont="1" applyFill="1" applyBorder="1" applyAlignment="1">
      <alignment horizontal="left" vertical="top" wrapText="1"/>
    </xf>
    <xf numFmtId="14" fontId="99" fillId="0" borderId="5" xfId="0" applyNumberFormat="1" applyFont="1" applyFill="1" applyBorder="1" applyAlignment="1">
      <alignment horizontal="left" vertical="top" wrapText="1"/>
    </xf>
    <xf numFmtId="49" fontId="28" fillId="0" borderId="5" xfId="0" applyNumberFormat="1" applyFont="1" applyFill="1" applyBorder="1" applyAlignment="1">
      <alignment horizontal="left" vertical="top"/>
    </xf>
    <xf numFmtId="166" fontId="99" fillId="0" borderId="0" xfId="0" applyFont="1" applyFill="1" applyAlignment="1">
      <alignment horizontal="left" vertical="top"/>
    </xf>
    <xf numFmtId="49" fontId="99" fillId="0" borderId="5" xfId="0" applyNumberFormat="1" applyFont="1" applyFill="1" applyBorder="1" applyAlignment="1">
      <alignment horizontal="left" vertical="top" wrapText="1"/>
    </xf>
    <xf numFmtId="49" fontId="99" fillId="0" borderId="5" xfId="0" applyNumberFormat="1" applyFont="1" applyFill="1" applyBorder="1" applyAlignment="1">
      <alignment horizontal="left" vertical="top"/>
    </xf>
    <xf numFmtId="166" fontId="157" fillId="0" borderId="5" xfId="0" quotePrefix="1" applyFont="1" applyFill="1" applyBorder="1" applyAlignment="1">
      <alignment horizontal="left" vertical="top" wrapText="1"/>
    </xf>
    <xf numFmtId="166" fontId="28" fillId="0" borderId="5" xfId="0" quotePrefix="1" applyFont="1" applyFill="1" applyBorder="1" applyAlignment="1">
      <alignment horizontal="left" vertical="top" wrapText="1"/>
    </xf>
    <xf numFmtId="166" fontId="99" fillId="0" borderId="5" xfId="0" quotePrefix="1" applyFont="1" applyBorder="1" applyAlignment="1">
      <alignment horizontal="left" vertical="top" wrapText="1"/>
    </xf>
    <xf numFmtId="166" fontId="158" fillId="0" borderId="5" xfId="0" applyFont="1" applyFill="1" applyBorder="1" applyAlignment="1">
      <alignment horizontal="left" vertical="top" wrapText="1"/>
    </xf>
    <xf numFmtId="49" fontId="155" fillId="0" borderId="5" xfId="0" applyNumberFormat="1" applyFont="1" applyFill="1" applyBorder="1" applyAlignment="1">
      <alignment horizontal="left" vertical="top" wrapText="1"/>
    </xf>
    <xf numFmtId="166" fontId="28" fillId="0" borderId="5" xfId="0" applyFont="1" applyFill="1" applyBorder="1" applyAlignment="1">
      <alignment horizontal="left" vertical="top"/>
    </xf>
    <xf numFmtId="166" fontId="28" fillId="0" borderId="5" xfId="4" applyFont="1" applyFill="1" applyBorder="1" applyAlignment="1">
      <alignment horizontal="left" vertical="top" wrapText="1"/>
    </xf>
    <xf numFmtId="164" fontId="28" fillId="0" borderId="5" xfId="1" applyNumberFormat="1" applyFont="1" applyFill="1" applyBorder="1" applyAlignment="1">
      <alignment horizontal="left" vertical="top"/>
    </xf>
    <xf numFmtId="166" fontId="28" fillId="0" borderId="5" xfId="4" applyNumberFormat="1" applyFont="1" applyFill="1" applyBorder="1" applyAlignment="1">
      <alignment horizontal="left" vertical="top" wrapText="1"/>
    </xf>
    <xf numFmtId="165" fontId="99" fillId="0" borderId="5" xfId="0" applyNumberFormat="1" applyFont="1" applyBorder="1" applyAlignment="1">
      <alignment horizontal="left" vertical="top" wrapText="1"/>
    </xf>
    <xf numFmtId="166" fontId="99" fillId="0" borderId="5" xfId="0" applyNumberFormat="1" applyFont="1" applyFill="1" applyBorder="1" applyAlignment="1">
      <alignment horizontal="left" vertical="top" wrapText="1"/>
    </xf>
    <xf numFmtId="49" fontId="99" fillId="0" borderId="5" xfId="0" applyNumberFormat="1" applyFont="1" applyBorder="1" applyAlignment="1">
      <alignment horizontal="left" vertical="top" wrapText="1"/>
    </xf>
    <xf numFmtId="14" fontId="28" fillId="0" borderId="5" xfId="0" applyNumberFormat="1" applyFont="1" applyBorder="1" applyAlignment="1">
      <alignment horizontal="left" vertical="top" wrapText="1"/>
    </xf>
    <xf numFmtId="1" fontId="99" fillId="0" borderId="0" xfId="0" applyNumberFormat="1" applyFont="1" applyAlignment="1">
      <alignment horizontal="left" vertical="top" wrapText="1"/>
    </xf>
    <xf numFmtId="4" fontId="99" fillId="0" borderId="5" xfId="0" applyNumberFormat="1" applyFont="1" applyBorder="1" applyAlignment="1">
      <alignment horizontal="left" vertical="top" wrapText="1"/>
    </xf>
    <xf numFmtId="166" fontId="28" fillId="13" borderId="5" xfId="0" applyFont="1" applyFill="1" applyBorder="1" applyAlignment="1">
      <alignment horizontal="left" vertical="top" wrapText="1"/>
    </xf>
    <xf numFmtId="166" fontId="28" fillId="33" borderId="5" xfId="0" applyFont="1" applyFill="1" applyBorder="1" applyAlignment="1">
      <alignment horizontal="left" vertical="top" wrapText="1"/>
    </xf>
    <xf numFmtId="166" fontId="155" fillId="0" borderId="5" xfId="0" applyFont="1" applyFill="1" applyBorder="1" applyAlignment="1">
      <alignment horizontal="left" vertical="top" wrapText="1"/>
    </xf>
    <xf numFmtId="166" fontId="147" fillId="0" borderId="0" xfId="12413" applyFont="1" applyAlignment="1">
      <alignment horizontal="left" vertical="top" wrapText="1"/>
    </xf>
    <xf numFmtId="3" fontId="99" fillId="0" borderId="0" xfId="12413" applyNumberFormat="1" applyFont="1" applyAlignment="1">
      <alignment horizontal="left" vertical="top" wrapText="1"/>
    </xf>
    <xf numFmtId="166" fontId="99" fillId="0" borderId="0" xfId="12413" applyFont="1" applyAlignment="1">
      <alignment horizontal="left" vertical="top" wrapText="1"/>
    </xf>
    <xf numFmtId="166" fontId="99" fillId="0" borderId="5" xfId="12413" applyFont="1" applyBorder="1" applyAlignment="1">
      <alignment horizontal="left" vertical="top" wrapText="1"/>
    </xf>
    <xf numFmtId="14" fontId="99" fillId="0" borderId="5" xfId="12413" applyNumberFormat="1" applyFont="1" applyBorder="1" applyAlignment="1">
      <alignment horizontal="left" vertical="top" wrapText="1"/>
    </xf>
    <xf numFmtId="49" fontId="147" fillId="14" borderId="5" xfId="12413" applyNumberFormat="1" applyFont="1" applyFill="1" applyBorder="1" applyAlignment="1">
      <alignment horizontal="left" vertical="top" wrapText="1"/>
    </xf>
    <xf numFmtId="14" fontId="147" fillId="14" borderId="5" xfId="12413" applyNumberFormat="1" applyFont="1" applyFill="1" applyBorder="1" applyAlignment="1">
      <alignment horizontal="left" vertical="top" wrapText="1"/>
    </xf>
    <xf numFmtId="49" fontId="147" fillId="0" borderId="5" xfId="12413" applyNumberFormat="1" applyFont="1" applyFill="1" applyBorder="1" applyAlignment="1">
      <alignment horizontal="left" vertical="top" wrapText="1"/>
    </xf>
    <xf numFmtId="166" fontId="99" fillId="0" borderId="5" xfId="12413" applyFont="1" applyFill="1" applyBorder="1" applyAlignment="1">
      <alignment horizontal="left" vertical="top" wrapText="1"/>
    </xf>
    <xf numFmtId="166" fontId="99" fillId="0" borderId="0" xfId="12413" applyFont="1" applyFill="1" applyAlignment="1">
      <alignment horizontal="left" vertical="top" wrapText="1"/>
    </xf>
    <xf numFmtId="3" fontId="99" fillId="0" borderId="5" xfId="12413" applyNumberFormat="1" applyFont="1" applyBorder="1" applyAlignment="1">
      <alignment horizontal="left" vertical="top"/>
    </xf>
    <xf numFmtId="166" fontId="99" fillId="0" borderId="11" xfId="12413" applyFont="1" applyBorder="1" applyAlignment="1">
      <alignment horizontal="left" vertical="top" wrapText="1"/>
    </xf>
    <xf numFmtId="166" fontId="99" fillId="0" borderId="5" xfId="12413" quotePrefix="1" applyFont="1" applyBorder="1" applyAlignment="1">
      <alignment horizontal="left" vertical="top" wrapText="1"/>
    </xf>
    <xf numFmtId="166" fontId="99" fillId="0" borderId="5" xfId="12413" applyFont="1" applyBorder="1" applyAlignment="1">
      <alignment horizontal="left" vertical="top"/>
    </xf>
    <xf numFmtId="166" fontId="160" fillId="0" borderId="5" xfId="0" applyFont="1" applyFill="1" applyBorder="1" applyAlignment="1">
      <alignment horizontal="left" vertical="top" wrapText="1"/>
    </xf>
    <xf numFmtId="166" fontId="99" fillId="0" borderId="5" xfId="0" applyNumberFormat="1" applyFont="1" applyBorder="1" applyAlignment="1">
      <alignment horizontal="left" vertical="top" wrapText="1"/>
    </xf>
    <xf numFmtId="166" fontId="99" fillId="0" borderId="5" xfId="0" applyFont="1" applyFill="1" applyBorder="1" applyAlignment="1">
      <alignment horizontal="left" vertical="top"/>
    </xf>
    <xf numFmtId="49" fontId="99" fillId="0" borderId="5" xfId="2" applyNumberFormat="1" applyFont="1" applyBorder="1" applyAlignment="1">
      <alignment horizontal="left" vertical="top" wrapText="1"/>
    </xf>
    <xf numFmtId="166" fontId="8" fillId="0" borderId="5" xfId="12414" applyFont="1" applyBorder="1" applyAlignment="1">
      <alignment horizontal="left" vertical="top" wrapText="1"/>
    </xf>
    <xf numFmtId="166" fontId="8" fillId="0" borderId="5" xfId="12414" applyFont="1" applyFill="1" applyBorder="1" applyAlignment="1">
      <alignment horizontal="left" vertical="top" wrapText="1"/>
    </xf>
    <xf numFmtId="166" fontId="99" fillId="0" borderId="5" xfId="0" applyFont="1" applyBorder="1" applyAlignment="1">
      <alignment horizontal="left" vertical="top" wrapText="1"/>
    </xf>
    <xf numFmtId="166" fontId="28" fillId="0" borderId="5" xfId="0" applyFont="1" applyFill="1" applyBorder="1" applyAlignment="1">
      <alignment horizontal="left" vertical="top" wrapText="1"/>
    </xf>
    <xf numFmtId="166" fontId="28" fillId="0" borderId="5" xfId="0" applyFont="1" applyFill="1" applyBorder="1" applyAlignment="1">
      <alignment horizontal="left" vertical="top" wrapText="1"/>
    </xf>
    <xf numFmtId="166" fontId="99" fillId="0" borderId="5" xfId="12413" applyFont="1" applyBorder="1" applyAlignment="1">
      <alignment horizontal="left" vertical="top"/>
    </xf>
    <xf numFmtId="166" fontId="28" fillId="15" borderId="5" xfId="0" applyFont="1" applyFill="1" applyBorder="1" applyAlignment="1">
      <alignment horizontal="left" vertical="top" wrapText="1"/>
    </xf>
    <xf numFmtId="167" fontId="27" fillId="0" borderId="5" xfId="12413" applyNumberFormat="1" applyFont="1" applyFill="1" applyBorder="1" applyAlignment="1">
      <alignment horizontal="left" vertical="top"/>
    </xf>
    <xf numFmtId="166" fontId="28" fillId="0" borderId="5" xfId="0" applyFont="1" applyFill="1" applyBorder="1" applyAlignment="1">
      <alignment horizontal="left" vertical="top" wrapText="1"/>
    </xf>
    <xf numFmtId="166" fontId="28" fillId="0" borderId="5" xfId="0" applyFont="1" applyFill="1" applyBorder="1" applyAlignment="1">
      <alignment horizontal="left" vertical="top" wrapText="1"/>
    </xf>
    <xf numFmtId="166" fontId="7" fillId="0" borderId="5" xfId="12414" applyFont="1" applyBorder="1" applyAlignment="1">
      <alignment horizontal="left" vertical="top" wrapText="1"/>
    </xf>
    <xf numFmtId="3" fontId="99" fillId="0" borderId="5" xfId="12413" applyNumberFormat="1" applyFont="1" applyBorder="1" applyAlignment="1">
      <alignment horizontal="left" vertical="top" wrapText="1"/>
    </xf>
    <xf numFmtId="166" fontId="6" fillId="0" borderId="5" xfId="12414" applyFont="1" applyBorder="1" applyAlignment="1">
      <alignment horizontal="left" vertical="top" wrapText="1"/>
    </xf>
    <xf numFmtId="166" fontId="168" fillId="0" borderId="5" xfId="12414" applyFont="1" applyBorder="1" applyAlignment="1">
      <alignment horizontal="left" vertical="top" wrapText="1"/>
    </xf>
    <xf numFmtId="166" fontId="28" fillId="0" borderId="5" xfId="0" applyFont="1" applyFill="1" applyBorder="1" applyAlignment="1">
      <alignment horizontal="left" vertical="top" wrapText="1"/>
    </xf>
    <xf numFmtId="49" fontId="168" fillId="0" borderId="5" xfId="0" applyNumberFormat="1" applyFont="1" applyBorder="1" applyAlignment="1">
      <alignment horizontal="left" vertical="top" wrapText="1"/>
    </xf>
    <xf numFmtId="166" fontId="28" fillId="0" borderId="5" xfId="0" applyFont="1" applyFill="1" applyBorder="1" applyAlignment="1">
      <alignment horizontal="left" vertical="top" wrapText="1"/>
    </xf>
    <xf numFmtId="166" fontId="99" fillId="0" borderId="0" xfId="12413" applyNumberFormat="1" applyFont="1" applyAlignment="1">
      <alignment horizontal="left" vertical="top"/>
    </xf>
    <xf numFmtId="166" fontId="28" fillId="0" borderId="0" xfId="3962" applyNumberFormat="1" applyFont="1" applyAlignment="1">
      <alignment horizontal="left" vertical="top" wrapText="1"/>
    </xf>
    <xf numFmtId="166" fontId="166" fillId="0" borderId="0" xfId="12413" applyNumberFormat="1" applyFont="1" applyAlignment="1">
      <alignment horizontal="left" vertical="top" wrapText="1"/>
    </xf>
    <xf numFmtId="49" fontId="147" fillId="80" borderId="5" xfId="0" applyNumberFormat="1" applyFont="1" applyFill="1" applyBorder="1" applyAlignment="1">
      <alignment horizontal="left" vertical="top" wrapText="1"/>
    </xf>
    <xf numFmtId="166" fontId="99" fillId="80" borderId="5" xfId="0" applyFont="1" applyFill="1" applyBorder="1" applyAlignment="1">
      <alignment horizontal="left" vertical="top" wrapText="1"/>
    </xf>
    <xf numFmtId="14" fontId="99" fillId="80" borderId="5" xfId="0" applyNumberFormat="1" applyFont="1" applyFill="1" applyBorder="1" applyAlignment="1">
      <alignment horizontal="left" vertical="top" wrapText="1"/>
    </xf>
    <xf numFmtId="166" fontId="28" fillId="80" borderId="5" xfId="0" applyFont="1" applyFill="1" applyBorder="1" applyAlignment="1">
      <alignment horizontal="left" vertical="top" wrapText="1"/>
    </xf>
    <xf numFmtId="49" fontId="147" fillId="81" borderId="5" xfId="0" applyNumberFormat="1" applyFont="1" applyFill="1" applyBorder="1" applyAlignment="1">
      <alignment horizontal="left" vertical="top" wrapText="1"/>
    </xf>
    <xf numFmtId="166" fontId="28" fillId="80" borderId="5" xfId="0" applyFont="1" applyFill="1" applyBorder="1" applyAlignment="1">
      <alignment horizontal="left" vertical="top"/>
    </xf>
    <xf numFmtId="166" fontId="8" fillId="0" borderId="5" xfId="12414" applyNumberFormat="1" applyFont="1" applyBorder="1" applyAlignment="1">
      <alignment horizontal="left" vertical="top" wrapText="1"/>
    </xf>
    <xf numFmtId="166" fontId="147" fillId="14" borderId="5" xfId="12413" applyNumberFormat="1" applyFont="1" applyFill="1" applyBorder="1" applyAlignment="1">
      <alignment horizontal="left" vertical="top" wrapText="1"/>
    </xf>
    <xf numFmtId="166" fontId="8" fillId="0" borderId="5" xfId="12414" applyNumberFormat="1" applyFont="1" applyFill="1" applyBorder="1" applyAlignment="1">
      <alignment horizontal="left" vertical="top" wrapText="1"/>
    </xf>
    <xf numFmtId="166" fontId="99" fillId="0" borderId="0" xfId="12413" applyNumberFormat="1" applyFont="1" applyAlignment="1">
      <alignment horizontal="left" vertical="top" wrapText="1"/>
    </xf>
    <xf numFmtId="49" fontId="147" fillId="81" borderId="5" xfId="12413" applyNumberFormat="1" applyFont="1" applyFill="1" applyBorder="1" applyAlignment="1">
      <alignment horizontal="left" vertical="top"/>
    </xf>
    <xf numFmtId="49" fontId="156" fillId="81" borderId="5" xfId="12413" applyNumberFormat="1" applyFont="1" applyFill="1" applyBorder="1" applyAlignment="1">
      <alignment horizontal="left" vertical="top"/>
    </xf>
    <xf numFmtId="166" fontId="99" fillId="80" borderId="5" xfId="12413" applyFont="1" applyFill="1" applyBorder="1" applyAlignment="1">
      <alignment horizontal="left" vertical="top"/>
    </xf>
    <xf numFmtId="166" fontId="99" fillId="80" borderId="5" xfId="12413" applyFont="1" applyFill="1" applyBorder="1" applyAlignment="1">
      <alignment horizontal="left" vertical="top" wrapText="1"/>
    </xf>
    <xf numFmtId="166" fontId="5" fillId="0" borderId="5" xfId="12414" applyFont="1" applyBorder="1" applyAlignment="1">
      <alignment horizontal="left" vertical="top" wrapText="1"/>
    </xf>
    <xf numFmtId="166" fontId="5" fillId="0" borderId="5" xfId="12414" applyFont="1" applyFill="1" applyBorder="1" applyAlignment="1">
      <alignment horizontal="left" vertical="top" wrapText="1"/>
    </xf>
    <xf numFmtId="166" fontId="28" fillId="82" borderId="17" xfId="0" applyNumberFormat="1" applyFont="1" applyFill="1" applyBorder="1" applyAlignment="1">
      <alignment horizontal="left" vertical="top" wrapText="1"/>
    </xf>
    <xf numFmtId="166" fontId="28" fillId="82" borderId="17" xfId="0" applyNumberFormat="1" applyFont="1" applyFill="1" applyBorder="1" applyAlignment="1">
      <alignment horizontal="right" vertical="top" wrapText="1"/>
    </xf>
    <xf numFmtId="166" fontId="28" fillId="0" borderId="5" xfId="0" applyNumberFormat="1" applyFont="1" applyBorder="1" applyAlignment="1">
      <alignment horizontal="right" vertical="top" wrapText="1"/>
    </xf>
    <xf numFmtId="166" fontId="28" fillId="0" borderId="5" xfId="0" applyNumberFormat="1" applyFont="1" applyBorder="1" applyAlignment="1">
      <alignment horizontal="right" vertical="top"/>
    </xf>
    <xf numFmtId="166" fontId="28" fillId="0" borderId="0" xfId="0" applyNumberFormat="1" applyFont="1" applyAlignment="1">
      <alignment horizontal="right" vertical="top"/>
    </xf>
    <xf numFmtId="168" fontId="22" fillId="0" borderId="5" xfId="7703" applyNumberFormat="1" applyFill="1" applyBorder="1" applyAlignment="1">
      <alignment horizontal="left" vertical="top"/>
    </xf>
    <xf numFmtId="166" fontId="165" fillId="18" borderId="5" xfId="0" applyFont="1" applyFill="1" applyBorder="1" applyAlignment="1">
      <alignment horizontal="left" vertical="top" wrapText="1"/>
    </xf>
    <xf numFmtId="166" fontId="170" fillId="18" borderId="5" xfId="0" applyFont="1" applyFill="1" applyBorder="1" applyAlignment="1">
      <alignment horizontal="left" vertical="top" wrapText="1"/>
    </xf>
    <xf numFmtId="166" fontId="99" fillId="0" borderId="5" xfId="0" applyFont="1" applyBorder="1" applyAlignment="1">
      <alignment horizontal="left" vertical="top" wrapText="1"/>
    </xf>
    <xf numFmtId="166" fontId="28" fillId="0" borderId="0" xfId="0" applyNumberFormat="1" applyFont="1" applyAlignment="1">
      <alignment horizontal="left" vertical="top" wrapText="1"/>
    </xf>
    <xf numFmtId="166" fontId="28" fillId="0" borderId="0" xfId="0" applyNumberFormat="1" applyFont="1" applyAlignment="1">
      <alignment horizontal="left" vertical="top"/>
    </xf>
    <xf numFmtId="166" fontId="28" fillId="0" borderId="0" xfId="1" applyNumberFormat="1" applyFont="1" applyAlignment="1">
      <alignment horizontal="left" vertical="top" wrapText="1"/>
    </xf>
    <xf numFmtId="166" fontId="147" fillId="75" borderId="5" xfId="0" applyNumberFormat="1" applyFont="1" applyFill="1" applyBorder="1" applyAlignment="1">
      <alignment horizontal="right" vertical="top"/>
    </xf>
    <xf numFmtId="166" fontId="147" fillId="16" borderId="5" xfId="5" applyNumberFormat="1" applyFont="1" applyFill="1" applyBorder="1" applyAlignment="1">
      <alignment horizontal="left" vertical="top" wrapText="1"/>
    </xf>
    <xf numFmtId="166" fontId="147" fillId="16" borderId="5" xfId="5" applyNumberFormat="1" applyFont="1" applyFill="1" applyBorder="1" applyAlignment="1">
      <alignment horizontal="right" vertical="top" wrapText="1"/>
    </xf>
    <xf numFmtId="166" fontId="147" fillId="0" borderId="0" xfId="0" applyNumberFormat="1" applyFont="1" applyAlignment="1">
      <alignment horizontal="left" vertical="top"/>
    </xf>
    <xf numFmtId="166" fontId="147" fillId="85" borderId="5" xfId="5" applyNumberFormat="1" applyFont="1" applyFill="1" applyBorder="1" applyAlignment="1">
      <alignment horizontal="left" vertical="top" wrapText="1"/>
    </xf>
    <xf numFmtId="166" fontId="147" fillId="85" borderId="5" xfId="5" applyNumberFormat="1" applyFont="1" applyFill="1" applyBorder="1" applyAlignment="1">
      <alignment horizontal="right" vertical="top" wrapText="1"/>
    </xf>
    <xf numFmtId="166" fontId="28" fillId="85" borderId="5" xfId="4" applyNumberFormat="1" applyFont="1" applyFill="1" applyBorder="1" applyAlignment="1">
      <alignment horizontal="left" vertical="top"/>
    </xf>
    <xf numFmtId="166" fontId="28" fillId="85" borderId="5" xfId="0" applyNumberFormat="1" applyFont="1" applyFill="1" applyBorder="1" applyAlignment="1">
      <alignment horizontal="right" vertical="top"/>
    </xf>
    <xf numFmtId="166" fontId="28" fillId="0" borderId="0" xfId="4" applyNumberFormat="1" applyFont="1" applyFill="1" applyAlignment="1">
      <alignment horizontal="left" vertical="top"/>
    </xf>
    <xf numFmtId="166" fontId="99" fillId="0" borderId="0" xfId="0" applyNumberFormat="1" applyFont="1" applyAlignment="1">
      <alignment horizontal="left" vertical="top" wrapText="1"/>
    </xf>
    <xf numFmtId="166" fontId="28" fillId="0" borderId="5" xfId="0" applyNumberFormat="1" applyFont="1" applyFill="1" applyBorder="1" applyAlignment="1">
      <alignment horizontal="right" vertical="top"/>
    </xf>
    <xf numFmtId="166" fontId="28" fillId="0" borderId="5" xfId="0" applyNumberFormat="1" applyFont="1" applyBorder="1" applyAlignment="1">
      <alignment horizontal="left" vertical="top"/>
    </xf>
    <xf numFmtId="166" fontId="28" fillId="85" borderId="0" xfId="0" applyNumberFormat="1" applyFont="1" applyFill="1" applyBorder="1" applyAlignment="1">
      <alignment horizontal="left" vertical="top" wrapText="1"/>
    </xf>
    <xf numFmtId="166" fontId="28" fillId="85" borderId="0" xfId="0" applyNumberFormat="1" applyFont="1" applyFill="1" applyBorder="1" applyAlignment="1">
      <alignment horizontal="left" vertical="top"/>
    </xf>
    <xf numFmtId="166" fontId="0" fillId="85" borderId="0" xfId="0" applyNumberFormat="1" applyFill="1">
      <alignment horizontal="center" vertical="center"/>
    </xf>
    <xf numFmtId="166" fontId="28" fillId="0" borderId="0" xfId="0" applyNumberFormat="1" applyFont="1" applyAlignment="1">
      <alignment horizontal="left" vertical="top" wrapText="1"/>
    </xf>
    <xf numFmtId="166" fontId="28" fillId="0" borderId="0" xfId="0" applyNumberFormat="1" applyFont="1" applyAlignment="1">
      <alignment horizontal="left" vertical="top"/>
    </xf>
    <xf numFmtId="166" fontId="28" fillId="0" borderId="0" xfId="0" applyNumberFormat="1" applyFont="1" applyBorder="1" applyAlignment="1">
      <alignment horizontal="right" vertical="top" wrapText="1"/>
    </xf>
    <xf numFmtId="166" fontId="28" fillId="0" borderId="0" xfId="1" applyNumberFormat="1" applyFont="1" applyAlignment="1">
      <alignment horizontal="left" vertical="top" wrapText="1"/>
    </xf>
    <xf numFmtId="166" fontId="99" fillId="0" borderId="0" xfId="12413" applyNumberFormat="1" applyFont="1" applyAlignment="1">
      <alignment horizontal="left" vertical="top"/>
    </xf>
    <xf numFmtId="166" fontId="28" fillId="0" borderId="0" xfId="3962" applyNumberFormat="1" applyFont="1" applyAlignment="1">
      <alignment horizontal="left" vertical="top" wrapText="1"/>
    </xf>
    <xf numFmtId="166" fontId="166" fillId="0" borderId="0" xfId="0" applyNumberFormat="1" applyFont="1" applyAlignment="1">
      <alignment horizontal="left" vertical="top" wrapText="1"/>
    </xf>
    <xf numFmtId="166" fontId="28" fillId="0" borderId="0" xfId="0" applyNumberFormat="1" applyFont="1" applyAlignment="1">
      <alignment horizontal="right" vertical="top" wrapText="1"/>
    </xf>
    <xf numFmtId="166" fontId="147" fillId="0" borderId="0" xfId="0" applyNumberFormat="1" applyFont="1" applyAlignment="1">
      <alignment horizontal="left" vertical="top"/>
    </xf>
    <xf numFmtId="166" fontId="82" fillId="0" borderId="0" xfId="12419" applyNumberFormat="1" applyFont="1" applyAlignment="1">
      <alignment horizontal="left" vertical="top"/>
    </xf>
    <xf numFmtId="166" fontId="28" fillId="0" borderId="18" xfId="0" applyNumberFormat="1" applyFont="1" applyBorder="1" applyAlignment="1">
      <alignment horizontal="left" vertical="top" wrapText="1"/>
    </xf>
    <xf numFmtId="166" fontId="28" fillId="85" borderId="17" xfId="0" applyNumberFormat="1" applyFont="1" applyFill="1" applyBorder="1" applyAlignment="1">
      <alignment horizontal="left" vertical="top" wrapText="1"/>
    </xf>
    <xf numFmtId="166" fontId="28" fillId="85" borderId="16" xfId="6" applyNumberFormat="1" applyFont="1" applyFill="1" applyBorder="1" applyAlignment="1">
      <alignment horizontal="left" vertical="top" wrapText="1"/>
    </xf>
    <xf numFmtId="166" fontId="160" fillId="0" borderId="12" xfId="0" applyNumberFormat="1" applyFont="1" applyBorder="1" applyAlignment="1">
      <alignment horizontal="left" vertical="top"/>
    </xf>
    <xf numFmtId="166" fontId="171" fillId="0" borderId="12" xfId="0" applyNumberFormat="1" applyFont="1" applyBorder="1" applyAlignment="1">
      <alignment horizontal="right" vertical="top"/>
    </xf>
    <xf numFmtId="166" fontId="99" fillId="0" borderId="0" xfId="0" applyNumberFormat="1" applyFont="1" applyAlignment="1">
      <alignment horizontal="left" vertical="top"/>
    </xf>
    <xf numFmtId="166" fontId="152" fillId="0" borderId="0" xfId="0" applyNumberFormat="1" applyFont="1" applyAlignment="1">
      <alignment horizontal="left" vertical="top"/>
    </xf>
    <xf numFmtId="166" fontId="153" fillId="0" borderId="0" xfId="12419" applyNumberFormat="1" applyFont="1" applyAlignment="1">
      <alignment horizontal="left" vertical="top"/>
    </xf>
    <xf numFmtId="166" fontId="166" fillId="0" borderId="0" xfId="0" applyNumberFormat="1" applyFont="1" applyAlignment="1">
      <alignment horizontal="left" vertical="top" wrapText="1"/>
    </xf>
    <xf numFmtId="166" fontId="147" fillId="21" borderId="8" xfId="0" applyNumberFormat="1" applyFont="1" applyFill="1" applyBorder="1" applyAlignment="1">
      <alignment horizontal="left" vertical="top" wrapText="1"/>
    </xf>
    <xf numFmtId="166" fontId="147" fillId="0" borderId="5" xfId="0" applyNumberFormat="1" applyFont="1" applyBorder="1" applyAlignment="1">
      <alignment horizontal="left" vertical="top" wrapText="1"/>
    </xf>
    <xf numFmtId="166" fontId="28" fillId="20" borderId="5" xfId="0" applyNumberFormat="1" applyFont="1" applyFill="1" applyBorder="1" applyAlignment="1">
      <alignment horizontal="left" vertical="top" wrapText="1"/>
    </xf>
    <xf numFmtId="166" fontId="147" fillId="0" borderId="7" xfId="0" applyNumberFormat="1" applyFont="1" applyBorder="1" applyAlignment="1">
      <alignment horizontal="left" vertical="top" wrapText="1"/>
    </xf>
    <xf numFmtId="166" fontId="147" fillId="0" borderId="9" xfId="0" applyNumberFormat="1" applyFont="1" applyBorder="1" applyAlignment="1">
      <alignment horizontal="left" vertical="top" wrapText="1"/>
    </xf>
    <xf numFmtId="166" fontId="154" fillId="21" borderId="8" xfId="0" applyNumberFormat="1" applyFont="1" applyFill="1" applyBorder="1" applyAlignment="1">
      <alignment horizontal="left" vertical="top" wrapText="1"/>
    </xf>
    <xf numFmtId="166" fontId="154" fillId="0" borderId="5" xfId="0" applyNumberFormat="1" applyFont="1" applyBorder="1" applyAlignment="1">
      <alignment horizontal="left" vertical="top" wrapText="1"/>
    </xf>
    <xf numFmtId="166" fontId="154" fillId="0" borderId="7" xfId="0" applyNumberFormat="1" applyFont="1" applyBorder="1" applyAlignment="1">
      <alignment horizontal="left" vertical="top" wrapText="1"/>
    </xf>
    <xf numFmtId="166" fontId="154" fillId="0" borderId="9" xfId="0" applyNumberFormat="1" applyFont="1" applyBorder="1" applyAlignment="1">
      <alignment horizontal="left" vertical="top" wrapText="1"/>
    </xf>
    <xf numFmtId="166" fontId="155" fillId="21" borderId="8" xfId="0" applyNumberFormat="1" applyFont="1" applyFill="1" applyBorder="1" applyAlignment="1">
      <alignment horizontal="left" vertical="top" wrapText="1"/>
    </xf>
    <xf numFmtId="166" fontId="155" fillId="0" borderId="5" xfId="0" applyNumberFormat="1" applyFont="1" applyBorder="1" applyAlignment="1">
      <alignment horizontal="left" vertical="top" wrapText="1"/>
    </xf>
    <xf numFmtId="166" fontId="150" fillId="0" borderId="0" xfId="0" applyNumberFormat="1" applyFont="1" applyAlignment="1">
      <alignment horizontal="left" vertical="top"/>
    </xf>
    <xf numFmtId="166" fontId="28" fillId="0" borderId="0" xfId="0" quotePrefix="1" applyNumberFormat="1" applyFont="1" applyAlignment="1">
      <alignment horizontal="left" vertical="top"/>
    </xf>
    <xf numFmtId="166" fontId="28" fillId="0" borderId="0" xfId="0" applyNumberFormat="1" applyFont="1" applyBorder="1" applyAlignment="1">
      <alignment horizontal="left" vertical="top"/>
    </xf>
    <xf numFmtId="166" fontId="28" fillId="21" borderId="15" xfId="0" applyNumberFormat="1" applyFont="1" applyFill="1" applyBorder="1" applyAlignment="1">
      <alignment horizontal="left" vertical="top" wrapText="1"/>
    </xf>
    <xf numFmtId="166" fontId="155" fillId="0" borderId="14" xfId="0" applyNumberFormat="1" applyFont="1" applyBorder="1" applyAlignment="1">
      <alignment horizontal="left" vertical="top" wrapText="1"/>
    </xf>
    <xf numFmtId="166" fontId="154" fillId="0" borderId="13" xfId="0" applyNumberFormat="1" applyFont="1" applyBorder="1" applyAlignment="1">
      <alignment horizontal="left" vertical="top" wrapText="1"/>
    </xf>
    <xf numFmtId="166" fontId="154" fillId="0" borderId="48" xfId="0" applyNumberFormat="1" applyFont="1" applyBorder="1" applyAlignment="1">
      <alignment horizontal="left" vertical="top" wrapText="1"/>
    </xf>
    <xf numFmtId="166" fontId="28" fillId="83" borderId="12" xfId="0" applyNumberFormat="1" applyFont="1" applyFill="1" applyBorder="1" applyAlignment="1">
      <alignment horizontal="right" vertical="top" wrapText="1"/>
    </xf>
    <xf numFmtId="166" fontId="28" fillId="83" borderId="34" xfId="0" applyNumberFormat="1" applyFont="1" applyFill="1" applyBorder="1" applyAlignment="1">
      <alignment horizontal="right" vertical="top"/>
    </xf>
    <xf numFmtId="166" fontId="99" fillId="0" borderId="0" xfId="0" applyNumberFormat="1" applyFont="1" applyAlignment="1">
      <alignment horizontal="left" vertical="top"/>
    </xf>
    <xf numFmtId="166" fontId="152" fillId="0" borderId="0" xfId="0" applyNumberFormat="1" applyFont="1" applyAlignment="1">
      <alignment horizontal="left" vertical="top"/>
    </xf>
    <xf numFmtId="166" fontId="28" fillId="0" borderId="6" xfId="4" applyNumberFormat="1" applyFont="1" applyFill="1" applyBorder="1" applyAlignment="1">
      <alignment horizontal="left" vertical="top" wrapText="1"/>
    </xf>
    <xf numFmtId="166" fontId="28" fillId="0" borderId="0" xfId="4" applyFont="1" applyFill="1" applyAlignment="1">
      <alignment horizontal="left" vertical="top"/>
    </xf>
    <xf numFmtId="166" fontId="147" fillId="78" borderId="5" xfId="0" applyFont="1" applyFill="1" applyBorder="1" applyAlignment="1">
      <alignment horizontal="left" vertical="top" wrapText="1"/>
    </xf>
    <xf numFmtId="166" fontId="99" fillId="85" borderId="5" xfId="12413" applyFont="1" applyFill="1" applyBorder="1" applyAlignment="1">
      <alignment horizontal="left" vertical="top" wrapText="1"/>
    </xf>
    <xf numFmtId="3" fontId="99" fillId="85" borderId="5" xfId="12413" applyNumberFormat="1" applyFont="1" applyFill="1" applyBorder="1" applyAlignment="1">
      <alignment horizontal="left" vertical="top" wrapText="1"/>
    </xf>
    <xf numFmtId="2" fontId="28" fillId="83" borderId="12" xfId="0" applyNumberFormat="1" applyFont="1" applyFill="1" applyBorder="1" applyAlignment="1">
      <alignment horizontal="right" vertical="top" wrapText="1"/>
    </xf>
    <xf numFmtId="166" fontId="167" fillId="0" borderId="5" xfId="7442" applyNumberFormat="1" applyFont="1" applyFill="1" applyBorder="1" applyAlignment="1">
      <alignment horizontal="left" vertical="top" wrapText="1"/>
    </xf>
    <xf numFmtId="166" fontId="28" fillId="0" borderId="5" xfId="0" applyFont="1" applyFill="1" applyBorder="1" applyAlignment="1">
      <alignment horizontal="left" vertical="top" wrapText="1"/>
    </xf>
    <xf numFmtId="166" fontId="28" fillId="0" borderId="5" xfId="0" applyFont="1" applyFill="1" applyBorder="1" applyAlignment="1">
      <alignment horizontal="left" vertical="top" wrapText="1"/>
    </xf>
    <xf numFmtId="166" fontId="28" fillId="0" borderId="5" xfId="0" applyFont="1" applyFill="1" applyBorder="1" applyAlignment="1">
      <alignment horizontal="left" vertical="top" wrapText="1"/>
    </xf>
    <xf numFmtId="166" fontId="99" fillId="0" borderId="5" xfId="0" applyFont="1" applyBorder="1" applyAlignment="1">
      <alignment horizontal="left" vertical="top" wrapText="1"/>
    </xf>
    <xf numFmtId="166" fontId="99" fillId="0" borderId="5" xfId="0" applyNumberFormat="1" applyFont="1" applyFill="1" applyBorder="1" applyAlignment="1">
      <alignment horizontal="left" vertical="top"/>
    </xf>
    <xf numFmtId="166" fontId="147" fillId="78" borderId="5" xfId="0" applyFont="1" applyFill="1" applyBorder="1" applyAlignment="1">
      <alignment horizontal="left" vertical="top" wrapText="1"/>
    </xf>
    <xf numFmtId="166" fontId="28" fillId="0" borderId="5" xfId="0" applyFont="1" applyFill="1" applyBorder="1" applyAlignment="1">
      <alignment horizontal="left" vertical="top" wrapText="1"/>
    </xf>
    <xf numFmtId="166" fontId="4" fillId="0" borderId="5" xfId="12414" applyFont="1" applyFill="1" applyBorder="1" applyAlignment="1">
      <alignment horizontal="left" vertical="top" wrapText="1"/>
    </xf>
    <xf numFmtId="166" fontId="4" fillId="0" borderId="5" xfId="12414" applyFont="1" applyBorder="1" applyAlignment="1">
      <alignment horizontal="left" vertical="top" wrapText="1"/>
    </xf>
    <xf numFmtId="3" fontId="3" fillId="0" borderId="0" xfId="12420" applyNumberFormat="1" applyFont="1" applyFill="1" applyAlignment="1">
      <alignment horizontal="left" vertical="top" wrapText="1"/>
    </xf>
    <xf numFmtId="3" fontId="3" fillId="0" borderId="5" xfId="12420" applyNumberFormat="1" applyFont="1" applyFill="1" applyBorder="1" applyAlignment="1">
      <alignment horizontal="left" vertical="top" wrapText="1"/>
    </xf>
    <xf numFmtId="3" fontId="28" fillId="0" borderId="5" xfId="12420" applyNumberFormat="1" applyFont="1" applyFill="1" applyBorder="1" applyAlignment="1">
      <alignment horizontal="left" vertical="top" wrapText="1"/>
    </xf>
    <xf numFmtId="3" fontId="3" fillId="0" borderId="5" xfId="12420" applyNumberFormat="1" applyFont="1" applyBorder="1" applyAlignment="1">
      <alignment horizontal="left" vertical="top" wrapText="1"/>
    </xf>
    <xf numFmtId="166" fontId="99" fillId="0" borderId="5" xfId="0" applyFont="1" applyBorder="1" applyAlignment="1">
      <alignment horizontal="left" vertical="top" wrapText="1"/>
    </xf>
    <xf numFmtId="166" fontId="28" fillId="0" borderId="5" xfId="0" applyFont="1" applyFill="1" applyBorder="1" applyAlignment="1">
      <alignment horizontal="left" vertical="top" wrapText="1"/>
    </xf>
    <xf numFmtId="166" fontId="28" fillId="0" borderId="8" xfId="0" applyNumberFormat="1" applyFont="1" applyFill="1" applyBorder="1" applyAlignment="1">
      <alignment horizontal="left" vertical="top" wrapText="1"/>
    </xf>
    <xf numFmtId="166" fontId="99" fillId="0" borderId="5" xfId="0" applyFont="1" applyBorder="1" applyAlignment="1">
      <alignment horizontal="left" vertical="top" wrapText="1"/>
    </xf>
    <xf numFmtId="166" fontId="28" fillId="0" borderId="5" xfId="0" applyFont="1" applyFill="1" applyBorder="1" applyAlignment="1">
      <alignment horizontal="left" vertical="top" wrapText="1"/>
    </xf>
    <xf numFmtId="166" fontId="28" fillId="0" borderId="5" xfId="0" applyFont="1" applyFill="1" applyBorder="1" applyAlignment="1">
      <alignment horizontal="left" vertical="top" wrapText="1"/>
    </xf>
    <xf numFmtId="166" fontId="99" fillId="0" borderId="5" xfId="0" applyFont="1" applyBorder="1" applyAlignment="1">
      <alignment horizontal="left" vertical="top" wrapText="1"/>
    </xf>
    <xf numFmtId="166" fontId="28" fillId="0" borderId="5" xfId="0" applyFont="1" applyFill="1" applyBorder="1" applyAlignment="1">
      <alignment horizontal="left" vertical="top" wrapText="1"/>
    </xf>
    <xf numFmtId="166" fontId="99" fillId="0" borderId="5" xfId="0" applyFont="1" applyBorder="1" applyAlignment="1">
      <alignment horizontal="left" vertical="top" wrapText="1"/>
    </xf>
    <xf numFmtId="166" fontId="28" fillId="0" borderId="5" xfId="0" applyFont="1" applyFill="1" applyBorder="1" applyAlignment="1">
      <alignment horizontal="left" vertical="top" wrapText="1"/>
    </xf>
    <xf numFmtId="168" fontId="0" fillId="0" borderId="5" xfId="7703" applyNumberFormat="1" applyFont="1" applyFill="1" applyBorder="1" applyAlignment="1">
      <alignment horizontal="left" vertical="top"/>
    </xf>
    <xf numFmtId="166" fontId="160" fillId="0" borderId="5" xfId="0" applyFont="1" applyBorder="1" applyAlignment="1">
      <alignment horizontal="left" vertical="top" wrapText="1"/>
    </xf>
    <xf numFmtId="166" fontId="99" fillId="0" borderId="5" xfId="0" applyNumberFormat="1" applyFont="1" applyFill="1" applyBorder="1" applyAlignment="1">
      <alignment horizontal="left" vertical="top"/>
    </xf>
    <xf numFmtId="166" fontId="165" fillId="18" borderId="9" xfId="0" applyFont="1" applyFill="1" applyBorder="1" applyAlignment="1">
      <alignment vertical="top" wrapText="1"/>
    </xf>
    <xf numFmtId="166" fontId="165" fillId="18" borderId="6" xfId="0" applyFont="1" applyFill="1" applyBorder="1" applyAlignment="1">
      <alignment vertical="top" wrapText="1"/>
    </xf>
    <xf numFmtId="166" fontId="147" fillId="78" borderId="5" xfId="0" applyFont="1" applyFill="1" applyBorder="1" applyAlignment="1">
      <alignment horizontal="left" vertical="top" wrapText="1"/>
    </xf>
    <xf numFmtId="166" fontId="99" fillId="0" borderId="5" xfId="0" applyFont="1" applyBorder="1" applyAlignment="1">
      <alignment horizontal="left" vertical="top" wrapText="1"/>
    </xf>
    <xf numFmtId="166" fontId="147" fillId="86" borderId="9" xfId="0" applyNumberFormat="1" applyFont="1" applyFill="1" applyBorder="1" applyAlignment="1">
      <alignment horizontal="center" vertical="top"/>
    </xf>
    <xf numFmtId="166" fontId="147" fillId="86" borderId="6" xfId="0" applyNumberFormat="1" applyFont="1" applyFill="1" applyBorder="1" applyAlignment="1">
      <alignment horizontal="center" vertical="top"/>
    </xf>
    <xf numFmtId="166" fontId="156" fillId="19" borderId="5" xfId="0" applyNumberFormat="1" applyFont="1" applyFill="1" applyBorder="1" applyAlignment="1">
      <alignment horizontal="left" vertical="top" wrapText="1"/>
    </xf>
    <xf numFmtId="166" fontId="160" fillId="0" borderId="46" xfId="0" applyNumberFormat="1" applyFont="1" applyBorder="1" applyAlignment="1">
      <alignment horizontal="center" vertical="top"/>
    </xf>
    <xf numFmtId="166" fontId="147" fillId="86" borderId="9" xfId="0" applyNumberFormat="1" applyFont="1" applyFill="1" applyBorder="1" applyAlignment="1">
      <alignment horizontal="center" vertical="top" wrapText="1"/>
    </xf>
    <xf numFmtId="166" fontId="147" fillId="86" borderId="6" xfId="0" applyNumberFormat="1" applyFont="1" applyFill="1" applyBorder="1" applyAlignment="1">
      <alignment horizontal="center" vertical="top" wrapText="1"/>
    </xf>
    <xf numFmtId="166" fontId="28" fillId="0" borderId="5" xfId="0" applyFont="1" applyFill="1" applyBorder="1" applyAlignment="1">
      <alignment horizontal="left" vertical="top" wrapText="1"/>
    </xf>
    <xf numFmtId="166" fontId="156" fillId="19" borderId="9" xfId="0" applyNumberFormat="1" applyFont="1" applyFill="1" applyBorder="1" applyAlignment="1">
      <alignment horizontal="left" vertical="top" wrapText="1"/>
    </xf>
    <xf numFmtId="166" fontId="156" fillId="19" borderId="45" xfId="0" applyNumberFormat="1" applyFont="1" applyFill="1" applyBorder="1" applyAlignment="1">
      <alignment horizontal="left" vertical="top" wrapText="1"/>
    </xf>
    <xf numFmtId="166" fontId="156" fillId="19" borderId="6" xfId="0" applyNumberFormat="1" applyFont="1" applyFill="1" applyBorder="1" applyAlignment="1">
      <alignment horizontal="left" vertical="top" wrapText="1"/>
    </xf>
    <xf numFmtId="0" fontId="99" fillId="0" borderId="0" xfId="12413" applyNumberFormat="1" applyFont="1" applyAlignment="1">
      <alignment horizontal="left" vertical="top"/>
    </xf>
    <xf numFmtId="0" fontId="0" fillId="0" borderId="0" xfId="4623" applyNumberFormat="1" applyFont="1" applyAlignment="1">
      <alignment horizontal="left" vertical="top"/>
    </xf>
    <xf numFmtId="0" fontId="99" fillId="0" borderId="0" xfId="12413" applyNumberFormat="1" applyFont="1" applyFill="1" applyBorder="1" applyAlignment="1">
      <alignment horizontal="left" vertical="top"/>
    </xf>
    <xf numFmtId="0" fontId="0" fillId="0" borderId="0" xfId="4623" applyNumberFormat="1" applyFont="1" applyBorder="1" applyAlignment="1">
      <alignment horizontal="left" vertical="top"/>
    </xf>
    <xf numFmtId="0" fontId="148" fillId="0" borderId="0" xfId="12413" applyNumberFormat="1" applyFont="1" applyFill="1" applyAlignment="1">
      <alignment horizontal="left" vertical="top"/>
    </xf>
    <xf numFmtId="0" fontId="148" fillId="0" borderId="0" xfId="12413" applyNumberFormat="1" applyFont="1" applyAlignment="1">
      <alignment horizontal="left" vertical="top"/>
    </xf>
    <xf numFmtId="0" fontId="146" fillId="0" borderId="0" xfId="12413" applyNumberFormat="1" applyFont="1" applyAlignment="1">
      <alignment horizontal="left" vertical="top"/>
    </xf>
    <xf numFmtId="0" fontId="148" fillId="0" borderId="0" xfId="12413" applyNumberFormat="1" applyFont="1" applyAlignment="1">
      <alignment horizontal="right" vertical="top"/>
    </xf>
    <xf numFmtId="0" fontId="146" fillId="87" borderId="0" xfId="12413" applyNumberFormat="1" applyFont="1" applyFill="1" applyAlignment="1">
      <alignment horizontal="left" vertical="top"/>
    </xf>
    <xf numFmtId="0" fontId="146" fillId="0" borderId="0" xfId="12413" applyNumberFormat="1" applyFont="1" applyFill="1" applyBorder="1" applyAlignment="1">
      <alignment horizontal="left" vertical="top"/>
    </xf>
    <xf numFmtId="0" fontId="148" fillId="0" borderId="0" xfId="12413" applyNumberFormat="1" applyFont="1" applyAlignment="1">
      <alignment horizontal="center" vertical="top"/>
    </xf>
    <xf numFmtId="0" fontId="99" fillId="0" borderId="0" xfId="12413" applyNumberFormat="1" applyFont="1" applyFill="1" applyAlignment="1">
      <alignment horizontal="left" vertical="top"/>
    </xf>
    <xf numFmtId="0" fontId="99" fillId="0" borderId="0" xfId="12413" applyNumberFormat="1" applyFont="1" applyBorder="1" applyAlignment="1">
      <alignment horizontal="left" vertical="top"/>
    </xf>
    <xf numFmtId="0" fontId="99" fillId="0" borderId="0" xfId="12413" applyNumberFormat="1" applyFont="1" applyAlignment="1">
      <alignment horizontal="center" vertical="top"/>
    </xf>
    <xf numFmtId="0" fontId="99" fillId="0" borderId="0" xfId="12413" applyNumberFormat="1" applyFont="1" applyFill="1" applyAlignment="1">
      <alignment horizontal="center" vertical="top"/>
    </xf>
    <xf numFmtId="0" fontId="17" fillId="79" borderId="9" xfId="12413" applyNumberFormat="1" applyFont="1" applyFill="1" applyBorder="1" applyAlignment="1">
      <alignment horizontal="center" vertical="top"/>
    </xf>
    <xf numFmtId="0" fontId="17" fillId="79" borderId="45" xfId="12413" applyNumberFormat="1" applyFont="1" applyFill="1" applyBorder="1" applyAlignment="1">
      <alignment horizontal="center" vertical="top"/>
    </xf>
    <xf numFmtId="0" fontId="17" fillId="79" borderId="37" xfId="12413" applyNumberFormat="1" applyFont="1" applyFill="1" applyBorder="1" applyAlignment="1">
      <alignment horizontal="center" vertical="top"/>
    </xf>
    <xf numFmtId="0" fontId="17" fillId="0" borderId="47" xfId="12413" applyNumberFormat="1" applyFont="1" applyFill="1" applyBorder="1" applyAlignment="1">
      <alignment horizontal="center" vertical="top"/>
    </xf>
    <xf numFmtId="0" fontId="165" fillId="75" borderId="9" xfId="12413" applyNumberFormat="1" applyFont="1" applyFill="1" applyBorder="1" applyAlignment="1">
      <alignment horizontal="center" vertical="top"/>
    </xf>
    <xf numFmtId="0" fontId="165" fillId="75" borderId="45" xfId="12413" applyNumberFormat="1" applyFont="1" applyFill="1" applyBorder="1" applyAlignment="1">
      <alignment horizontal="center" vertical="top"/>
    </xf>
    <xf numFmtId="0" fontId="165" fillId="75" borderId="6" xfId="12413" applyNumberFormat="1" applyFont="1" applyFill="1" applyBorder="1" applyAlignment="1">
      <alignment horizontal="center" vertical="top"/>
    </xf>
    <xf numFmtId="0" fontId="17" fillId="0" borderId="0" xfId="12413" applyNumberFormat="1" applyFont="1" applyFill="1" applyBorder="1" applyAlignment="1">
      <alignment horizontal="center" vertical="top"/>
    </xf>
    <xf numFmtId="0" fontId="99" fillId="0" borderId="0" xfId="12413" applyNumberFormat="1" applyFont="1" applyFill="1" applyBorder="1" applyAlignment="1">
      <alignment horizontal="left" vertical="top" wrapText="1"/>
    </xf>
    <xf numFmtId="0" fontId="147" fillId="17" borderId="34" xfId="12413" applyNumberFormat="1" applyFont="1" applyFill="1" applyBorder="1" applyAlignment="1">
      <alignment horizontal="center" vertical="top"/>
    </xf>
    <xf numFmtId="0" fontId="147" fillId="17" borderId="35" xfId="12413" applyNumberFormat="1" applyFont="1" applyFill="1" applyBorder="1" applyAlignment="1">
      <alignment horizontal="center" vertical="top"/>
    </xf>
    <xf numFmtId="0" fontId="147" fillId="17" borderId="36" xfId="12413" applyNumberFormat="1" applyFont="1" applyFill="1" applyBorder="1" applyAlignment="1">
      <alignment horizontal="center" vertical="top"/>
    </xf>
    <xf numFmtId="0" fontId="147" fillId="17" borderId="37" xfId="12413" applyNumberFormat="1" applyFont="1" applyFill="1" applyBorder="1" applyAlignment="1">
      <alignment horizontal="center" vertical="top"/>
    </xf>
    <xf numFmtId="0" fontId="147" fillId="73" borderId="36" xfId="12413" applyNumberFormat="1" applyFont="1" applyFill="1" applyBorder="1" applyAlignment="1">
      <alignment horizontal="center" vertical="top"/>
    </xf>
    <xf numFmtId="0" fontId="147" fillId="73" borderId="45" xfId="12413" applyNumberFormat="1" applyFont="1" applyFill="1" applyBorder="1" applyAlignment="1">
      <alignment horizontal="center" vertical="top"/>
    </xf>
    <xf numFmtId="0" fontId="147" fillId="73" borderId="6" xfId="12413" applyNumberFormat="1" applyFont="1" applyFill="1" applyBorder="1" applyAlignment="1">
      <alignment horizontal="center" vertical="top"/>
    </xf>
    <xf numFmtId="0" fontId="147" fillId="17" borderId="9" xfId="12413" applyNumberFormat="1" applyFont="1" applyFill="1" applyBorder="1" applyAlignment="1">
      <alignment horizontal="center" vertical="top"/>
    </xf>
    <xf numFmtId="0" fontId="147" fillId="17" borderId="45" xfId="12413" applyNumberFormat="1" applyFont="1" applyFill="1" applyBorder="1" applyAlignment="1">
      <alignment horizontal="center" vertical="top"/>
    </xf>
    <xf numFmtId="0" fontId="147" fillId="17" borderId="6" xfId="12413" applyNumberFormat="1" applyFont="1" applyFill="1" applyBorder="1" applyAlignment="1">
      <alignment horizontal="center" vertical="top"/>
    </xf>
    <xf numFmtId="0" fontId="147" fillId="17" borderId="12" xfId="12413" applyNumberFormat="1" applyFont="1" applyFill="1" applyBorder="1" applyAlignment="1">
      <alignment horizontal="center" vertical="top" wrapText="1"/>
    </xf>
    <xf numFmtId="0" fontId="147" fillId="18" borderId="12" xfId="4623" applyNumberFormat="1" applyFont="1" applyFill="1" applyBorder="1" applyAlignment="1">
      <alignment horizontal="center" vertical="top" wrapText="1"/>
    </xf>
    <xf numFmtId="0" fontId="147" fillId="84" borderId="0" xfId="12413" applyNumberFormat="1" applyFont="1" applyFill="1" applyBorder="1" applyAlignment="1">
      <alignment horizontal="center" vertical="top"/>
    </xf>
    <xf numFmtId="0" fontId="147" fillId="73" borderId="9" xfId="12413" applyNumberFormat="1" applyFont="1" applyFill="1" applyBorder="1" applyAlignment="1">
      <alignment horizontal="center" vertical="top"/>
    </xf>
    <xf numFmtId="0" fontId="149" fillId="73" borderId="12" xfId="12413" applyNumberFormat="1" applyFont="1" applyFill="1" applyBorder="1" applyAlignment="1">
      <alignment horizontal="center" vertical="top"/>
    </xf>
    <xf numFmtId="0" fontId="149" fillId="17" borderId="12" xfId="12413" applyNumberFormat="1" applyFont="1" applyFill="1" applyBorder="1" applyAlignment="1">
      <alignment horizontal="center" vertical="top"/>
    </xf>
    <xf numFmtId="0" fontId="147" fillId="17" borderId="12" xfId="12413" applyNumberFormat="1" applyFont="1" applyFill="1" applyBorder="1" applyAlignment="1">
      <alignment horizontal="center" vertical="top"/>
    </xf>
    <xf numFmtId="0" fontId="147" fillId="0" borderId="0" xfId="12413" applyNumberFormat="1" applyFont="1" applyFill="1" applyBorder="1" applyAlignment="1">
      <alignment horizontal="center" vertical="top"/>
    </xf>
    <xf numFmtId="0" fontId="147" fillId="17" borderId="38" xfId="12413" applyNumberFormat="1" applyFont="1" applyFill="1" applyBorder="1" applyAlignment="1">
      <alignment horizontal="center" vertical="top"/>
    </xf>
    <xf numFmtId="0" fontId="147" fillId="17" borderId="39" xfId="12413" applyNumberFormat="1" applyFont="1" applyFill="1" applyBorder="1" applyAlignment="1">
      <alignment horizontal="center" vertical="top"/>
    </xf>
    <xf numFmtId="0" fontId="147" fillId="17" borderId="40" xfId="12413" applyNumberFormat="1" applyFont="1" applyFill="1" applyBorder="1" applyAlignment="1">
      <alignment horizontal="center" vertical="top"/>
    </xf>
    <xf numFmtId="0" fontId="147" fillId="17" borderId="41" xfId="12413" applyNumberFormat="1" applyFont="1" applyFill="1" applyBorder="1" applyAlignment="1">
      <alignment horizontal="center" vertical="top"/>
    </xf>
    <xf numFmtId="0" fontId="147" fillId="73" borderId="6" xfId="12413" applyNumberFormat="1" applyFont="1" applyFill="1" applyBorder="1" applyAlignment="1">
      <alignment horizontal="center" vertical="top" wrapText="1"/>
    </xf>
    <xf numFmtId="0" fontId="147" fillId="73" borderId="5" xfId="12413" applyNumberFormat="1" applyFont="1" applyFill="1" applyBorder="1" applyAlignment="1">
      <alignment horizontal="center" vertical="top" wrapText="1"/>
    </xf>
    <xf numFmtId="0" fontId="147" fillId="17" borderId="5" xfId="12413" applyNumberFormat="1" applyFont="1" applyFill="1" applyBorder="1" applyAlignment="1">
      <alignment horizontal="center" vertical="top" wrapText="1"/>
    </xf>
    <xf numFmtId="0" fontId="149" fillId="17" borderId="5" xfId="12413" applyNumberFormat="1" applyFont="1" applyFill="1" applyBorder="1" applyAlignment="1">
      <alignment horizontal="center" vertical="top" wrapText="1"/>
    </xf>
    <xf numFmtId="0" fontId="165" fillId="17" borderId="5" xfId="12413" applyNumberFormat="1" applyFont="1" applyFill="1" applyBorder="1" applyAlignment="1">
      <alignment horizontal="center" vertical="top" wrapText="1"/>
    </xf>
    <xf numFmtId="0" fontId="147" fillId="17" borderId="10" xfId="12413" applyNumberFormat="1" applyFont="1" applyFill="1" applyBorder="1" applyAlignment="1">
      <alignment horizontal="center" vertical="top" wrapText="1"/>
    </xf>
    <xf numFmtId="0" fontId="147" fillId="18" borderId="10" xfId="4623" applyNumberFormat="1" applyFont="1" applyFill="1" applyBorder="1" applyAlignment="1">
      <alignment horizontal="center" vertical="top" wrapText="1"/>
    </xf>
    <xf numFmtId="0" fontId="149" fillId="73" borderId="10" xfId="12413" applyNumberFormat="1" applyFont="1" applyFill="1" applyBorder="1" applyAlignment="1">
      <alignment horizontal="center" vertical="top"/>
    </xf>
    <xf numFmtId="0" fontId="147" fillId="17" borderId="9" xfId="12413" applyNumberFormat="1" applyFont="1" applyFill="1" applyBorder="1" applyAlignment="1">
      <alignment horizontal="center" vertical="top" wrapText="1"/>
    </xf>
    <xf numFmtId="0" fontId="147" fillId="17" borderId="45" xfId="12413" applyNumberFormat="1" applyFont="1" applyFill="1" applyBorder="1" applyAlignment="1">
      <alignment horizontal="center" vertical="top" wrapText="1"/>
    </xf>
    <xf numFmtId="0" fontId="147" fillId="17" borderId="6" xfId="12413" applyNumberFormat="1" applyFont="1" applyFill="1" applyBorder="1" applyAlignment="1">
      <alignment horizontal="center" vertical="top" wrapText="1"/>
    </xf>
    <xf numFmtId="0" fontId="147" fillId="17" borderId="5" xfId="12413" applyNumberFormat="1" applyFont="1" applyFill="1" applyBorder="1" applyAlignment="1">
      <alignment horizontal="center" vertical="top"/>
    </xf>
    <xf numFmtId="0" fontId="149" fillId="17" borderId="10" xfId="12413" applyNumberFormat="1" applyFont="1" applyFill="1" applyBorder="1" applyAlignment="1">
      <alignment horizontal="center" vertical="top"/>
    </xf>
    <xf numFmtId="0" fontId="147" fillId="17" borderId="10" xfId="12413" applyNumberFormat="1" applyFont="1" applyFill="1" applyBorder="1" applyAlignment="1">
      <alignment horizontal="center" vertical="top"/>
    </xf>
    <xf numFmtId="0" fontId="147" fillId="17" borderId="38" xfId="12413" applyNumberFormat="1" applyFont="1" applyFill="1" applyBorder="1" applyAlignment="1">
      <alignment horizontal="center" vertical="top"/>
    </xf>
    <xf numFmtId="0" fontId="147" fillId="17" borderId="39" xfId="12413" applyNumberFormat="1" applyFont="1" applyFill="1" applyBorder="1" applyAlignment="1">
      <alignment horizontal="center" vertical="top"/>
    </xf>
    <xf numFmtId="0" fontId="147" fillId="73" borderId="42" xfId="12413" applyNumberFormat="1" applyFont="1" applyFill="1" applyBorder="1" applyAlignment="1">
      <alignment horizontal="center" vertical="top" wrapText="1"/>
    </xf>
    <xf numFmtId="0" fontId="147" fillId="73" borderId="10" xfId="12413" applyNumberFormat="1" applyFont="1" applyFill="1" applyBorder="1" applyAlignment="1">
      <alignment horizontal="center" vertical="top" wrapText="1"/>
    </xf>
    <xf numFmtId="0" fontId="147" fillId="17" borderId="10" xfId="12413" applyNumberFormat="1" applyFont="1" applyFill="1" applyBorder="1" applyAlignment="1">
      <alignment horizontal="center" vertical="top" wrapText="1"/>
    </xf>
    <xf numFmtId="0" fontId="147" fillId="17" borderId="10" xfId="12413" applyNumberFormat="1" applyFont="1" applyFill="1" applyBorder="1" applyAlignment="1">
      <alignment horizontal="center" vertical="top"/>
    </xf>
    <xf numFmtId="0" fontId="147" fillId="18" borderId="5" xfId="4623" applyNumberFormat="1" applyFont="1" applyFill="1" applyBorder="1" applyAlignment="1">
      <alignment horizontal="center" vertical="top" wrapText="1"/>
    </xf>
    <xf numFmtId="0" fontId="149" fillId="73" borderId="5" xfId="12413" applyNumberFormat="1" applyFont="1" applyFill="1" applyBorder="1" applyAlignment="1">
      <alignment horizontal="center" vertical="top" wrapText="1"/>
    </xf>
    <xf numFmtId="0" fontId="149" fillId="17" borderId="5" xfId="12413" applyNumberFormat="1" applyFont="1" applyFill="1" applyBorder="1" applyAlignment="1">
      <alignment horizontal="center" vertical="top"/>
    </xf>
    <xf numFmtId="0" fontId="147" fillId="74" borderId="5" xfId="12413" applyNumberFormat="1" applyFont="1" applyFill="1" applyBorder="1" applyAlignment="1">
      <alignment horizontal="left" vertical="top"/>
    </xf>
    <xf numFmtId="0" fontId="147" fillId="74" borderId="39" xfId="12413" applyNumberFormat="1" applyFont="1" applyFill="1" applyBorder="1" applyAlignment="1">
      <alignment horizontal="left" vertical="top"/>
    </xf>
    <xf numFmtId="0" fontId="147" fillId="74" borderId="40" xfId="12413" applyNumberFormat="1" applyFont="1" applyFill="1" applyBorder="1" applyAlignment="1">
      <alignment horizontal="left" vertical="top"/>
    </xf>
    <xf numFmtId="0" fontId="147" fillId="74" borderId="41" xfId="12413" applyNumberFormat="1" applyFont="1" applyFill="1" applyBorder="1" applyAlignment="1">
      <alignment horizontal="left" vertical="top"/>
    </xf>
    <xf numFmtId="0" fontId="147" fillId="74" borderId="42" xfId="12413" applyNumberFormat="1" applyFont="1" applyFill="1" applyBorder="1" applyAlignment="1">
      <alignment horizontal="left" vertical="top" wrapText="1"/>
    </xf>
    <xf numFmtId="0" fontId="147" fillId="74" borderId="10" xfId="12413" applyNumberFormat="1" applyFont="1" applyFill="1" applyBorder="1" applyAlignment="1">
      <alignment horizontal="left" vertical="top" wrapText="1"/>
    </xf>
    <xf numFmtId="0" fontId="149" fillId="74" borderId="10" xfId="12413" applyNumberFormat="1" applyFont="1" applyFill="1" applyBorder="1" applyAlignment="1">
      <alignment horizontal="left" vertical="top" wrapText="1"/>
    </xf>
    <xf numFmtId="0" fontId="149" fillId="74" borderId="10" xfId="12413" applyNumberFormat="1" applyFont="1" applyFill="1" applyBorder="1" applyAlignment="1">
      <alignment horizontal="left" vertical="top"/>
    </xf>
    <xf numFmtId="0" fontId="165" fillId="74" borderId="10" xfId="12413" applyNumberFormat="1" applyFont="1" applyFill="1" applyBorder="1" applyAlignment="1">
      <alignment horizontal="left" vertical="top"/>
    </xf>
    <xf numFmtId="0" fontId="147" fillId="74" borderId="10" xfId="12413" applyNumberFormat="1" applyFont="1" applyFill="1" applyBorder="1" applyAlignment="1">
      <alignment horizontal="left" vertical="top"/>
    </xf>
    <xf numFmtId="0" fontId="147" fillId="74" borderId="38" xfId="12413" applyNumberFormat="1" applyFont="1" applyFill="1" applyBorder="1" applyAlignment="1">
      <alignment horizontal="left" vertical="top"/>
    </xf>
    <xf numFmtId="0" fontId="147" fillId="0" borderId="0" xfId="12413" applyNumberFormat="1" applyFont="1" applyFill="1" applyBorder="1" applyAlignment="1">
      <alignment horizontal="left" vertical="top"/>
    </xf>
    <xf numFmtId="0" fontId="147" fillId="74" borderId="5" xfId="12413" applyNumberFormat="1" applyFont="1" applyFill="1" applyBorder="1" applyAlignment="1">
      <alignment horizontal="left" vertical="top" wrapText="1"/>
    </xf>
    <xf numFmtId="0" fontId="149" fillId="74" borderId="5" xfId="12413" applyNumberFormat="1" applyFont="1" applyFill="1" applyBorder="1" applyAlignment="1">
      <alignment horizontal="left" vertical="top"/>
    </xf>
    <xf numFmtId="0" fontId="165" fillId="74" borderId="5" xfId="12413" applyNumberFormat="1" applyFont="1" applyFill="1" applyBorder="1" applyAlignment="1">
      <alignment horizontal="left" vertical="top" wrapText="1"/>
    </xf>
    <xf numFmtId="0" fontId="99" fillId="0" borderId="5" xfId="12413" applyNumberFormat="1" applyFont="1" applyFill="1" applyBorder="1" applyAlignment="1">
      <alignment horizontal="left" vertical="top"/>
    </xf>
    <xf numFmtId="0" fontId="99" fillId="0" borderId="43" xfId="12413" applyNumberFormat="1" applyFont="1" applyFill="1" applyBorder="1" applyAlignment="1">
      <alignment horizontal="left" vertical="top"/>
    </xf>
    <xf numFmtId="0" fontId="99" fillId="0" borderId="44" xfId="12413" applyNumberFormat="1" applyFont="1" applyFill="1" applyBorder="1" applyAlignment="1">
      <alignment horizontal="left" vertical="top"/>
    </xf>
    <xf numFmtId="0" fontId="20" fillId="0" borderId="42" xfId="12413" applyNumberFormat="1" applyFont="1" applyFill="1" applyBorder="1" applyAlignment="1">
      <alignment horizontal="left" vertical="top" wrapText="1"/>
    </xf>
    <xf numFmtId="0" fontId="99" fillId="75" borderId="10" xfId="12413" applyNumberFormat="1" applyFont="1" applyFill="1" applyBorder="1" applyAlignment="1">
      <alignment horizontal="left" vertical="top"/>
    </xf>
    <xf numFmtId="0" fontId="99" fillId="76" borderId="10" xfId="12413" applyNumberFormat="1" applyFont="1" applyFill="1" applyBorder="1" applyAlignment="1">
      <alignment horizontal="left" vertical="top" wrapText="1"/>
    </xf>
    <xf numFmtId="0" fontId="20" fillId="0" borderId="10" xfId="12413" applyNumberFormat="1" applyFont="1" applyFill="1" applyBorder="1" applyAlignment="1">
      <alignment horizontal="left" vertical="top" wrapText="1"/>
    </xf>
    <xf numFmtId="0" fontId="99" fillId="0" borderId="10" xfId="12413" applyNumberFormat="1" applyFont="1" applyFill="1" applyBorder="1" applyAlignment="1">
      <alignment horizontal="left" vertical="top"/>
    </xf>
    <xf numFmtId="0" fontId="18" fillId="0" borderId="10" xfId="12413" applyNumberFormat="1" applyFont="1" applyFill="1" applyBorder="1" applyAlignment="1">
      <alignment horizontal="left" vertical="top" wrapText="1"/>
    </xf>
    <xf numFmtId="0" fontId="20" fillId="77" borderId="10" xfId="12413" applyNumberFormat="1" applyFont="1" applyFill="1" applyBorder="1" applyAlignment="1">
      <alignment horizontal="left" vertical="top" wrapText="1"/>
    </xf>
    <xf numFmtId="0" fontId="99" fillId="0" borderId="5" xfId="12413" applyNumberFormat="1" applyFont="1" applyFill="1" applyBorder="1" applyAlignment="1">
      <alignment horizontal="left" vertical="top" wrapText="1"/>
    </xf>
    <xf numFmtId="0" fontId="99" fillId="0" borderId="9" xfId="12413" applyNumberFormat="1" applyFont="1" applyFill="1" applyBorder="1" applyAlignment="1">
      <alignment horizontal="left" vertical="top" wrapText="1"/>
    </xf>
    <xf numFmtId="0" fontId="99" fillId="0" borderId="5" xfId="12413" applyNumberFormat="1" applyFont="1" applyFill="1" applyBorder="1" applyAlignment="1">
      <alignment horizontal="center" vertical="top" wrapText="1"/>
    </xf>
    <xf numFmtId="0" fontId="20" fillId="0" borderId="5" xfId="12413" applyNumberFormat="1" applyFont="1" applyFill="1" applyBorder="1" applyAlignment="1">
      <alignment horizontal="left" vertical="top" wrapText="1"/>
    </xf>
    <xf numFmtId="0" fontId="99" fillId="75" borderId="5" xfId="12413" applyNumberFormat="1" applyFont="1" applyFill="1" applyBorder="1" applyAlignment="1">
      <alignment horizontal="left" vertical="top"/>
    </xf>
    <xf numFmtId="0" fontId="99" fillId="76" borderId="5" xfId="12413" applyNumberFormat="1" applyFont="1" applyFill="1" applyBorder="1" applyAlignment="1">
      <alignment horizontal="left" vertical="top" wrapText="1"/>
    </xf>
    <xf numFmtId="0" fontId="160" fillId="0" borderId="5" xfId="12413" applyNumberFormat="1" applyFont="1" applyFill="1" applyBorder="1" applyAlignment="1">
      <alignment horizontal="left" vertical="top" wrapText="1"/>
    </xf>
    <xf numFmtId="0" fontId="2" fillId="0" borderId="5" xfId="12413" applyNumberFormat="1" applyFont="1" applyFill="1" applyBorder="1" applyAlignment="1">
      <alignment horizontal="left" vertical="top" wrapText="1"/>
    </xf>
    <xf numFmtId="0" fontId="18" fillId="0" borderId="5" xfId="12413" applyNumberFormat="1" applyFont="1" applyFill="1" applyBorder="1" applyAlignment="1">
      <alignment horizontal="left" vertical="top" wrapText="1"/>
    </xf>
    <xf numFmtId="0" fontId="18" fillId="75" borderId="5" xfId="12413" applyNumberFormat="1" applyFont="1" applyFill="1" applyBorder="1" applyAlignment="1">
      <alignment horizontal="left" vertical="top"/>
    </xf>
    <xf numFmtId="0" fontId="18" fillId="76" borderId="5" xfId="12413" applyNumberFormat="1" applyFont="1" applyFill="1" applyBorder="1" applyAlignment="1">
      <alignment horizontal="left" vertical="top" wrapText="1"/>
    </xf>
    <xf numFmtId="0" fontId="2" fillId="77" borderId="5" xfId="12413" applyNumberFormat="1" applyFont="1" applyFill="1" applyBorder="1" applyAlignment="1">
      <alignment horizontal="left" vertical="top" wrapText="1"/>
    </xf>
    <xf numFmtId="0" fontId="99" fillId="75" borderId="5" xfId="12413" applyNumberFormat="1" applyFont="1" applyFill="1" applyBorder="1" applyAlignment="1">
      <alignment horizontal="left" vertical="top" wrapText="1"/>
    </xf>
    <xf numFmtId="0" fontId="165" fillId="0" borderId="5" xfId="12413" applyNumberFormat="1" applyFont="1" applyFill="1" applyBorder="1" applyAlignment="1">
      <alignment horizontal="left" vertical="top" wrapText="1"/>
    </xf>
    <xf numFmtId="0" fontId="20" fillId="77" borderId="5" xfId="12413" applyNumberFormat="1" applyFont="1" applyFill="1" applyBorder="1" applyAlignment="1">
      <alignment horizontal="left" vertical="top" wrapText="1"/>
    </xf>
    <xf numFmtId="0" fontId="167" fillId="0" borderId="5" xfId="7442" applyNumberFormat="1" applyFont="1" applyFill="1" applyBorder="1" applyAlignment="1">
      <alignment horizontal="left" vertical="top"/>
    </xf>
    <xf numFmtId="0" fontId="167" fillId="0" borderId="5" xfId="7442" applyNumberFormat="1" applyFont="1" applyFill="1" applyBorder="1" applyAlignment="1">
      <alignment horizontal="left" vertical="top" wrapText="1"/>
    </xf>
  </cellXfs>
  <cellStyles count="12421">
    <cellStyle name="20% - Accent1 2" xfId="7"/>
    <cellStyle name="20% - Accent1 2 10" xfId="8"/>
    <cellStyle name="20% - Accent1 2 11" xfId="9"/>
    <cellStyle name="20% - Accent1 2 2" xfId="10"/>
    <cellStyle name="20% - Accent1 2 2 2" xfId="11"/>
    <cellStyle name="20% - Accent1 2 2 2 2" xfId="12"/>
    <cellStyle name="20% - Accent1 2 2 2 2 2" xfId="13"/>
    <cellStyle name="20% - Accent1 2 2 2 2 2 2" xfId="14"/>
    <cellStyle name="20% - Accent1 2 2 2 2 2 3" xfId="15"/>
    <cellStyle name="20% - Accent1 2 2 2 2 2 4" xfId="16"/>
    <cellStyle name="20% - Accent1 2 2 2 2 3" xfId="17"/>
    <cellStyle name="20% - Accent1 2 2 2 2 3 2" xfId="18"/>
    <cellStyle name="20% - Accent1 2 2 2 2 3 3" xfId="19"/>
    <cellStyle name="20% - Accent1 2 2 2 2 4" xfId="20"/>
    <cellStyle name="20% - Accent1 2 2 2 2 5" xfId="21"/>
    <cellStyle name="20% - Accent1 2 2 2 2 6" xfId="22"/>
    <cellStyle name="20% - Accent1 2 2 2 3" xfId="23"/>
    <cellStyle name="20% - Accent1 2 2 2 3 2" xfId="24"/>
    <cellStyle name="20% - Accent1 2 2 2 3 3" xfId="25"/>
    <cellStyle name="20% - Accent1 2 2 2 3 4" xfId="26"/>
    <cellStyle name="20% - Accent1 2 2 2 4" xfId="27"/>
    <cellStyle name="20% - Accent1 2 2 2 4 2" xfId="28"/>
    <cellStyle name="20% - Accent1 2 2 2 4 3" xfId="29"/>
    <cellStyle name="20% - Accent1 2 2 2 4 4" xfId="30"/>
    <cellStyle name="20% - Accent1 2 2 2 5" xfId="31"/>
    <cellStyle name="20% - Accent1 2 2 2 5 2" xfId="32"/>
    <cellStyle name="20% - Accent1 2 2 2 5 3" xfId="33"/>
    <cellStyle name="20% - Accent1 2 2 2 6" xfId="34"/>
    <cellStyle name="20% - Accent1 2 2 2 7" xfId="35"/>
    <cellStyle name="20% - Accent1 2 2 2 8" xfId="36"/>
    <cellStyle name="20% - Accent1 2 2 3" xfId="37"/>
    <cellStyle name="20% - Accent1 2 2 3 2" xfId="38"/>
    <cellStyle name="20% - Accent1 2 2 3 2 2" xfId="39"/>
    <cellStyle name="20% - Accent1 2 2 3 2 3" xfId="40"/>
    <cellStyle name="20% - Accent1 2 2 3 2 4" xfId="41"/>
    <cellStyle name="20% - Accent1 2 2 3 3" xfId="42"/>
    <cellStyle name="20% - Accent1 2 2 3 3 2" xfId="43"/>
    <cellStyle name="20% - Accent1 2 2 3 3 3" xfId="44"/>
    <cellStyle name="20% - Accent1 2 2 3 4" xfId="45"/>
    <cellStyle name="20% - Accent1 2 2 3 5" xfId="46"/>
    <cellStyle name="20% - Accent1 2 2 3 6" xfId="47"/>
    <cellStyle name="20% - Accent1 2 2 4" xfId="48"/>
    <cellStyle name="20% - Accent1 2 2 4 2" xfId="49"/>
    <cellStyle name="20% - Accent1 2 2 4 3" xfId="50"/>
    <cellStyle name="20% - Accent1 2 2 4 4" xfId="51"/>
    <cellStyle name="20% - Accent1 2 2 5" xfId="52"/>
    <cellStyle name="20% - Accent1 2 2 5 2" xfId="53"/>
    <cellStyle name="20% - Accent1 2 2 5 3" xfId="54"/>
    <cellStyle name="20% - Accent1 2 2 5 4" xfId="55"/>
    <cellStyle name="20% - Accent1 2 2 6" xfId="56"/>
    <cellStyle name="20% - Accent1 2 2 6 2" xfId="57"/>
    <cellStyle name="20% - Accent1 2 2 6 3" xfId="58"/>
    <cellStyle name="20% - Accent1 2 2 7" xfId="59"/>
    <cellStyle name="20% - Accent1 2 2 8" xfId="60"/>
    <cellStyle name="20% - Accent1 2 2 9" xfId="61"/>
    <cellStyle name="20% - Accent1 2 3" xfId="62"/>
    <cellStyle name="20% - Accent1 2 3 2" xfId="63"/>
    <cellStyle name="20% - Accent1 2 3 2 2" xfId="64"/>
    <cellStyle name="20% - Accent1 2 3 2 2 2" xfId="65"/>
    <cellStyle name="20% - Accent1 2 3 2 2 3" xfId="66"/>
    <cellStyle name="20% - Accent1 2 3 2 2 4" xfId="67"/>
    <cellStyle name="20% - Accent1 2 3 2 3" xfId="68"/>
    <cellStyle name="20% - Accent1 2 3 2 3 2" xfId="69"/>
    <cellStyle name="20% - Accent1 2 3 2 3 3" xfId="70"/>
    <cellStyle name="20% - Accent1 2 3 2 4" xfId="71"/>
    <cellStyle name="20% - Accent1 2 3 2 5" xfId="72"/>
    <cellStyle name="20% - Accent1 2 3 2 6" xfId="73"/>
    <cellStyle name="20% - Accent1 2 3 3" xfId="74"/>
    <cellStyle name="20% - Accent1 2 3 3 2" xfId="75"/>
    <cellStyle name="20% - Accent1 2 3 3 2 2" xfId="76"/>
    <cellStyle name="20% - Accent1 2 3 3 2 3" xfId="77"/>
    <cellStyle name="20% - Accent1 2 3 3 2 4" xfId="78"/>
    <cellStyle name="20% - Accent1 2 3 3 3" xfId="79"/>
    <cellStyle name="20% - Accent1 2 3 3 3 2" xfId="80"/>
    <cellStyle name="20% - Accent1 2 3 3 3 3" xfId="81"/>
    <cellStyle name="20% - Accent1 2 3 3 4" xfId="82"/>
    <cellStyle name="20% - Accent1 2 3 3 5" xfId="83"/>
    <cellStyle name="20% - Accent1 2 3 3 6" xfId="84"/>
    <cellStyle name="20% - Accent1 2 3 4" xfId="85"/>
    <cellStyle name="20% - Accent1 2 3 4 2" xfId="86"/>
    <cellStyle name="20% - Accent1 2 3 4 3" xfId="87"/>
    <cellStyle name="20% - Accent1 2 3 4 4" xfId="88"/>
    <cellStyle name="20% - Accent1 2 3 5" xfId="89"/>
    <cellStyle name="20% - Accent1 2 3 5 2" xfId="90"/>
    <cellStyle name="20% - Accent1 2 3 5 3" xfId="91"/>
    <cellStyle name="20% - Accent1 2 3 6" xfId="92"/>
    <cellStyle name="20% - Accent1 2 3 7" xfId="93"/>
    <cellStyle name="20% - Accent1 2 3 8" xfId="94"/>
    <cellStyle name="20% - Accent1 2 4" xfId="95"/>
    <cellStyle name="20% - Accent1 2 4 2" xfId="96"/>
    <cellStyle name="20% - Accent1 2 4 2 2" xfId="97"/>
    <cellStyle name="20% - Accent1 2 4 2 3" xfId="98"/>
    <cellStyle name="20% - Accent1 2 4 2 4" xfId="99"/>
    <cellStyle name="20% - Accent1 2 4 3" xfId="100"/>
    <cellStyle name="20% - Accent1 2 4 3 2" xfId="101"/>
    <cellStyle name="20% - Accent1 2 4 3 3" xfId="102"/>
    <cellStyle name="20% - Accent1 2 4 4" xfId="103"/>
    <cellStyle name="20% - Accent1 2 4 5" xfId="104"/>
    <cellStyle name="20% - Accent1 2 4 6" xfId="105"/>
    <cellStyle name="20% - Accent1 2 5" xfId="106"/>
    <cellStyle name="20% - Accent1 2 5 2" xfId="107"/>
    <cellStyle name="20% - Accent1 2 5 2 2" xfId="108"/>
    <cellStyle name="20% - Accent1 2 5 2 3" xfId="109"/>
    <cellStyle name="20% - Accent1 2 5 2 4" xfId="110"/>
    <cellStyle name="20% - Accent1 2 5 3" xfId="111"/>
    <cellStyle name="20% - Accent1 2 5 3 2" xfId="112"/>
    <cellStyle name="20% - Accent1 2 5 3 3" xfId="113"/>
    <cellStyle name="20% - Accent1 2 5 4" xfId="114"/>
    <cellStyle name="20% - Accent1 2 5 5" xfId="115"/>
    <cellStyle name="20% - Accent1 2 5 6" xfId="116"/>
    <cellStyle name="20% - Accent1 2 6" xfId="117"/>
    <cellStyle name="20% - Accent1 2 6 2" xfId="118"/>
    <cellStyle name="20% - Accent1 2 6 3" xfId="119"/>
    <cellStyle name="20% - Accent1 2 6 4" xfId="120"/>
    <cellStyle name="20% - Accent1 2 7" xfId="121"/>
    <cellStyle name="20% - Accent1 2 7 2" xfId="122"/>
    <cellStyle name="20% - Accent1 2 7 3" xfId="123"/>
    <cellStyle name="20% - Accent1 2 8" xfId="124"/>
    <cellStyle name="20% - Accent1 2 9" xfId="125"/>
    <cellStyle name="20% - Accent1 3" xfId="126"/>
    <cellStyle name="20% - Accent1 3 2" xfId="127"/>
    <cellStyle name="20% - Accent1 3 2 2" xfId="128"/>
    <cellStyle name="20% - Accent1 3 2 2 2" xfId="129"/>
    <cellStyle name="20% - Accent1 3 2 2 2 2" xfId="130"/>
    <cellStyle name="20% - Accent1 3 2 2 2 2 2" xfId="131"/>
    <cellStyle name="20% - Accent1 3 2 2 2 2 2 2" xfId="132"/>
    <cellStyle name="20% - Accent1 3 2 2 2 2 2 2 2" xfId="133"/>
    <cellStyle name="20% - Accent1 3 2 2 2 2 2 3" xfId="134"/>
    <cellStyle name="20% - Accent1 3 2 2 2 2 2 3 2" xfId="135"/>
    <cellStyle name="20% - Accent1 3 2 2 2 2 2 4" xfId="136"/>
    <cellStyle name="20% - Accent1 3 2 2 2 2 3" xfId="137"/>
    <cellStyle name="20% - Accent1 3 2 2 2 2 3 2" xfId="138"/>
    <cellStyle name="20% - Accent1 3 2 2 2 2 4" xfId="139"/>
    <cellStyle name="20% - Accent1 3 2 2 2 2 4 2" xfId="140"/>
    <cellStyle name="20% - Accent1 3 2 2 2 2 5" xfId="141"/>
    <cellStyle name="20% - Accent1 3 2 2 2 3" xfId="142"/>
    <cellStyle name="20% - Accent1 3 2 2 2 3 2" xfId="143"/>
    <cellStyle name="20% - Accent1 3 2 2 2 3 2 2" xfId="144"/>
    <cellStyle name="20% - Accent1 3 2 2 2 3 3" xfId="145"/>
    <cellStyle name="20% - Accent1 3 2 2 2 3 3 2" xfId="146"/>
    <cellStyle name="20% - Accent1 3 2 2 2 3 4" xfId="147"/>
    <cellStyle name="20% - Accent1 3 2 2 2 4" xfId="148"/>
    <cellStyle name="20% - Accent1 3 2 2 2 4 2" xfId="149"/>
    <cellStyle name="20% - Accent1 3 2 2 2 5" xfId="150"/>
    <cellStyle name="20% - Accent1 3 2 2 2 5 2" xfId="151"/>
    <cellStyle name="20% - Accent1 3 2 2 2 6" xfId="152"/>
    <cellStyle name="20% - Accent1 3 2 2 3" xfId="153"/>
    <cellStyle name="20% - Accent1 3 2 2 3 2" xfId="154"/>
    <cellStyle name="20% - Accent1 3 2 2 3 2 2" xfId="155"/>
    <cellStyle name="20% - Accent1 3 2 2 3 2 2 2" xfId="156"/>
    <cellStyle name="20% - Accent1 3 2 2 3 2 3" xfId="157"/>
    <cellStyle name="20% - Accent1 3 2 2 3 2 3 2" xfId="158"/>
    <cellStyle name="20% - Accent1 3 2 2 3 2 4" xfId="159"/>
    <cellStyle name="20% - Accent1 3 2 2 3 3" xfId="160"/>
    <cellStyle name="20% - Accent1 3 2 2 3 3 2" xfId="161"/>
    <cellStyle name="20% - Accent1 3 2 2 3 4" xfId="162"/>
    <cellStyle name="20% - Accent1 3 2 2 3 4 2" xfId="163"/>
    <cellStyle name="20% - Accent1 3 2 2 3 5" xfId="164"/>
    <cellStyle name="20% - Accent1 3 2 2 4" xfId="165"/>
    <cellStyle name="20% - Accent1 3 2 2 4 2" xfId="166"/>
    <cellStyle name="20% - Accent1 3 2 2 4 2 2" xfId="167"/>
    <cellStyle name="20% - Accent1 3 2 2 4 3" xfId="168"/>
    <cellStyle name="20% - Accent1 3 2 2 4 3 2" xfId="169"/>
    <cellStyle name="20% - Accent1 3 2 2 4 4" xfId="170"/>
    <cellStyle name="20% - Accent1 3 2 2 5" xfId="171"/>
    <cellStyle name="20% - Accent1 3 2 2 5 2" xfId="172"/>
    <cellStyle name="20% - Accent1 3 2 2 6" xfId="173"/>
    <cellStyle name="20% - Accent1 3 2 2 6 2" xfId="174"/>
    <cellStyle name="20% - Accent1 3 2 2 7" xfId="175"/>
    <cellStyle name="20% - Accent1 3 2 3" xfId="176"/>
    <cellStyle name="20% - Accent1 3 3" xfId="177"/>
    <cellStyle name="20% - Accent1 4" xfId="178"/>
    <cellStyle name="20% - Accent1 4 2" xfId="179"/>
    <cellStyle name="20% - Accent1 4 2 2" xfId="180"/>
    <cellStyle name="20% - Accent1 4 2 2 2" xfId="181"/>
    <cellStyle name="20% - Accent1 4 2 2 2 2" xfId="182"/>
    <cellStyle name="20% - Accent1 4 2 2 2 2 2" xfId="183"/>
    <cellStyle name="20% - Accent1 4 2 2 2 3" xfId="184"/>
    <cellStyle name="20% - Accent1 4 2 2 2 3 2" xfId="185"/>
    <cellStyle name="20% - Accent1 4 2 2 2 4" xfId="186"/>
    <cellStyle name="20% - Accent1 4 2 2 3" xfId="187"/>
    <cellStyle name="20% - Accent1 4 2 2 3 2" xfId="188"/>
    <cellStyle name="20% - Accent1 4 2 2 4" xfId="189"/>
    <cellStyle name="20% - Accent1 4 2 2 4 2" xfId="190"/>
    <cellStyle name="20% - Accent1 4 2 2 5" xfId="191"/>
    <cellStyle name="20% - Accent1 4 2 3" xfId="192"/>
    <cellStyle name="20% - Accent1 4 2 3 2" xfId="193"/>
    <cellStyle name="20% - Accent1 4 2 3 2 2" xfId="194"/>
    <cellStyle name="20% - Accent1 4 2 3 3" xfId="195"/>
    <cellStyle name="20% - Accent1 4 2 3 3 2" xfId="196"/>
    <cellStyle name="20% - Accent1 4 2 3 4" xfId="197"/>
    <cellStyle name="20% - Accent1 4 2 4" xfId="198"/>
    <cellStyle name="20% - Accent1 4 2 4 2" xfId="199"/>
    <cellStyle name="20% - Accent1 4 2 5" xfId="200"/>
    <cellStyle name="20% - Accent1 4 2 5 2" xfId="201"/>
    <cellStyle name="20% - Accent1 4 2 6" xfId="202"/>
    <cellStyle name="20% - Accent1 4 3" xfId="203"/>
    <cellStyle name="20% - Accent1 4 3 2" xfId="204"/>
    <cellStyle name="20% - Accent1 4 3 2 2" xfId="205"/>
    <cellStyle name="20% - Accent1 4 3 2 2 2" xfId="206"/>
    <cellStyle name="20% - Accent1 4 3 2 3" xfId="207"/>
    <cellStyle name="20% - Accent1 4 3 2 3 2" xfId="208"/>
    <cellStyle name="20% - Accent1 4 3 2 4" xfId="209"/>
    <cellStyle name="20% - Accent1 4 3 3" xfId="210"/>
    <cellStyle name="20% - Accent1 4 3 3 2" xfId="211"/>
    <cellStyle name="20% - Accent1 4 3 4" xfId="212"/>
    <cellStyle name="20% - Accent1 4 3 4 2" xfId="213"/>
    <cellStyle name="20% - Accent1 4 3 5" xfId="214"/>
    <cellStyle name="20% - Accent1 4 4" xfId="215"/>
    <cellStyle name="20% - Accent1 4 4 2" xfId="216"/>
    <cellStyle name="20% - Accent1 4 4 2 2" xfId="217"/>
    <cellStyle name="20% - Accent1 4 4 3" xfId="218"/>
    <cellStyle name="20% - Accent1 4 4 3 2" xfId="219"/>
    <cellStyle name="20% - Accent1 4 4 4" xfId="220"/>
    <cellStyle name="20% - Accent1 4 5" xfId="221"/>
    <cellStyle name="20% - Accent1 4 5 2" xfId="222"/>
    <cellStyle name="20% - Accent1 4 6" xfId="223"/>
    <cellStyle name="20% - Accent1 4 6 2" xfId="224"/>
    <cellStyle name="20% - Accent1 4 7" xfId="225"/>
    <cellStyle name="20% - Accent1 5" xfId="226"/>
    <cellStyle name="20% - Accent1 5 2" xfId="227"/>
    <cellStyle name="20% - Accent1 5 2 2" xfId="228"/>
    <cellStyle name="20% - Accent1 5 2 2 2" xfId="229"/>
    <cellStyle name="20% - Accent1 5 2 2 2 2" xfId="230"/>
    <cellStyle name="20% - Accent1 5 2 2 3" xfId="231"/>
    <cellStyle name="20% - Accent1 5 2 2 3 2" xfId="232"/>
    <cellStyle name="20% - Accent1 5 2 2 4" xfId="233"/>
    <cellStyle name="20% - Accent1 5 2 3" xfId="234"/>
    <cellStyle name="20% - Accent1 5 2 3 2" xfId="235"/>
    <cellStyle name="20% - Accent1 5 2 4" xfId="236"/>
    <cellStyle name="20% - Accent1 5 2 4 2" xfId="237"/>
    <cellStyle name="20% - Accent1 5 2 5" xfId="238"/>
    <cellStyle name="20% - Accent1 5 3" xfId="239"/>
    <cellStyle name="20% - Accent1 5 3 2" xfId="240"/>
    <cellStyle name="20% - Accent1 5 3 2 2" xfId="241"/>
    <cellStyle name="20% - Accent1 5 3 2 2 2" xfId="242"/>
    <cellStyle name="20% - Accent1 5 3 2 3" xfId="243"/>
    <cellStyle name="20% - Accent1 5 3 2 3 2" xfId="244"/>
    <cellStyle name="20% - Accent1 5 3 2 4" xfId="245"/>
    <cellStyle name="20% - Accent1 5 3 3" xfId="246"/>
    <cellStyle name="20% - Accent1 5 3 3 2" xfId="247"/>
    <cellStyle name="20% - Accent1 5 3 3 2 2" xfId="248"/>
    <cellStyle name="20% - Accent1 5 3 3 3" xfId="249"/>
    <cellStyle name="20% - Accent1 5 3 3 3 2" xfId="250"/>
    <cellStyle name="20% - Accent1 5 3 3 4" xfId="251"/>
    <cellStyle name="20% - Accent1 5 3 4" xfId="252"/>
    <cellStyle name="20% - Accent1 5 3 4 2" xfId="253"/>
    <cellStyle name="20% - Accent1 5 3 5" xfId="254"/>
    <cellStyle name="20% - Accent1 5 3 5 2" xfId="255"/>
    <cellStyle name="20% - Accent1 5 3 6" xfId="256"/>
    <cellStyle name="20% - Accent1 5 4" xfId="257"/>
    <cellStyle name="20% - Accent1 5 4 2" xfId="258"/>
    <cellStyle name="20% - Accent1 5 4 2 2" xfId="259"/>
    <cellStyle name="20% - Accent1 5 4 3" xfId="260"/>
    <cellStyle name="20% - Accent1 5 4 3 2" xfId="261"/>
    <cellStyle name="20% - Accent1 5 4 4" xfId="262"/>
    <cellStyle name="20% - Accent1 5 5" xfId="263"/>
    <cellStyle name="20% - Accent1 5 5 2" xfId="264"/>
    <cellStyle name="20% - Accent1 5 6" xfId="265"/>
    <cellStyle name="20% - Accent1 5 6 2" xfId="266"/>
    <cellStyle name="20% - Accent1 5 7" xfId="267"/>
    <cellStyle name="20% - Accent1 6" xfId="268"/>
    <cellStyle name="20% - Accent1 6 2" xfId="269"/>
    <cellStyle name="20% - Accent1 6 2 2" xfId="270"/>
    <cellStyle name="20% - Accent1 6 2 2 2" xfId="271"/>
    <cellStyle name="20% - Accent1 6 2 3" xfId="272"/>
    <cellStyle name="20% - Accent1 6 2 3 2" xfId="273"/>
    <cellStyle name="20% - Accent1 6 2 4" xfId="274"/>
    <cellStyle name="20% - Accent1 6 3" xfId="275"/>
    <cellStyle name="20% - Accent1 6 3 2" xfId="276"/>
    <cellStyle name="20% - Accent1 6 4" xfId="277"/>
    <cellStyle name="20% - Accent1 6 4 2" xfId="278"/>
    <cellStyle name="20% - Accent1 6 5" xfId="279"/>
    <cellStyle name="20% - Accent2 2" xfId="280"/>
    <cellStyle name="20% - Accent2 2 2" xfId="281"/>
    <cellStyle name="20% - Accent2 2 2 2" xfId="282"/>
    <cellStyle name="20% - Accent2 2 2 2 2" xfId="283"/>
    <cellStyle name="20% - Accent2 2 2 2 2 2" xfId="284"/>
    <cellStyle name="20% - Accent2 2 2 2 2 2 2" xfId="285"/>
    <cellStyle name="20% - Accent2 2 2 2 2 2 3" xfId="286"/>
    <cellStyle name="20% - Accent2 2 2 2 2 2 4" xfId="287"/>
    <cellStyle name="20% - Accent2 2 2 2 2 3" xfId="288"/>
    <cellStyle name="20% - Accent2 2 2 2 2 3 2" xfId="289"/>
    <cellStyle name="20% - Accent2 2 2 2 2 3 3" xfId="290"/>
    <cellStyle name="20% - Accent2 2 2 2 2 4" xfId="291"/>
    <cellStyle name="20% - Accent2 2 2 2 2 5" xfId="292"/>
    <cellStyle name="20% - Accent2 2 2 2 2 6" xfId="293"/>
    <cellStyle name="20% - Accent2 2 2 2 3" xfId="294"/>
    <cellStyle name="20% - Accent2 2 2 2 3 2" xfId="295"/>
    <cellStyle name="20% - Accent2 2 2 2 3 3" xfId="296"/>
    <cellStyle name="20% - Accent2 2 2 2 3 4" xfId="297"/>
    <cellStyle name="20% - Accent2 2 2 2 4" xfId="298"/>
    <cellStyle name="20% - Accent2 2 2 2 4 2" xfId="299"/>
    <cellStyle name="20% - Accent2 2 2 2 4 3" xfId="300"/>
    <cellStyle name="20% - Accent2 2 2 2 4 4" xfId="301"/>
    <cellStyle name="20% - Accent2 2 2 2 5" xfId="302"/>
    <cellStyle name="20% - Accent2 2 2 2 5 2" xfId="303"/>
    <cellStyle name="20% - Accent2 2 2 2 5 3" xfId="304"/>
    <cellStyle name="20% - Accent2 2 2 2 6" xfId="305"/>
    <cellStyle name="20% - Accent2 2 2 2 7" xfId="306"/>
    <cellStyle name="20% - Accent2 2 2 2 8" xfId="307"/>
    <cellStyle name="20% - Accent2 2 2 3" xfId="308"/>
    <cellStyle name="20% - Accent2 2 2 3 2" xfId="309"/>
    <cellStyle name="20% - Accent2 2 2 3 2 2" xfId="310"/>
    <cellStyle name="20% - Accent2 2 2 3 2 3" xfId="311"/>
    <cellStyle name="20% - Accent2 2 2 3 2 4" xfId="312"/>
    <cellStyle name="20% - Accent2 2 2 3 3" xfId="313"/>
    <cellStyle name="20% - Accent2 2 2 3 3 2" xfId="314"/>
    <cellStyle name="20% - Accent2 2 2 3 3 3" xfId="315"/>
    <cellStyle name="20% - Accent2 2 2 3 4" xfId="316"/>
    <cellStyle name="20% - Accent2 2 2 3 5" xfId="317"/>
    <cellStyle name="20% - Accent2 2 2 3 6" xfId="318"/>
    <cellStyle name="20% - Accent2 2 2 4" xfId="319"/>
    <cellStyle name="20% - Accent2 2 2 4 2" xfId="320"/>
    <cellStyle name="20% - Accent2 2 2 4 3" xfId="321"/>
    <cellStyle name="20% - Accent2 2 2 4 4" xfId="322"/>
    <cellStyle name="20% - Accent2 2 2 5" xfId="323"/>
    <cellStyle name="20% - Accent2 2 2 5 2" xfId="324"/>
    <cellStyle name="20% - Accent2 2 2 5 3" xfId="325"/>
    <cellStyle name="20% - Accent2 2 2 6" xfId="326"/>
    <cellStyle name="20% - Accent2 2 2 7" xfId="327"/>
    <cellStyle name="20% - Accent2 2 2 8" xfId="328"/>
    <cellStyle name="20% - Accent2 2 3" xfId="329"/>
    <cellStyle name="20% - Accent2 2 3 2" xfId="330"/>
    <cellStyle name="20% - Accent2 2 3 2 2" xfId="331"/>
    <cellStyle name="20% - Accent2 2 3 2 2 2" xfId="332"/>
    <cellStyle name="20% - Accent2 2 3 2 2 3" xfId="333"/>
    <cellStyle name="20% - Accent2 2 3 2 2 4" xfId="334"/>
    <cellStyle name="20% - Accent2 2 3 2 3" xfId="335"/>
    <cellStyle name="20% - Accent2 2 3 2 3 2" xfId="336"/>
    <cellStyle name="20% - Accent2 2 3 2 3 3" xfId="337"/>
    <cellStyle name="20% - Accent2 2 3 2 4" xfId="338"/>
    <cellStyle name="20% - Accent2 2 3 2 5" xfId="339"/>
    <cellStyle name="20% - Accent2 2 3 2 6" xfId="340"/>
    <cellStyle name="20% - Accent2 2 3 3" xfId="341"/>
    <cellStyle name="20% - Accent2 2 3 3 2" xfId="342"/>
    <cellStyle name="20% - Accent2 2 3 3 2 2" xfId="343"/>
    <cellStyle name="20% - Accent2 2 3 3 2 3" xfId="344"/>
    <cellStyle name="20% - Accent2 2 3 3 2 4" xfId="345"/>
    <cellStyle name="20% - Accent2 2 3 3 3" xfId="346"/>
    <cellStyle name="20% - Accent2 2 3 3 3 2" xfId="347"/>
    <cellStyle name="20% - Accent2 2 3 3 3 3" xfId="348"/>
    <cellStyle name="20% - Accent2 2 3 3 4" xfId="349"/>
    <cellStyle name="20% - Accent2 2 3 3 5" xfId="350"/>
    <cellStyle name="20% - Accent2 2 3 3 6" xfId="351"/>
    <cellStyle name="20% - Accent2 2 3 4" xfId="352"/>
    <cellStyle name="20% - Accent2 2 3 4 2" xfId="353"/>
    <cellStyle name="20% - Accent2 2 3 4 3" xfId="354"/>
    <cellStyle name="20% - Accent2 2 3 4 4" xfId="355"/>
    <cellStyle name="20% - Accent2 2 3 5" xfId="356"/>
    <cellStyle name="20% - Accent2 2 3 5 2" xfId="357"/>
    <cellStyle name="20% - Accent2 2 3 5 3" xfId="358"/>
    <cellStyle name="20% - Accent2 2 3 6" xfId="359"/>
    <cellStyle name="20% - Accent2 2 3 7" xfId="360"/>
    <cellStyle name="20% - Accent2 2 3 8" xfId="361"/>
    <cellStyle name="20% - Accent2 2 4" xfId="362"/>
    <cellStyle name="20% - Accent2 2 4 2" xfId="363"/>
    <cellStyle name="20% - Accent2 2 4 2 2" xfId="364"/>
    <cellStyle name="20% - Accent2 2 4 2 3" xfId="365"/>
    <cellStyle name="20% - Accent2 2 4 2 4" xfId="366"/>
    <cellStyle name="20% - Accent2 2 4 3" xfId="367"/>
    <cellStyle name="20% - Accent2 2 4 3 2" xfId="368"/>
    <cellStyle name="20% - Accent2 2 4 3 3" xfId="369"/>
    <cellStyle name="20% - Accent2 2 4 4" xfId="370"/>
    <cellStyle name="20% - Accent2 2 4 5" xfId="371"/>
    <cellStyle name="20% - Accent2 2 4 6" xfId="372"/>
    <cellStyle name="20% - Accent2 2 5" xfId="373"/>
    <cellStyle name="20% - Accent2 2 5 2" xfId="374"/>
    <cellStyle name="20% - Accent2 2 5 3" xfId="375"/>
    <cellStyle name="20% - Accent2 2 6" xfId="376"/>
    <cellStyle name="20% - Accent2 2 7" xfId="377"/>
    <cellStyle name="20% - Accent2 2 8" xfId="378"/>
    <cellStyle name="20% - Accent2 2 9" xfId="379"/>
    <cellStyle name="20% - Accent2 3" xfId="380"/>
    <cellStyle name="20% - Accent2 3 2" xfId="381"/>
    <cellStyle name="20% - Accent2 3 2 2" xfId="382"/>
    <cellStyle name="20% - Accent2 3 2 2 2" xfId="383"/>
    <cellStyle name="20% - Accent2 3 2 2 2 2" xfId="384"/>
    <cellStyle name="20% - Accent2 3 2 2 2 2 2" xfId="385"/>
    <cellStyle name="20% - Accent2 3 2 2 2 2 2 2" xfId="386"/>
    <cellStyle name="20% - Accent2 3 2 2 2 2 2 2 2" xfId="387"/>
    <cellStyle name="20% - Accent2 3 2 2 2 2 2 3" xfId="388"/>
    <cellStyle name="20% - Accent2 3 2 2 2 2 2 3 2" xfId="389"/>
    <cellStyle name="20% - Accent2 3 2 2 2 2 2 4" xfId="390"/>
    <cellStyle name="20% - Accent2 3 2 2 2 2 3" xfId="391"/>
    <cellStyle name="20% - Accent2 3 2 2 2 2 3 2" xfId="392"/>
    <cellStyle name="20% - Accent2 3 2 2 2 2 4" xfId="393"/>
    <cellStyle name="20% - Accent2 3 2 2 2 2 4 2" xfId="394"/>
    <cellStyle name="20% - Accent2 3 2 2 2 2 5" xfId="395"/>
    <cellStyle name="20% - Accent2 3 2 2 2 3" xfId="396"/>
    <cellStyle name="20% - Accent2 3 2 2 2 3 2" xfId="397"/>
    <cellStyle name="20% - Accent2 3 2 2 2 3 2 2" xfId="398"/>
    <cellStyle name="20% - Accent2 3 2 2 2 3 3" xfId="399"/>
    <cellStyle name="20% - Accent2 3 2 2 2 3 3 2" xfId="400"/>
    <cellStyle name="20% - Accent2 3 2 2 2 3 4" xfId="401"/>
    <cellStyle name="20% - Accent2 3 2 2 2 4" xfId="402"/>
    <cellStyle name="20% - Accent2 3 2 2 2 4 2" xfId="403"/>
    <cellStyle name="20% - Accent2 3 2 2 2 5" xfId="404"/>
    <cellStyle name="20% - Accent2 3 2 2 2 5 2" xfId="405"/>
    <cellStyle name="20% - Accent2 3 2 2 2 6" xfId="406"/>
    <cellStyle name="20% - Accent2 3 2 2 3" xfId="407"/>
    <cellStyle name="20% - Accent2 3 2 2 3 2" xfId="408"/>
    <cellStyle name="20% - Accent2 3 2 2 3 2 2" xfId="409"/>
    <cellStyle name="20% - Accent2 3 2 2 3 2 2 2" xfId="410"/>
    <cellStyle name="20% - Accent2 3 2 2 3 2 3" xfId="411"/>
    <cellStyle name="20% - Accent2 3 2 2 3 2 3 2" xfId="412"/>
    <cellStyle name="20% - Accent2 3 2 2 3 2 4" xfId="413"/>
    <cellStyle name="20% - Accent2 3 2 2 3 3" xfId="414"/>
    <cellStyle name="20% - Accent2 3 2 2 3 3 2" xfId="415"/>
    <cellStyle name="20% - Accent2 3 2 2 3 4" xfId="416"/>
    <cellStyle name="20% - Accent2 3 2 2 3 4 2" xfId="417"/>
    <cellStyle name="20% - Accent2 3 2 2 3 5" xfId="418"/>
    <cellStyle name="20% - Accent2 3 2 2 4" xfId="419"/>
    <cellStyle name="20% - Accent2 3 2 2 4 2" xfId="420"/>
    <cellStyle name="20% - Accent2 3 2 2 4 2 2" xfId="421"/>
    <cellStyle name="20% - Accent2 3 2 2 4 3" xfId="422"/>
    <cellStyle name="20% - Accent2 3 2 2 4 3 2" xfId="423"/>
    <cellStyle name="20% - Accent2 3 2 2 4 4" xfId="424"/>
    <cellStyle name="20% - Accent2 3 2 2 5" xfId="425"/>
    <cellStyle name="20% - Accent2 3 2 2 5 2" xfId="426"/>
    <cellStyle name="20% - Accent2 3 2 2 6" xfId="427"/>
    <cellStyle name="20% - Accent2 3 2 2 6 2" xfId="428"/>
    <cellStyle name="20% - Accent2 3 2 2 7" xfId="429"/>
    <cellStyle name="20% - Accent2 3 2 3" xfId="430"/>
    <cellStyle name="20% - Accent2 3 3" xfId="431"/>
    <cellStyle name="20% - Accent2 4" xfId="432"/>
    <cellStyle name="20% - Accent2 4 2" xfId="433"/>
    <cellStyle name="20% - Accent2 4 2 2" xfId="434"/>
    <cellStyle name="20% - Accent2 4 2 2 2" xfId="435"/>
    <cellStyle name="20% - Accent2 4 2 2 2 2" xfId="436"/>
    <cellStyle name="20% - Accent2 4 2 2 2 2 2" xfId="437"/>
    <cellStyle name="20% - Accent2 4 2 2 2 3" xfId="438"/>
    <cellStyle name="20% - Accent2 4 2 2 2 3 2" xfId="439"/>
    <cellStyle name="20% - Accent2 4 2 2 2 4" xfId="440"/>
    <cellStyle name="20% - Accent2 4 2 2 3" xfId="441"/>
    <cellStyle name="20% - Accent2 4 2 2 3 2" xfId="442"/>
    <cellStyle name="20% - Accent2 4 2 2 4" xfId="443"/>
    <cellStyle name="20% - Accent2 4 2 2 4 2" xfId="444"/>
    <cellStyle name="20% - Accent2 4 2 2 5" xfId="445"/>
    <cellStyle name="20% - Accent2 4 2 3" xfId="446"/>
    <cellStyle name="20% - Accent2 4 2 3 2" xfId="447"/>
    <cellStyle name="20% - Accent2 4 2 3 2 2" xfId="448"/>
    <cellStyle name="20% - Accent2 4 2 3 3" xfId="449"/>
    <cellStyle name="20% - Accent2 4 2 3 3 2" xfId="450"/>
    <cellStyle name="20% - Accent2 4 2 3 4" xfId="451"/>
    <cellStyle name="20% - Accent2 4 2 4" xfId="452"/>
    <cellStyle name="20% - Accent2 4 2 4 2" xfId="453"/>
    <cellStyle name="20% - Accent2 4 2 5" xfId="454"/>
    <cellStyle name="20% - Accent2 4 2 5 2" xfId="455"/>
    <cellStyle name="20% - Accent2 4 2 6" xfId="456"/>
    <cellStyle name="20% - Accent2 4 3" xfId="457"/>
    <cellStyle name="20% - Accent2 4 3 2" xfId="458"/>
    <cellStyle name="20% - Accent2 4 3 2 2" xfId="459"/>
    <cellStyle name="20% - Accent2 4 3 2 2 2" xfId="460"/>
    <cellStyle name="20% - Accent2 4 3 2 3" xfId="461"/>
    <cellStyle name="20% - Accent2 4 3 2 3 2" xfId="462"/>
    <cellStyle name="20% - Accent2 4 3 2 4" xfId="463"/>
    <cellStyle name="20% - Accent2 4 3 3" xfId="464"/>
    <cellStyle name="20% - Accent2 4 3 3 2" xfId="465"/>
    <cellStyle name="20% - Accent2 4 3 4" xfId="466"/>
    <cellStyle name="20% - Accent2 4 3 4 2" xfId="467"/>
    <cellStyle name="20% - Accent2 4 3 5" xfId="468"/>
    <cellStyle name="20% - Accent2 4 4" xfId="469"/>
    <cellStyle name="20% - Accent2 4 4 2" xfId="470"/>
    <cellStyle name="20% - Accent2 4 4 2 2" xfId="471"/>
    <cellStyle name="20% - Accent2 4 4 3" xfId="472"/>
    <cellStyle name="20% - Accent2 4 4 3 2" xfId="473"/>
    <cellStyle name="20% - Accent2 4 4 4" xfId="474"/>
    <cellStyle name="20% - Accent2 4 5" xfId="475"/>
    <cellStyle name="20% - Accent2 4 5 2" xfId="476"/>
    <cellStyle name="20% - Accent2 4 6" xfId="477"/>
    <cellStyle name="20% - Accent2 4 6 2" xfId="478"/>
    <cellStyle name="20% - Accent2 4 7" xfId="479"/>
    <cellStyle name="20% - Accent2 5" xfId="480"/>
    <cellStyle name="20% - Accent2 5 2" xfId="481"/>
    <cellStyle name="20% - Accent2 5 2 2" xfId="482"/>
    <cellStyle name="20% - Accent2 5 2 2 2" xfId="483"/>
    <cellStyle name="20% - Accent2 5 2 2 2 2" xfId="484"/>
    <cellStyle name="20% - Accent2 5 2 2 3" xfId="485"/>
    <cellStyle name="20% - Accent2 5 2 2 3 2" xfId="486"/>
    <cellStyle name="20% - Accent2 5 2 2 4" xfId="487"/>
    <cellStyle name="20% - Accent2 5 2 3" xfId="488"/>
    <cellStyle name="20% - Accent2 5 2 3 2" xfId="489"/>
    <cellStyle name="20% - Accent2 5 2 4" xfId="490"/>
    <cellStyle name="20% - Accent2 5 2 4 2" xfId="491"/>
    <cellStyle name="20% - Accent2 5 2 5" xfId="492"/>
    <cellStyle name="20% - Accent2 5 3" xfId="493"/>
    <cellStyle name="20% - Accent2 5 3 2" xfId="494"/>
    <cellStyle name="20% - Accent2 5 3 2 2" xfId="495"/>
    <cellStyle name="20% - Accent2 5 3 2 2 2" xfId="496"/>
    <cellStyle name="20% - Accent2 5 3 2 3" xfId="497"/>
    <cellStyle name="20% - Accent2 5 3 2 3 2" xfId="498"/>
    <cellStyle name="20% - Accent2 5 3 2 4" xfId="499"/>
    <cellStyle name="20% - Accent2 5 3 3" xfId="500"/>
    <cellStyle name="20% - Accent2 5 3 3 2" xfId="501"/>
    <cellStyle name="20% - Accent2 5 3 3 2 2" xfId="502"/>
    <cellStyle name="20% - Accent2 5 3 3 3" xfId="503"/>
    <cellStyle name="20% - Accent2 5 3 3 3 2" xfId="504"/>
    <cellStyle name="20% - Accent2 5 3 3 4" xfId="505"/>
    <cellStyle name="20% - Accent2 5 3 4" xfId="506"/>
    <cellStyle name="20% - Accent2 5 3 4 2" xfId="507"/>
    <cellStyle name="20% - Accent2 5 3 5" xfId="508"/>
    <cellStyle name="20% - Accent2 5 3 5 2" xfId="509"/>
    <cellStyle name="20% - Accent2 5 3 6" xfId="510"/>
    <cellStyle name="20% - Accent2 5 4" xfId="511"/>
    <cellStyle name="20% - Accent2 5 4 2" xfId="512"/>
    <cellStyle name="20% - Accent2 5 4 2 2" xfId="513"/>
    <cellStyle name="20% - Accent2 5 4 3" xfId="514"/>
    <cellStyle name="20% - Accent2 5 4 3 2" xfId="515"/>
    <cellStyle name="20% - Accent2 5 4 4" xfId="516"/>
    <cellStyle name="20% - Accent2 5 5" xfId="517"/>
    <cellStyle name="20% - Accent2 5 5 2" xfId="518"/>
    <cellStyle name="20% - Accent2 5 6" xfId="519"/>
    <cellStyle name="20% - Accent2 5 6 2" xfId="520"/>
    <cellStyle name="20% - Accent2 5 7" xfId="521"/>
    <cellStyle name="20% - Accent2 6" xfId="522"/>
    <cellStyle name="20% - Accent2 6 2" xfId="523"/>
    <cellStyle name="20% - Accent2 6 2 2" xfId="524"/>
    <cellStyle name="20% - Accent2 6 2 2 2" xfId="525"/>
    <cellStyle name="20% - Accent2 6 2 3" xfId="526"/>
    <cellStyle name="20% - Accent2 6 2 3 2" xfId="527"/>
    <cellStyle name="20% - Accent2 6 2 4" xfId="528"/>
    <cellStyle name="20% - Accent2 6 3" xfId="529"/>
    <cellStyle name="20% - Accent2 6 3 2" xfId="530"/>
    <cellStyle name="20% - Accent2 6 4" xfId="531"/>
    <cellStyle name="20% - Accent2 6 4 2" xfId="532"/>
    <cellStyle name="20% - Accent2 6 5" xfId="533"/>
    <cellStyle name="20% - Accent3 2" xfId="534"/>
    <cellStyle name="20% - Accent3 2 2" xfId="535"/>
    <cellStyle name="20% - Accent3 2 2 2" xfId="536"/>
    <cellStyle name="20% - Accent3 2 2 2 2" xfId="537"/>
    <cellStyle name="20% - Accent3 2 2 2 2 2" xfId="538"/>
    <cellStyle name="20% - Accent3 2 2 2 2 2 2" xfId="539"/>
    <cellStyle name="20% - Accent3 2 2 2 2 2 3" xfId="540"/>
    <cellStyle name="20% - Accent3 2 2 2 2 2 4" xfId="541"/>
    <cellStyle name="20% - Accent3 2 2 2 2 3" xfId="542"/>
    <cellStyle name="20% - Accent3 2 2 2 2 3 2" xfId="543"/>
    <cellStyle name="20% - Accent3 2 2 2 2 3 3" xfId="544"/>
    <cellStyle name="20% - Accent3 2 2 2 2 4" xfId="545"/>
    <cellStyle name="20% - Accent3 2 2 2 2 5" xfId="546"/>
    <cellStyle name="20% - Accent3 2 2 2 2 6" xfId="547"/>
    <cellStyle name="20% - Accent3 2 2 2 3" xfId="548"/>
    <cellStyle name="20% - Accent3 2 2 2 3 2" xfId="549"/>
    <cellStyle name="20% - Accent3 2 2 2 3 3" xfId="550"/>
    <cellStyle name="20% - Accent3 2 2 2 3 4" xfId="551"/>
    <cellStyle name="20% - Accent3 2 2 2 4" xfId="552"/>
    <cellStyle name="20% - Accent3 2 2 2 4 2" xfId="553"/>
    <cellStyle name="20% - Accent3 2 2 2 4 3" xfId="554"/>
    <cellStyle name="20% - Accent3 2 2 2 4 4" xfId="555"/>
    <cellStyle name="20% - Accent3 2 2 2 5" xfId="556"/>
    <cellStyle name="20% - Accent3 2 2 2 5 2" xfId="557"/>
    <cellStyle name="20% - Accent3 2 2 2 5 3" xfId="558"/>
    <cellStyle name="20% - Accent3 2 2 2 6" xfId="559"/>
    <cellStyle name="20% - Accent3 2 2 2 7" xfId="560"/>
    <cellStyle name="20% - Accent3 2 2 2 8" xfId="561"/>
    <cellStyle name="20% - Accent3 2 2 3" xfId="562"/>
    <cellStyle name="20% - Accent3 2 2 3 2" xfId="563"/>
    <cellStyle name="20% - Accent3 2 2 3 2 2" xfId="564"/>
    <cellStyle name="20% - Accent3 2 2 3 2 3" xfId="565"/>
    <cellStyle name="20% - Accent3 2 2 3 2 4" xfId="566"/>
    <cellStyle name="20% - Accent3 2 2 3 3" xfId="567"/>
    <cellStyle name="20% - Accent3 2 2 3 3 2" xfId="568"/>
    <cellStyle name="20% - Accent3 2 2 3 3 3" xfId="569"/>
    <cellStyle name="20% - Accent3 2 2 3 4" xfId="570"/>
    <cellStyle name="20% - Accent3 2 2 3 5" xfId="571"/>
    <cellStyle name="20% - Accent3 2 2 3 6" xfId="572"/>
    <cellStyle name="20% - Accent3 2 2 4" xfId="573"/>
    <cellStyle name="20% - Accent3 2 2 4 2" xfId="574"/>
    <cellStyle name="20% - Accent3 2 2 4 3" xfId="575"/>
    <cellStyle name="20% - Accent3 2 2 4 4" xfId="576"/>
    <cellStyle name="20% - Accent3 2 2 5" xfId="577"/>
    <cellStyle name="20% - Accent3 2 2 5 2" xfId="578"/>
    <cellStyle name="20% - Accent3 2 2 5 3" xfId="579"/>
    <cellStyle name="20% - Accent3 2 2 6" xfId="580"/>
    <cellStyle name="20% - Accent3 2 2 7" xfId="581"/>
    <cellStyle name="20% - Accent3 2 2 8" xfId="582"/>
    <cellStyle name="20% - Accent3 2 2 9" xfId="583"/>
    <cellStyle name="20% - Accent3 2 3" xfId="584"/>
    <cellStyle name="20% - Accent3 2 3 2" xfId="585"/>
    <cellStyle name="20% - Accent3 2 3 2 2" xfId="586"/>
    <cellStyle name="20% - Accent3 2 3 2 2 2" xfId="587"/>
    <cellStyle name="20% - Accent3 2 3 2 2 3" xfId="588"/>
    <cellStyle name="20% - Accent3 2 3 2 2 4" xfId="589"/>
    <cellStyle name="20% - Accent3 2 3 2 3" xfId="590"/>
    <cellStyle name="20% - Accent3 2 3 2 3 2" xfId="591"/>
    <cellStyle name="20% - Accent3 2 3 2 3 3" xfId="592"/>
    <cellStyle name="20% - Accent3 2 3 2 4" xfId="593"/>
    <cellStyle name="20% - Accent3 2 3 2 5" xfId="594"/>
    <cellStyle name="20% - Accent3 2 3 2 6" xfId="595"/>
    <cellStyle name="20% - Accent3 2 3 3" xfId="596"/>
    <cellStyle name="20% - Accent3 2 3 3 2" xfId="597"/>
    <cellStyle name="20% - Accent3 2 3 3 2 2" xfId="598"/>
    <cellStyle name="20% - Accent3 2 3 3 2 3" xfId="599"/>
    <cellStyle name="20% - Accent3 2 3 3 2 4" xfId="600"/>
    <cellStyle name="20% - Accent3 2 3 3 3" xfId="601"/>
    <cellStyle name="20% - Accent3 2 3 3 3 2" xfId="602"/>
    <cellStyle name="20% - Accent3 2 3 3 3 3" xfId="603"/>
    <cellStyle name="20% - Accent3 2 3 3 4" xfId="604"/>
    <cellStyle name="20% - Accent3 2 3 3 5" xfId="605"/>
    <cellStyle name="20% - Accent3 2 3 3 6" xfId="606"/>
    <cellStyle name="20% - Accent3 2 3 4" xfId="607"/>
    <cellStyle name="20% - Accent3 2 3 4 2" xfId="608"/>
    <cellStyle name="20% - Accent3 2 3 4 3" xfId="609"/>
    <cellStyle name="20% - Accent3 2 3 4 4" xfId="610"/>
    <cellStyle name="20% - Accent3 2 3 5" xfId="611"/>
    <cellStyle name="20% - Accent3 2 3 5 2" xfId="612"/>
    <cellStyle name="20% - Accent3 2 3 5 3" xfId="613"/>
    <cellStyle name="20% - Accent3 2 3 6" xfId="614"/>
    <cellStyle name="20% - Accent3 2 3 7" xfId="615"/>
    <cellStyle name="20% - Accent3 2 3 8" xfId="616"/>
    <cellStyle name="20% - Accent3 2 4" xfId="617"/>
    <cellStyle name="20% - Accent3 2 4 2" xfId="618"/>
    <cellStyle name="20% - Accent3 2 4 2 2" xfId="619"/>
    <cellStyle name="20% - Accent3 2 4 2 3" xfId="620"/>
    <cellStyle name="20% - Accent3 2 4 2 4" xfId="621"/>
    <cellStyle name="20% - Accent3 2 4 3" xfId="622"/>
    <cellStyle name="20% - Accent3 2 4 3 2" xfId="623"/>
    <cellStyle name="20% - Accent3 2 4 3 3" xfId="624"/>
    <cellStyle name="20% - Accent3 2 4 4" xfId="625"/>
    <cellStyle name="20% - Accent3 2 4 5" xfId="626"/>
    <cellStyle name="20% - Accent3 2 4 6" xfId="627"/>
    <cellStyle name="20% - Accent3 2 5" xfId="628"/>
    <cellStyle name="20% - Accent3 2 5 2" xfId="629"/>
    <cellStyle name="20% - Accent3 2 5 3" xfId="630"/>
    <cellStyle name="20% - Accent3 2 6" xfId="631"/>
    <cellStyle name="20% - Accent3 2 7" xfId="632"/>
    <cellStyle name="20% - Accent3 2 8" xfId="633"/>
    <cellStyle name="20% - Accent3 2 9" xfId="634"/>
    <cellStyle name="20% - Accent3 3" xfId="635"/>
    <cellStyle name="20% - Accent3 3 2" xfId="636"/>
    <cellStyle name="20% - Accent3 3 2 2" xfId="637"/>
    <cellStyle name="20% - Accent3 3 2 2 2" xfId="638"/>
    <cellStyle name="20% - Accent3 3 2 2 2 2" xfId="639"/>
    <cellStyle name="20% - Accent3 3 2 2 2 2 2" xfId="640"/>
    <cellStyle name="20% - Accent3 3 2 2 2 2 2 2" xfId="641"/>
    <cellStyle name="20% - Accent3 3 2 2 2 2 2 2 2" xfId="642"/>
    <cellStyle name="20% - Accent3 3 2 2 2 2 2 3" xfId="643"/>
    <cellStyle name="20% - Accent3 3 2 2 2 2 2 3 2" xfId="644"/>
    <cellStyle name="20% - Accent3 3 2 2 2 2 2 4" xfId="645"/>
    <cellStyle name="20% - Accent3 3 2 2 2 2 3" xfId="646"/>
    <cellStyle name="20% - Accent3 3 2 2 2 2 3 2" xfId="647"/>
    <cellStyle name="20% - Accent3 3 2 2 2 2 4" xfId="648"/>
    <cellStyle name="20% - Accent3 3 2 2 2 2 4 2" xfId="649"/>
    <cellStyle name="20% - Accent3 3 2 2 2 2 5" xfId="650"/>
    <cellStyle name="20% - Accent3 3 2 2 2 3" xfId="651"/>
    <cellStyle name="20% - Accent3 3 2 2 2 3 2" xfId="652"/>
    <cellStyle name="20% - Accent3 3 2 2 2 3 2 2" xfId="653"/>
    <cellStyle name="20% - Accent3 3 2 2 2 3 3" xfId="654"/>
    <cellStyle name="20% - Accent3 3 2 2 2 3 3 2" xfId="655"/>
    <cellStyle name="20% - Accent3 3 2 2 2 3 4" xfId="656"/>
    <cellStyle name="20% - Accent3 3 2 2 2 4" xfId="657"/>
    <cellStyle name="20% - Accent3 3 2 2 2 4 2" xfId="658"/>
    <cellStyle name="20% - Accent3 3 2 2 2 5" xfId="659"/>
    <cellStyle name="20% - Accent3 3 2 2 2 5 2" xfId="660"/>
    <cellStyle name="20% - Accent3 3 2 2 2 6" xfId="661"/>
    <cellStyle name="20% - Accent3 3 2 2 3" xfId="662"/>
    <cellStyle name="20% - Accent3 3 2 2 3 2" xfId="663"/>
    <cellStyle name="20% - Accent3 3 2 2 3 2 2" xfId="664"/>
    <cellStyle name="20% - Accent3 3 2 2 3 2 2 2" xfId="665"/>
    <cellStyle name="20% - Accent3 3 2 2 3 2 3" xfId="666"/>
    <cellStyle name="20% - Accent3 3 2 2 3 2 3 2" xfId="667"/>
    <cellStyle name="20% - Accent3 3 2 2 3 2 4" xfId="668"/>
    <cellStyle name="20% - Accent3 3 2 2 3 3" xfId="669"/>
    <cellStyle name="20% - Accent3 3 2 2 3 3 2" xfId="670"/>
    <cellStyle name="20% - Accent3 3 2 2 3 4" xfId="671"/>
    <cellStyle name="20% - Accent3 3 2 2 3 4 2" xfId="672"/>
    <cellStyle name="20% - Accent3 3 2 2 3 5" xfId="673"/>
    <cellStyle name="20% - Accent3 3 2 2 4" xfId="674"/>
    <cellStyle name="20% - Accent3 3 2 2 4 2" xfId="675"/>
    <cellStyle name="20% - Accent3 3 2 2 4 2 2" xfId="676"/>
    <cellStyle name="20% - Accent3 3 2 2 4 3" xfId="677"/>
    <cellStyle name="20% - Accent3 3 2 2 4 3 2" xfId="678"/>
    <cellStyle name="20% - Accent3 3 2 2 4 4" xfId="679"/>
    <cellStyle name="20% - Accent3 3 2 2 5" xfId="680"/>
    <cellStyle name="20% - Accent3 3 2 2 5 2" xfId="681"/>
    <cellStyle name="20% - Accent3 3 2 2 6" xfId="682"/>
    <cellStyle name="20% - Accent3 3 2 2 6 2" xfId="683"/>
    <cellStyle name="20% - Accent3 3 2 2 7" xfId="684"/>
    <cellStyle name="20% - Accent3 3 2 3" xfId="685"/>
    <cellStyle name="20% - Accent3 3 3" xfId="686"/>
    <cellStyle name="20% - Accent3 4" xfId="687"/>
    <cellStyle name="20% - Accent3 4 2" xfId="688"/>
    <cellStyle name="20% - Accent3 4 2 2" xfId="689"/>
    <cellStyle name="20% - Accent3 4 2 2 2" xfId="690"/>
    <cellStyle name="20% - Accent3 4 2 2 2 2" xfId="691"/>
    <cellStyle name="20% - Accent3 4 2 2 2 2 2" xfId="692"/>
    <cellStyle name="20% - Accent3 4 2 2 2 3" xfId="693"/>
    <cellStyle name="20% - Accent3 4 2 2 2 3 2" xfId="694"/>
    <cellStyle name="20% - Accent3 4 2 2 2 4" xfId="695"/>
    <cellStyle name="20% - Accent3 4 2 2 3" xfId="696"/>
    <cellStyle name="20% - Accent3 4 2 2 3 2" xfId="697"/>
    <cellStyle name="20% - Accent3 4 2 2 4" xfId="698"/>
    <cellStyle name="20% - Accent3 4 2 2 4 2" xfId="699"/>
    <cellStyle name="20% - Accent3 4 2 2 5" xfId="700"/>
    <cellStyle name="20% - Accent3 4 2 3" xfId="701"/>
    <cellStyle name="20% - Accent3 4 2 3 2" xfId="702"/>
    <cellStyle name="20% - Accent3 4 2 3 2 2" xfId="703"/>
    <cellStyle name="20% - Accent3 4 2 3 3" xfId="704"/>
    <cellStyle name="20% - Accent3 4 2 3 3 2" xfId="705"/>
    <cellStyle name="20% - Accent3 4 2 3 4" xfId="706"/>
    <cellStyle name="20% - Accent3 4 2 4" xfId="707"/>
    <cellStyle name="20% - Accent3 4 2 4 2" xfId="708"/>
    <cellStyle name="20% - Accent3 4 2 5" xfId="709"/>
    <cellStyle name="20% - Accent3 4 2 5 2" xfId="710"/>
    <cellStyle name="20% - Accent3 4 2 6" xfId="711"/>
    <cellStyle name="20% - Accent3 4 3" xfId="712"/>
    <cellStyle name="20% - Accent3 4 3 2" xfId="713"/>
    <cellStyle name="20% - Accent3 4 3 2 2" xfId="714"/>
    <cellStyle name="20% - Accent3 4 3 2 2 2" xfId="715"/>
    <cellStyle name="20% - Accent3 4 3 2 3" xfId="716"/>
    <cellStyle name="20% - Accent3 4 3 2 3 2" xfId="717"/>
    <cellStyle name="20% - Accent3 4 3 2 4" xfId="718"/>
    <cellStyle name="20% - Accent3 4 3 3" xfId="719"/>
    <cellStyle name="20% - Accent3 4 3 3 2" xfId="720"/>
    <cellStyle name="20% - Accent3 4 3 4" xfId="721"/>
    <cellStyle name="20% - Accent3 4 3 4 2" xfId="722"/>
    <cellStyle name="20% - Accent3 4 3 5" xfId="723"/>
    <cellStyle name="20% - Accent3 4 4" xfId="724"/>
    <cellStyle name="20% - Accent3 4 4 2" xfId="725"/>
    <cellStyle name="20% - Accent3 4 4 2 2" xfId="726"/>
    <cellStyle name="20% - Accent3 4 4 3" xfId="727"/>
    <cellStyle name="20% - Accent3 4 4 3 2" xfId="728"/>
    <cellStyle name="20% - Accent3 4 4 4" xfId="729"/>
    <cellStyle name="20% - Accent3 4 5" xfId="730"/>
    <cellStyle name="20% - Accent3 4 5 2" xfId="731"/>
    <cellStyle name="20% - Accent3 4 6" xfId="732"/>
    <cellStyle name="20% - Accent3 4 6 2" xfId="733"/>
    <cellStyle name="20% - Accent3 4 7" xfId="734"/>
    <cellStyle name="20% - Accent3 5" xfId="735"/>
    <cellStyle name="20% - Accent3 5 2" xfId="736"/>
    <cellStyle name="20% - Accent3 5 2 2" xfId="737"/>
    <cellStyle name="20% - Accent3 5 2 2 2" xfId="738"/>
    <cellStyle name="20% - Accent3 5 2 2 2 2" xfId="739"/>
    <cellStyle name="20% - Accent3 5 2 2 3" xfId="740"/>
    <cellStyle name="20% - Accent3 5 2 2 3 2" xfId="741"/>
    <cellStyle name="20% - Accent3 5 2 2 4" xfId="742"/>
    <cellStyle name="20% - Accent3 5 2 3" xfId="743"/>
    <cellStyle name="20% - Accent3 5 2 3 2" xfId="744"/>
    <cellStyle name="20% - Accent3 5 2 4" xfId="745"/>
    <cellStyle name="20% - Accent3 5 2 4 2" xfId="746"/>
    <cellStyle name="20% - Accent3 5 2 5" xfId="747"/>
    <cellStyle name="20% - Accent3 5 3" xfId="748"/>
    <cellStyle name="20% - Accent3 5 3 2" xfId="749"/>
    <cellStyle name="20% - Accent3 5 3 2 2" xfId="750"/>
    <cellStyle name="20% - Accent3 5 3 2 2 2" xfId="751"/>
    <cellStyle name="20% - Accent3 5 3 2 3" xfId="752"/>
    <cellStyle name="20% - Accent3 5 3 2 3 2" xfId="753"/>
    <cellStyle name="20% - Accent3 5 3 2 4" xfId="754"/>
    <cellStyle name="20% - Accent3 5 3 3" xfId="755"/>
    <cellStyle name="20% - Accent3 5 3 3 2" xfId="756"/>
    <cellStyle name="20% - Accent3 5 3 3 2 2" xfId="757"/>
    <cellStyle name="20% - Accent3 5 3 3 3" xfId="758"/>
    <cellStyle name="20% - Accent3 5 3 3 3 2" xfId="759"/>
    <cellStyle name="20% - Accent3 5 3 3 4" xfId="760"/>
    <cellStyle name="20% - Accent3 5 3 4" xfId="761"/>
    <cellStyle name="20% - Accent3 5 3 4 2" xfId="762"/>
    <cellStyle name="20% - Accent3 5 3 5" xfId="763"/>
    <cellStyle name="20% - Accent3 5 3 5 2" xfId="764"/>
    <cellStyle name="20% - Accent3 5 3 6" xfId="765"/>
    <cellStyle name="20% - Accent3 5 4" xfId="766"/>
    <cellStyle name="20% - Accent3 5 4 2" xfId="767"/>
    <cellStyle name="20% - Accent3 5 4 2 2" xfId="768"/>
    <cellStyle name="20% - Accent3 5 4 3" xfId="769"/>
    <cellStyle name="20% - Accent3 5 4 3 2" xfId="770"/>
    <cellStyle name="20% - Accent3 5 4 4" xfId="771"/>
    <cellStyle name="20% - Accent3 5 5" xfId="772"/>
    <cellStyle name="20% - Accent3 5 5 2" xfId="773"/>
    <cellStyle name="20% - Accent3 5 6" xfId="774"/>
    <cellStyle name="20% - Accent3 5 6 2" xfId="775"/>
    <cellStyle name="20% - Accent3 5 7" xfId="776"/>
    <cellStyle name="20% - Accent3 6" xfId="777"/>
    <cellStyle name="20% - Accent3 6 2" xfId="778"/>
    <cellStyle name="20% - Accent3 6 2 2" xfId="779"/>
    <cellStyle name="20% - Accent3 6 2 2 2" xfId="780"/>
    <cellStyle name="20% - Accent3 6 2 3" xfId="781"/>
    <cellStyle name="20% - Accent3 6 2 3 2" xfId="782"/>
    <cellStyle name="20% - Accent3 6 2 4" xfId="783"/>
    <cellStyle name="20% - Accent3 6 3" xfId="784"/>
    <cellStyle name="20% - Accent3 6 3 2" xfId="785"/>
    <cellStyle name="20% - Accent3 6 4" xfId="786"/>
    <cellStyle name="20% - Accent3 6 4 2" xfId="787"/>
    <cellStyle name="20% - Accent3 6 5" xfId="788"/>
    <cellStyle name="20% - Accent4 2" xfId="789"/>
    <cellStyle name="20% - Accent4 2 10" xfId="790"/>
    <cellStyle name="20% - Accent4 2 11" xfId="791"/>
    <cellStyle name="20% - Accent4 2 2" xfId="792"/>
    <cellStyle name="20% - Accent4 2 2 10" xfId="793"/>
    <cellStyle name="20% - Accent4 2 2 2" xfId="794"/>
    <cellStyle name="20% - Accent4 2 2 2 2" xfId="795"/>
    <cellStyle name="20% - Accent4 2 2 2 2 2" xfId="796"/>
    <cellStyle name="20% - Accent4 2 2 2 2 2 2" xfId="797"/>
    <cellStyle name="20% - Accent4 2 2 2 2 2 3" xfId="798"/>
    <cellStyle name="20% - Accent4 2 2 2 2 2 4" xfId="799"/>
    <cellStyle name="20% - Accent4 2 2 2 2 3" xfId="800"/>
    <cellStyle name="20% - Accent4 2 2 2 2 3 2" xfId="801"/>
    <cellStyle name="20% - Accent4 2 2 2 2 3 3" xfId="802"/>
    <cellStyle name="20% - Accent4 2 2 2 2 4" xfId="803"/>
    <cellStyle name="20% - Accent4 2 2 2 2 5" xfId="804"/>
    <cellStyle name="20% - Accent4 2 2 2 2 6" xfId="805"/>
    <cellStyle name="20% - Accent4 2 2 2 3" xfId="806"/>
    <cellStyle name="20% - Accent4 2 2 2 3 2" xfId="807"/>
    <cellStyle name="20% - Accent4 2 2 2 3 3" xfId="808"/>
    <cellStyle name="20% - Accent4 2 2 2 3 4" xfId="809"/>
    <cellStyle name="20% - Accent4 2 2 2 4" xfId="810"/>
    <cellStyle name="20% - Accent4 2 2 2 4 2" xfId="811"/>
    <cellStyle name="20% - Accent4 2 2 2 4 3" xfId="812"/>
    <cellStyle name="20% - Accent4 2 2 2 4 4" xfId="813"/>
    <cellStyle name="20% - Accent4 2 2 2 5" xfId="814"/>
    <cellStyle name="20% - Accent4 2 2 2 5 2" xfId="815"/>
    <cellStyle name="20% - Accent4 2 2 2 5 3" xfId="816"/>
    <cellStyle name="20% - Accent4 2 2 2 6" xfId="817"/>
    <cellStyle name="20% - Accent4 2 2 2 7" xfId="818"/>
    <cellStyle name="20% - Accent4 2 2 2 8" xfId="819"/>
    <cellStyle name="20% - Accent4 2 2 3" xfId="820"/>
    <cellStyle name="20% - Accent4 2 2 3 2" xfId="821"/>
    <cellStyle name="20% - Accent4 2 2 3 2 2" xfId="822"/>
    <cellStyle name="20% - Accent4 2 2 3 2 3" xfId="823"/>
    <cellStyle name="20% - Accent4 2 2 3 2 4" xfId="824"/>
    <cellStyle name="20% - Accent4 2 2 3 3" xfId="825"/>
    <cellStyle name="20% - Accent4 2 2 3 3 2" xfId="826"/>
    <cellStyle name="20% - Accent4 2 2 3 3 3" xfId="827"/>
    <cellStyle name="20% - Accent4 2 2 3 4" xfId="828"/>
    <cellStyle name="20% - Accent4 2 2 3 5" xfId="829"/>
    <cellStyle name="20% - Accent4 2 2 3 6" xfId="830"/>
    <cellStyle name="20% - Accent4 2 2 4" xfId="831"/>
    <cellStyle name="20% - Accent4 2 2 4 2" xfId="832"/>
    <cellStyle name="20% - Accent4 2 2 4 3" xfId="833"/>
    <cellStyle name="20% - Accent4 2 2 4 4" xfId="834"/>
    <cellStyle name="20% - Accent4 2 2 5" xfId="835"/>
    <cellStyle name="20% - Accent4 2 2 5 2" xfId="836"/>
    <cellStyle name="20% - Accent4 2 2 5 3" xfId="837"/>
    <cellStyle name="20% - Accent4 2 2 5 4" xfId="838"/>
    <cellStyle name="20% - Accent4 2 2 6" xfId="839"/>
    <cellStyle name="20% - Accent4 2 2 6 2" xfId="840"/>
    <cellStyle name="20% - Accent4 2 2 6 3" xfId="841"/>
    <cellStyle name="20% - Accent4 2 2 7" xfId="842"/>
    <cellStyle name="20% - Accent4 2 2 8" xfId="843"/>
    <cellStyle name="20% - Accent4 2 2 9" xfId="844"/>
    <cellStyle name="20% - Accent4 2 3" xfId="845"/>
    <cellStyle name="20% - Accent4 2 3 2" xfId="846"/>
    <cellStyle name="20% - Accent4 2 3 2 2" xfId="847"/>
    <cellStyle name="20% - Accent4 2 3 2 2 2" xfId="848"/>
    <cellStyle name="20% - Accent4 2 3 2 2 3" xfId="849"/>
    <cellStyle name="20% - Accent4 2 3 2 2 4" xfId="850"/>
    <cellStyle name="20% - Accent4 2 3 2 3" xfId="851"/>
    <cellStyle name="20% - Accent4 2 3 2 3 2" xfId="852"/>
    <cellStyle name="20% - Accent4 2 3 2 3 3" xfId="853"/>
    <cellStyle name="20% - Accent4 2 3 2 4" xfId="854"/>
    <cellStyle name="20% - Accent4 2 3 2 5" xfId="855"/>
    <cellStyle name="20% - Accent4 2 3 2 6" xfId="856"/>
    <cellStyle name="20% - Accent4 2 3 3" xfId="857"/>
    <cellStyle name="20% - Accent4 2 3 3 2" xfId="858"/>
    <cellStyle name="20% - Accent4 2 3 3 2 2" xfId="859"/>
    <cellStyle name="20% - Accent4 2 3 3 2 3" xfId="860"/>
    <cellStyle name="20% - Accent4 2 3 3 2 4" xfId="861"/>
    <cellStyle name="20% - Accent4 2 3 3 3" xfId="862"/>
    <cellStyle name="20% - Accent4 2 3 3 3 2" xfId="863"/>
    <cellStyle name="20% - Accent4 2 3 3 3 3" xfId="864"/>
    <cellStyle name="20% - Accent4 2 3 3 4" xfId="865"/>
    <cellStyle name="20% - Accent4 2 3 3 5" xfId="866"/>
    <cellStyle name="20% - Accent4 2 3 3 6" xfId="867"/>
    <cellStyle name="20% - Accent4 2 3 4" xfId="868"/>
    <cellStyle name="20% - Accent4 2 3 4 2" xfId="869"/>
    <cellStyle name="20% - Accent4 2 3 4 3" xfId="870"/>
    <cellStyle name="20% - Accent4 2 3 4 4" xfId="871"/>
    <cellStyle name="20% - Accent4 2 3 5" xfId="872"/>
    <cellStyle name="20% - Accent4 2 3 5 2" xfId="873"/>
    <cellStyle name="20% - Accent4 2 3 5 3" xfId="874"/>
    <cellStyle name="20% - Accent4 2 3 6" xfId="875"/>
    <cellStyle name="20% - Accent4 2 3 7" xfId="876"/>
    <cellStyle name="20% - Accent4 2 3 8" xfId="877"/>
    <cellStyle name="20% - Accent4 2 4" xfId="878"/>
    <cellStyle name="20% - Accent4 2 4 2" xfId="879"/>
    <cellStyle name="20% - Accent4 2 4 2 2" xfId="880"/>
    <cellStyle name="20% - Accent4 2 4 2 3" xfId="881"/>
    <cellStyle name="20% - Accent4 2 4 2 4" xfId="882"/>
    <cellStyle name="20% - Accent4 2 4 3" xfId="883"/>
    <cellStyle name="20% - Accent4 2 4 3 2" xfId="884"/>
    <cellStyle name="20% - Accent4 2 4 3 3" xfId="885"/>
    <cellStyle name="20% - Accent4 2 4 4" xfId="886"/>
    <cellStyle name="20% - Accent4 2 4 5" xfId="887"/>
    <cellStyle name="20% - Accent4 2 4 6" xfId="888"/>
    <cellStyle name="20% - Accent4 2 5" xfId="889"/>
    <cellStyle name="20% - Accent4 2 5 2" xfId="890"/>
    <cellStyle name="20% - Accent4 2 5 2 2" xfId="891"/>
    <cellStyle name="20% - Accent4 2 5 2 3" xfId="892"/>
    <cellStyle name="20% - Accent4 2 5 2 4" xfId="893"/>
    <cellStyle name="20% - Accent4 2 5 3" xfId="894"/>
    <cellStyle name="20% - Accent4 2 5 3 2" xfId="895"/>
    <cellStyle name="20% - Accent4 2 5 3 3" xfId="896"/>
    <cellStyle name="20% - Accent4 2 5 4" xfId="897"/>
    <cellStyle name="20% - Accent4 2 5 5" xfId="898"/>
    <cellStyle name="20% - Accent4 2 5 6" xfId="899"/>
    <cellStyle name="20% - Accent4 2 6" xfId="900"/>
    <cellStyle name="20% - Accent4 2 6 2" xfId="901"/>
    <cellStyle name="20% - Accent4 2 6 3" xfId="902"/>
    <cellStyle name="20% - Accent4 2 6 4" xfId="903"/>
    <cellStyle name="20% - Accent4 2 7" xfId="904"/>
    <cellStyle name="20% - Accent4 2 7 2" xfId="905"/>
    <cellStyle name="20% - Accent4 2 7 3" xfId="906"/>
    <cellStyle name="20% - Accent4 2 8" xfId="907"/>
    <cellStyle name="20% - Accent4 2 9" xfId="908"/>
    <cellStyle name="20% - Accent4 3" xfId="909"/>
    <cellStyle name="20% - Accent4 3 2" xfId="910"/>
    <cellStyle name="20% - Accent4 3 2 2" xfId="911"/>
    <cellStyle name="20% - Accent4 3 2 2 2" xfId="912"/>
    <cellStyle name="20% - Accent4 3 2 2 2 2" xfId="913"/>
    <cellStyle name="20% - Accent4 3 2 2 2 2 2" xfId="914"/>
    <cellStyle name="20% - Accent4 3 2 2 2 2 2 2" xfId="915"/>
    <cellStyle name="20% - Accent4 3 2 2 2 2 2 2 2" xfId="916"/>
    <cellStyle name="20% - Accent4 3 2 2 2 2 2 3" xfId="917"/>
    <cellStyle name="20% - Accent4 3 2 2 2 2 2 3 2" xfId="918"/>
    <cellStyle name="20% - Accent4 3 2 2 2 2 2 4" xfId="919"/>
    <cellStyle name="20% - Accent4 3 2 2 2 2 3" xfId="920"/>
    <cellStyle name="20% - Accent4 3 2 2 2 2 3 2" xfId="921"/>
    <cellStyle name="20% - Accent4 3 2 2 2 2 4" xfId="922"/>
    <cellStyle name="20% - Accent4 3 2 2 2 2 4 2" xfId="923"/>
    <cellStyle name="20% - Accent4 3 2 2 2 2 5" xfId="924"/>
    <cellStyle name="20% - Accent4 3 2 2 2 3" xfId="925"/>
    <cellStyle name="20% - Accent4 3 2 2 2 3 2" xfId="926"/>
    <cellStyle name="20% - Accent4 3 2 2 2 3 2 2" xfId="927"/>
    <cellStyle name="20% - Accent4 3 2 2 2 3 3" xfId="928"/>
    <cellStyle name="20% - Accent4 3 2 2 2 3 3 2" xfId="929"/>
    <cellStyle name="20% - Accent4 3 2 2 2 3 4" xfId="930"/>
    <cellStyle name="20% - Accent4 3 2 2 2 4" xfId="931"/>
    <cellStyle name="20% - Accent4 3 2 2 2 4 2" xfId="932"/>
    <cellStyle name="20% - Accent4 3 2 2 2 5" xfId="933"/>
    <cellStyle name="20% - Accent4 3 2 2 2 5 2" xfId="934"/>
    <cellStyle name="20% - Accent4 3 2 2 2 6" xfId="935"/>
    <cellStyle name="20% - Accent4 3 2 2 3" xfId="936"/>
    <cellStyle name="20% - Accent4 3 2 2 3 2" xfId="937"/>
    <cellStyle name="20% - Accent4 3 2 2 3 2 2" xfId="938"/>
    <cellStyle name="20% - Accent4 3 2 2 3 2 2 2" xfId="939"/>
    <cellStyle name="20% - Accent4 3 2 2 3 2 3" xfId="940"/>
    <cellStyle name="20% - Accent4 3 2 2 3 2 3 2" xfId="941"/>
    <cellStyle name="20% - Accent4 3 2 2 3 2 4" xfId="942"/>
    <cellStyle name="20% - Accent4 3 2 2 3 3" xfId="943"/>
    <cellStyle name="20% - Accent4 3 2 2 3 3 2" xfId="944"/>
    <cellStyle name="20% - Accent4 3 2 2 3 4" xfId="945"/>
    <cellStyle name="20% - Accent4 3 2 2 3 4 2" xfId="946"/>
    <cellStyle name="20% - Accent4 3 2 2 3 5" xfId="947"/>
    <cellStyle name="20% - Accent4 3 2 2 4" xfId="948"/>
    <cellStyle name="20% - Accent4 3 2 2 4 2" xfId="949"/>
    <cellStyle name="20% - Accent4 3 2 2 4 2 2" xfId="950"/>
    <cellStyle name="20% - Accent4 3 2 2 4 3" xfId="951"/>
    <cellStyle name="20% - Accent4 3 2 2 4 3 2" xfId="952"/>
    <cellStyle name="20% - Accent4 3 2 2 4 4" xfId="953"/>
    <cellStyle name="20% - Accent4 3 2 2 5" xfId="954"/>
    <cellStyle name="20% - Accent4 3 2 2 5 2" xfId="955"/>
    <cellStyle name="20% - Accent4 3 2 2 6" xfId="956"/>
    <cellStyle name="20% - Accent4 3 2 2 6 2" xfId="957"/>
    <cellStyle name="20% - Accent4 3 2 2 7" xfId="958"/>
    <cellStyle name="20% - Accent4 3 2 3" xfId="959"/>
    <cellStyle name="20% - Accent4 3 3" xfId="960"/>
    <cellStyle name="20% - Accent4 4" xfId="961"/>
    <cellStyle name="20% - Accent4 4 2" xfId="962"/>
    <cellStyle name="20% - Accent4 4 2 2" xfId="963"/>
    <cellStyle name="20% - Accent4 4 2 2 2" xfId="964"/>
    <cellStyle name="20% - Accent4 4 2 2 2 2" xfId="965"/>
    <cellStyle name="20% - Accent4 4 2 2 2 2 2" xfId="966"/>
    <cellStyle name="20% - Accent4 4 2 2 2 3" xfId="967"/>
    <cellStyle name="20% - Accent4 4 2 2 2 3 2" xfId="968"/>
    <cellStyle name="20% - Accent4 4 2 2 2 4" xfId="969"/>
    <cellStyle name="20% - Accent4 4 2 2 3" xfId="970"/>
    <cellStyle name="20% - Accent4 4 2 2 3 2" xfId="971"/>
    <cellStyle name="20% - Accent4 4 2 2 4" xfId="972"/>
    <cellStyle name="20% - Accent4 4 2 2 4 2" xfId="973"/>
    <cellStyle name="20% - Accent4 4 2 2 5" xfId="974"/>
    <cellStyle name="20% - Accent4 4 2 3" xfId="975"/>
    <cellStyle name="20% - Accent4 4 2 3 2" xfId="976"/>
    <cellStyle name="20% - Accent4 4 2 3 2 2" xfId="977"/>
    <cellStyle name="20% - Accent4 4 2 3 3" xfId="978"/>
    <cellStyle name="20% - Accent4 4 2 3 3 2" xfId="979"/>
    <cellStyle name="20% - Accent4 4 2 3 4" xfId="980"/>
    <cellStyle name="20% - Accent4 4 2 4" xfId="981"/>
    <cellStyle name="20% - Accent4 4 2 4 2" xfId="982"/>
    <cellStyle name="20% - Accent4 4 2 5" xfId="983"/>
    <cellStyle name="20% - Accent4 4 2 5 2" xfId="984"/>
    <cellStyle name="20% - Accent4 4 2 6" xfId="985"/>
    <cellStyle name="20% - Accent4 4 3" xfId="986"/>
    <cellStyle name="20% - Accent4 4 3 2" xfId="987"/>
    <cellStyle name="20% - Accent4 4 3 2 2" xfId="988"/>
    <cellStyle name="20% - Accent4 4 3 2 2 2" xfId="989"/>
    <cellStyle name="20% - Accent4 4 3 2 3" xfId="990"/>
    <cellStyle name="20% - Accent4 4 3 2 3 2" xfId="991"/>
    <cellStyle name="20% - Accent4 4 3 2 4" xfId="992"/>
    <cellStyle name="20% - Accent4 4 3 3" xfId="993"/>
    <cellStyle name="20% - Accent4 4 3 3 2" xfId="994"/>
    <cellStyle name="20% - Accent4 4 3 4" xfId="995"/>
    <cellStyle name="20% - Accent4 4 3 4 2" xfId="996"/>
    <cellStyle name="20% - Accent4 4 3 5" xfId="997"/>
    <cellStyle name="20% - Accent4 4 4" xfId="998"/>
    <cellStyle name="20% - Accent4 4 4 2" xfId="999"/>
    <cellStyle name="20% - Accent4 4 4 2 2" xfId="1000"/>
    <cellStyle name="20% - Accent4 4 4 3" xfId="1001"/>
    <cellStyle name="20% - Accent4 4 4 3 2" xfId="1002"/>
    <cellStyle name="20% - Accent4 4 4 4" xfId="1003"/>
    <cellStyle name="20% - Accent4 4 5" xfId="1004"/>
    <cellStyle name="20% - Accent4 4 5 2" xfId="1005"/>
    <cellStyle name="20% - Accent4 4 6" xfId="1006"/>
    <cellStyle name="20% - Accent4 4 6 2" xfId="1007"/>
    <cellStyle name="20% - Accent4 4 7" xfId="1008"/>
    <cellStyle name="20% - Accent4 5" xfId="1009"/>
    <cellStyle name="20% - Accent4 5 2" xfId="1010"/>
    <cellStyle name="20% - Accent4 5 2 2" xfId="1011"/>
    <cellStyle name="20% - Accent4 5 2 2 2" xfId="1012"/>
    <cellStyle name="20% - Accent4 5 2 2 2 2" xfId="1013"/>
    <cellStyle name="20% - Accent4 5 2 2 3" xfId="1014"/>
    <cellStyle name="20% - Accent4 5 2 2 3 2" xfId="1015"/>
    <cellStyle name="20% - Accent4 5 2 2 4" xfId="1016"/>
    <cellStyle name="20% - Accent4 5 2 3" xfId="1017"/>
    <cellStyle name="20% - Accent4 5 2 3 2" xfId="1018"/>
    <cellStyle name="20% - Accent4 5 2 4" xfId="1019"/>
    <cellStyle name="20% - Accent4 5 2 4 2" xfId="1020"/>
    <cellStyle name="20% - Accent4 5 2 5" xfId="1021"/>
    <cellStyle name="20% - Accent4 5 3" xfId="1022"/>
    <cellStyle name="20% - Accent4 5 3 2" xfId="1023"/>
    <cellStyle name="20% - Accent4 5 3 2 2" xfId="1024"/>
    <cellStyle name="20% - Accent4 5 3 2 2 2" xfId="1025"/>
    <cellStyle name="20% - Accent4 5 3 2 3" xfId="1026"/>
    <cellStyle name="20% - Accent4 5 3 2 3 2" xfId="1027"/>
    <cellStyle name="20% - Accent4 5 3 2 4" xfId="1028"/>
    <cellStyle name="20% - Accent4 5 3 3" xfId="1029"/>
    <cellStyle name="20% - Accent4 5 3 3 2" xfId="1030"/>
    <cellStyle name="20% - Accent4 5 3 3 2 2" xfId="1031"/>
    <cellStyle name="20% - Accent4 5 3 3 3" xfId="1032"/>
    <cellStyle name="20% - Accent4 5 3 3 3 2" xfId="1033"/>
    <cellStyle name="20% - Accent4 5 3 3 4" xfId="1034"/>
    <cellStyle name="20% - Accent4 5 3 4" xfId="1035"/>
    <cellStyle name="20% - Accent4 5 3 4 2" xfId="1036"/>
    <cellStyle name="20% - Accent4 5 3 5" xfId="1037"/>
    <cellStyle name="20% - Accent4 5 3 5 2" xfId="1038"/>
    <cellStyle name="20% - Accent4 5 3 6" xfId="1039"/>
    <cellStyle name="20% - Accent4 5 4" xfId="1040"/>
    <cellStyle name="20% - Accent4 5 4 2" xfId="1041"/>
    <cellStyle name="20% - Accent4 5 4 2 2" xfId="1042"/>
    <cellStyle name="20% - Accent4 5 4 3" xfId="1043"/>
    <cellStyle name="20% - Accent4 5 4 3 2" xfId="1044"/>
    <cellStyle name="20% - Accent4 5 4 4" xfId="1045"/>
    <cellStyle name="20% - Accent4 5 5" xfId="1046"/>
    <cellStyle name="20% - Accent4 5 5 2" xfId="1047"/>
    <cellStyle name="20% - Accent4 5 6" xfId="1048"/>
    <cellStyle name="20% - Accent4 5 6 2" xfId="1049"/>
    <cellStyle name="20% - Accent4 5 7" xfId="1050"/>
    <cellStyle name="20% - Accent4 6" xfId="1051"/>
    <cellStyle name="20% - Accent4 6 2" xfId="1052"/>
    <cellStyle name="20% - Accent4 6 2 2" xfId="1053"/>
    <cellStyle name="20% - Accent4 6 2 2 2" xfId="1054"/>
    <cellStyle name="20% - Accent4 6 2 3" xfId="1055"/>
    <cellStyle name="20% - Accent4 6 2 3 2" xfId="1056"/>
    <cellStyle name="20% - Accent4 6 2 4" xfId="1057"/>
    <cellStyle name="20% - Accent4 6 3" xfId="1058"/>
    <cellStyle name="20% - Accent4 6 3 2" xfId="1059"/>
    <cellStyle name="20% - Accent4 6 4" xfId="1060"/>
    <cellStyle name="20% - Accent4 6 4 2" xfId="1061"/>
    <cellStyle name="20% - Accent4 6 5" xfId="1062"/>
    <cellStyle name="20% - Accent5 2" xfId="1063"/>
    <cellStyle name="20% - Accent5 2 10" xfId="1064"/>
    <cellStyle name="20% - Accent5 2 11" xfId="1065"/>
    <cellStyle name="20% - Accent5 2 2" xfId="1066"/>
    <cellStyle name="20% - Accent5 2 2 2" xfId="1067"/>
    <cellStyle name="20% - Accent5 2 2 2 2" xfId="1068"/>
    <cellStyle name="20% - Accent5 2 2 2 2 2" xfId="1069"/>
    <cellStyle name="20% - Accent5 2 2 2 2 2 2" xfId="1070"/>
    <cellStyle name="20% - Accent5 2 2 2 2 2 3" xfId="1071"/>
    <cellStyle name="20% - Accent5 2 2 2 2 2 4" xfId="1072"/>
    <cellStyle name="20% - Accent5 2 2 2 2 3" xfId="1073"/>
    <cellStyle name="20% - Accent5 2 2 2 2 3 2" xfId="1074"/>
    <cellStyle name="20% - Accent5 2 2 2 2 3 3" xfId="1075"/>
    <cellStyle name="20% - Accent5 2 2 2 2 4" xfId="1076"/>
    <cellStyle name="20% - Accent5 2 2 2 2 5" xfId="1077"/>
    <cellStyle name="20% - Accent5 2 2 2 2 6" xfId="1078"/>
    <cellStyle name="20% - Accent5 2 2 2 3" xfId="1079"/>
    <cellStyle name="20% - Accent5 2 2 2 3 2" xfId="1080"/>
    <cellStyle name="20% - Accent5 2 2 2 3 3" xfId="1081"/>
    <cellStyle name="20% - Accent5 2 2 2 3 4" xfId="1082"/>
    <cellStyle name="20% - Accent5 2 2 2 4" xfId="1083"/>
    <cellStyle name="20% - Accent5 2 2 2 4 2" xfId="1084"/>
    <cellStyle name="20% - Accent5 2 2 2 4 3" xfId="1085"/>
    <cellStyle name="20% - Accent5 2 2 2 4 4" xfId="1086"/>
    <cellStyle name="20% - Accent5 2 2 2 5" xfId="1087"/>
    <cellStyle name="20% - Accent5 2 2 2 5 2" xfId="1088"/>
    <cellStyle name="20% - Accent5 2 2 2 5 3" xfId="1089"/>
    <cellStyle name="20% - Accent5 2 2 2 6" xfId="1090"/>
    <cellStyle name="20% - Accent5 2 2 2 7" xfId="1091"/>
    <cellStyle name="20% - Accent5 2 2 2 8" xfId="1092"/>
    <cellStyle name="20% - Accent5 2 2 3" xfId="1093"/>
    <cellStyle name="20% - Accent5 2 2 3 2" xfId="1094"/>
    <cellStyle name="20% - Accent5 2 2 3 2 2" xfId="1095"/>
    <cellStyle name="20% - Accent5 2 2 3 2 3" xfId="1096"/>
    <cellStyle name="20% - Accent5 2 2 3 2 4" xfId="1097"/>
    <cellStyle name="20% - Accent5 2 2 3 3" xfId="1098"/>
    <cellStyle name="20% - Accent5 2 2 3 3 2" xfId="1099"/>
    <cellStyle name="20% - Accent5 2 2 3 3 3" xfId="1100"/>
    <cellStyle name="20% - Accent5 2 2 3 4" xfId="1101"/>
    <cellStyle name="20% - Accent5 2 2 3 5" xfId="1102"/>
    <cellStyle name="20% - Accent5 2 2 3 6" xfId="1103"/>
    <cellStyle name="20% - Accent5 2 2 4" xfId="1104"/>
    <cellStyle name="20% - Accent5 2 2 4 2" xfId="1105"/>
    <cellStyle name="20% - Accent5 2 2 4 3" xfId="1106"/>
    <cellStyle name="20% - Accent5 2 2 4 4" xfId="1107"/>
    <cellStyle name="20% - Accent5 2 2 5" xfId="1108"/>
    <cellStyle name="20% - Accent5 2 2 5 2" xfId="1109"/>
    <cellStyle name="20% - Accent5 2 2 5 3" xfId="1110"/>
    <cellStyle name="20% - Accent5 2 2 5 4" xfId="1111"/>
    <cellStyle name="20% - Accent5 2 2 6" xfId="1112"/>
    <cellStyle name="20% - Accent5 2 2 6 2" xfId="1113"/>
    <cellStyle name="20% - Accent5 2 2 6 3" xfId="1114"/>
    <cellStyle name="20% - Accent5 2 2 7" xfId="1115"/>
    <cellStyle name="20% - Accent5 2 2 8" xfId="1116"/>
    <cellStyle name="20% - Accent5 2 2 9" xfId="1117"/>
    <cellStyle name="20% - Accent5 2 3" xfId="1118"/>
    <cellStyle name="20% - Accent5 2 3 2" xfId="1119"/>
    <cellStyle name="20% - Accent5 2 3 2 2" xfId="1120"/>
    <cellStyle name="20% - Accent5 2 3 2 2 2" xfId="1121"/>
    <cellStyle name="20% - Accent5 2 3 2 2 3" xfId="1122"/>
    <cellStyle name="20% - Accent5 2 3 2 2 4" xfId="1123"/>
    <cellStyle name="20% - Accent5 2 3 2 3" xfId="1124"/>
    <cellStyle name="20% - Accent5 2 3 2 3 2" xfId="1125"/>
    <cellStyle name="20% - Accent5 2 3 2 3 3" xfId="1126"/>
    <cellStyle name="20% - Accent5 2 3 2 4" xfId="1127"/>
    <cellStyle name="20% - Accent5 2 3 2 5" xfId="1128"/>
    <cellStyle name="20% - Accent5 2 3 2 6" xfId="1129"/>
    <cellStyle name="20% - Accent5 2 3 3" xfId="1130"/>
    <cellStyle name="20% - Accent5 2 3 3 2" xfId="1131"/>
    <cellStyle name="20% - Accent5 2 3 3 2 2" xfId="1132"/>
    <cellStyle name="20% - Accent5 2 3 3 2 3" xfId="1133"/>
    <cellStyle name="20% - Accent5 2 3 3 2 4" xfId="1134"/>
    <cellStyle name="20% - Accent5 2 3 3 3" xfId="1135"/>
    <cellStyle name="20% - Accent5 2 3 3 3 2" xfId="1136"/>
    <cellStyle name="20% - Accent5 2 3 3 3 3" xfId="1137"/>
    <cellStyle name="20% - Accent5 2 3 3 4" xfId="1138"/>
    <cellStyle name="20% - Accent5 2 3 3 5" xfId="1139"/>
    <cellStyle name="20% - Accent5 2 3 3 6" xfId="1140"/>
    <cellStyle name="20% - Accent5 2 3 4" xfId="1141"/>
    <cellStyle name="20% - Accent5 2 3 4 2" xfId="1142"/>
    <cellStyle name="20% - Accent5 2 3 4 3" xfId="1143"/>
    <cellStyle name="20% - Accent5 2 3 4 4" xfId="1144"/>
    <cellStyle name="20% - Accent5 2 3 5" xfId="1145"/>
    <cellStyle name="20% - Accent5 2 3 5 2" xfId="1146"/>
    <cellStyle name="20% - Accent5 2 3 5 3" xfId="1147"/>
    <cellStyle name="20% - Accent5 2 3 6" xfId="1148"/>
    <cellStyle name="20% - Accent5 2 3 7" xfId="1149"/>
    <cellStyle name="20% - Accent5 2 3 8" xfId="1150"/>
    <cellStyle name="20% - Accent5 2 4" xfId="1151"/>
    <cellStyle name="20% - Accent5 2 4 2" xfId="1152"/>
    <cellStyle name="20% - Accent5 2 4 2 2" xfId="1153"/>
    <cellStyle name="20% - Accent5 2 4 2 3" xfId="1154"/>
    <cellStyle name="20% - Accent5 2 4 2 4" xfId="1155"/>
    <cellStyle name="20% - Accent5 2 4 3" xfId="1156"/>
    <cellStyle name="20% - Accent5 2 4 3 2" xfId="1157"/>
    <cellStyle name="20% - Accent5 2 4 3 3" xfId="1158"/>
    <cellStyle name="20% - Accent5 2 4 4" xfId="1159"/>
    <cellStyle name="20% - Accent5 2 4 5" xfId="1160"/>
    <cellStyle name="20% - Accent5 2 4 6" xfId="1161"/>
    <cellStyle name="20% - Accent5 2 5" xfId="1162"/>
    <cellStyle name="20% - Accent5 2 5 2" xfId="1163"/>
    <cellStyle name="20% - Accent5 2 5 2 2" xfId="1164"/>
    <cellStyle name="20% - Accent5 2 5 2 3" xfId="1165"/>
    <cellStyle name="20% - Accent5 2 5 2 4" xfId="1166"/>
    <cellStyle name="20% - Accent5 2 5 3" xfId="1167"/>
    <cellStyle name="20% - Accent5 2 5 3 2" xfId="1168"/>
    <cellStyle name="20% - Accent5 2 5 3 3" xfId="1169"/>
    <cellStyle name="20% - Accent5 2 5 4" xfId="1170"/>
    <cellStyle name="20% - Accent5 2 5 5" xfId="1171"/>
    <cellStyle name="20% - Accent5 2 5 6" xfId="1172"/>
    <cellStyle name="20% - Accent5 2 6" xfId="1173"/>
    <cellStyle name="20% - Accent5 2 6 2" xfId="1174"/>
    <cellStyle name="20% - Accent5 2 6 3" xfId="1175"/>
    <cellStyle name="20% - Accent5 2 6 4" xfId="1176"/>
    <cellStyle name="20% - Accent5 2 7" xfId="1177"/>
    <cellStyle name="20% - Accent5 2 7 2" xfId="1178"/>
    <cellStyle name="20% - Accent5 2 7 3" xfId="1179"/>
    <cellStyle name="20% - Accent5 2 8" xfId="1180"/>
    <cellStyle name="20% - Accent5 2 9" xfId="1181"/>
    <cellStyle name="20% - Accent5 3" xfId="1182"/>
    <cellStyle name="20% - Accent5 3 2" xfId="1183"/>
    <cellStyle name="20% - Accent5 3 2 2" xfId="1184"/>
    <cellStyle name="20% - Accent5 3 2 2 2" xfId="1185"/>
    <cellStyle name="20% - Accent5 3 2 2 2 2" xfId="1186"/>
    <cellStyle name="20% - Accent5 3 2 2 2 2 2" xfId="1187"/>
    <cellStyle name="20% - Accent5 3 2 2 2 2 2 2" xfId="1188"/>
    <cellStyle name="20% - Accent5 3 2 2 2 2 2 2 2" xfId="1189"/>
    <cellStyle name="20% - Accent5 3 2 2 2 2 2 3" xfId="1190"/>
    <cellStyle name="20% - Accent5 3 2 2 2 2 2 3 2" xfId="1191"/>
    <cellStyle name="20% - Accent5 3 2 2 2 2 2 4" xfId="1192"/>
    <cellStyle name="20% - Accent5 3 2 2 2 2 3" xfId="1193"/>
    <cellStyle name="20% - Accent5 3 2 2 2 2 3 2" xfId="1194"/>
    <cellStyle name="20% - Accent5 3 2 2 2 2 4" xfId="1195"/>
    <cellStyle name="20% - Accent5 3 2 2 2 2 4 2" xfId="1196"/>
    <cellStyle name="20% - Accent5 3 2 2 2 2 5" xfId="1197"/>
    <cellStyle name="20% - Accent5 3 2 2 2 3" xfId="1198"/>
    <cellStyle name="20% - Accent5 3 2 2 2 3 2" xfId="1199"/>
    <cellStyle name="20% - Accent5 3 2 2 2 3 2 2" xfId="1200"/>
    <cellStyle name="20% - Accent5 3 2 2 2 3 3" xfId="1201"/>
    <cellStyle name="20% - Accent5 3 2 2 2 3 3 2" xfId="1202"/>
    <cellStyle name="20% - Accent5 3 2 2 2 3 4" xfId="1203"/>
    <cellStyle name="20% - Accent5 3 2 2 2 4" xfId="1204"/>
    <cellStyle name="20% - Accent5 3 2 2 2 4 2" xfId="1205"/>
    <cellStyle name="20% - Accent5 3 2 2 2 5" xfId="1206"/>
    <cellStyle name="20% - Accent5 3 2 2 2 5 2" xfId="1207"/>
    <cellStyle name="20% - Accent5 3 2 2 2 6" xfId="1208"/>
    <cellStyle name="20% - Accent5 3 2 2 3" xfId="1209"/>
    <cellStyle name="20% - Accent5 3 2 2 3 2" xfId="1210"/>
    <cellStyle name="20% - Accent5 3 2 2 3 2 2" xfId="1211"/>
    <cellStyle name="20% - Accent5 3 2 2 3 2 2 2" xfId="1212"/>
    <cellStyle name="20% - Accent5 3 2 2 3 2 3" xfId="1213"/>
    <cellStyle name="20% - Accent5 3 2 2 3 2 3 2" xfId="1214"/>
    <cellStyle name="20% - Accent5 3 2 2 3 2 4" xfId="1215"/>
    <cellStyle name="20% - Accent5 3 2 2 3 3" xfId="1216"/>
    <cellStyle name="20% - Accent5 3 2 2 3 3 2" xfId="1217"/>
    <cellStyle name="20% - Accent5 3 2 2 3 4" xfId="1218"/>
    <cellStyle name="20% - Accent5 3 2 2 3 4 2" xfId="1219"/>
    <cellStyle name="20% - Accent5 3 2 2 3 5" xfId="1220"/>
    <cellStyle name="20% - Accent5 3 2 2 4" xfId="1221"/>
    <cellStyle name="20% - Accent5 3 2 2 4 2" xfId="1222"/>
    <cellStyle name="20% - Accent5 3 2 2 4 2 2" xfId="1223"/>
    <cellStyle name="20% - Accent5 3 2 2 4 3" xfId="1224"/>
    <cellStyle name="20% - Accent5 3 2 2 4 3 2" xfId="1225"/>
    <cellStyle name="20% - Accent5 3 2 2 4 4" xfId="1226"/>
    <cellStyle name="20% - Accent5 3 2 2 5" xfId="1227"/>
    <cellStyle name="20% - Accent5 3 2 2 5 2" xfId="1228"/>
    <cellStyle name="20% - Accent5 3 2 2 6" xfId="1229"/>
    <cellStyle name="20% - Accent5 3 2 2 6 2" xfId="1230"/>
    <cellStyle name="20% - Accent5 3 2 2 7" xfId="1231"/>
    <cellStyle name="20% - Accent5 3 2 3" xfId="1232"/>
    <cellStyle name="20% - Accent5 3 3" xfId="1233"/>
    <cellStyle name="20% - Accent5 4" xfId="1234"/>
    <cellStyle name="20% - Accent5 4 2" xfId="1235"/>
    <cellStyle name="20% - Accent5 4 2 2" xfId="1236"/>
    <cellStyle name="20% - Accent5 4 2 2 2" xfId="1237"/>
    <cellStyle name="20% - Accent5 4 2 2 2 2" xfId="1238"/>
    <cellStyle name="20% - Accent5 4 2 2 2 2 2" xfId="1239"/>
    <cellStyle name="20% - Accent5 4 2 2 2 3" xfId="1240"/>
    <cellStyle name="20% - Accent5 4 2 2 2 3 2" xfId="1241"/>
    <cellStyle name="20% - Accent5 4 2 2 2 4" xfId="1242"/>
    <cellStyle name="20% - Accent5 4 2 2 3" xfId="1243"/>
    <cellStyle name="20% - Accent5 4 2 2 3 2" xfId="1244"/>
    <cellStyle name="20% - Accent5 4 2 2 4" xfId="1245"/>
    <cellStyle name="20% - Accent5 4 2 2 4 2" xfId="1246"/>
    <cellStyle name="20% - Accent5 4 2 2 5" xfId="1247"/>
    <cellStyle name="20% - Accent5 4 2 3" xfId="1248"/>
    <cellStyle name="20% - Accent5 4 2 3 2" xfId="1249"/>
    <cellStyle name="20% - Accent5 4 2 3 2 2" xfId="1250"/>
    <cellStyle name="20% - Accent5 4 2 3 3" xfId="1251"/>
    <cellStyle name="20% - Accent5 4 2 3 3 2" xfId="1252"/>
    <cellStyle name="20% - Accent5 4 2 3 4" xfId="1253"/>
    <cellStyle name="20% - Accent5 4 2 4" xfId="1254"/>
    <cellStyle name="20% - Accent5 4 2 4 2" xfId="1255"/>
    <cellStyle name="20% - Accent5 4 2 5" xfId="1256"/>
    <cellStyle name="20% - Accent5 4 2 5 2" xfId="1257"/>
    <cellStyle name="20% - Accent5 4 2 6" xfId="1258"/>
    <cellStyle name="20% - Accent5 4 3" xfId="1259"/>
    <cellStyle name="20% - Accent5 4 3 2" xfId="1260"/>
    <cellStyle name="20% - Accent5 4 3 2 2" xfId="1261"/>
    <cellStyle name="20% - Accent5 4 3 2 2 2" xfId="1262"/>
    <cellStyle name="20% - Accent5 4 3 2 3" xfId="1263"/>
    <cellStyle name="20% - Accent5 4 3 2 3 2" xfId="1264"/>
    <cellStyle name="20% - Accent5 4 3 2 4" xfId="1265"/>
    <cellStyle name="20% - Accent5 4 3 3" xfId="1266"/>
    <cellStyle name="20% - Accent5 4 3 3 2" xfId="1267"/>
    <cellStyle name="20% - Accent5 4 3 4" xfId="1268"/>
    <cellStyle name="20% - Accent5 4 3 4 2" xfId="1269"/>
    <cellStyle name="20% - Accent5 4 3 5" xfId="1270"/>
    <cellStyle name="20% - Accent5 4 4" xfId="1271"/>
    <cellStyle name="20% - Accent5 4 4 2" xfId="1272"/>
    <cellStyle name="20% - Accent5 4 4 2 2" xfId="1273"/>
    <cellStyle name="20% - Accent5 4 4 3" xfId="1274"/>
    <cellStyle name="20% - Accent5 4 4 3 2" xfId="1275"/>
    <cellStyle name="20% - Accent5 4 4 4" xfId="1276"/>
    <cellStyle name="20% - Accent5 4 5" xfId="1277"/>
    <cellStyle name="20% - Accent5 4 5 2" xfId="1278"/>
    <cellStyle name="20% - Accent5 4 6" xfId="1279"/>
    <cellStyle name="20% - Accent5 4 6 2" xfId="1280"/>
    <cellStyle name="20% - Accent5 4 7" xfId="1281"/>
    <cellStyle name="20% - Accent5 5" xfId="1282"/>
    <cellStyle name="20% - Accent5 5 2" xfId="1283"/>
    <cellStyle name="20% - Accent5 5 2 2" xfId="1284"/>
    <cellStyle name="20% - Accent5 5 2 2 2" xfId="1285"/>
    <cellStyle name="20% - Accent5 5 2 2 2 2" xfId="1286"/>
    <cellStyle name="20% - Accent5 5 2 2 3" xfId="1287"/>
    <cellStyle name="20% - Accent5 5 2 2 3 2" xfId="1288"/>
    <cellStyle name="20% - Accent5 5 2 2 4" xfId="1289"/>
    <cellStyle name="20% - Accent5 5 2 3" xfId="1290"/>
    <cellStyle name="20% - Accent5 5 2 3 2" xfId="1291"/>
    <cellStyle name="20% - Accent5 5 2 4" xfId="1292"/>
    <cellStyle name="20% - Accent5 5 2 4 2" xfId="1293"/>
    <cellStyle name="20% - Accent5 5 2 5" xfId="1294"/>
    <cellStyle name="20% - Accent5 5 3" xfId="1295"/>
    <cellStyle name="20% - Accent5 5 3 2" xfId="1296"/>
    <cellStyle name="20% - Accent5 5 3 2 2" xfId="1297"/>
    <cellStyle name="20% - Accent5 5 3 2 2 2" xfId="1298"/>
    <cellStyle name="20% - Accent5 5 3 2 3" xfId="1299"/>
    <cellStyle name="20% - Accent5 5 3 2 3 2" xfId="1300"/>
    <cellStyle name="20% - Accent5 5 3 2 4" xfId="1301"/>
    <cellStyle name="20% - Accent5 5 3 3" xfId="1302"/>
    <cellStyle name="20% - Accent5 5 3 3 2" xfId="1303"/>
    <cellStyle name="20% - Accent5 5 3 3 2 2" xfId="1304"/>
    <cellStyle name="20% - Accent5 5 3 3 3" xfId="1305"/>
    <cellStyle name="20% - Accent5 5 3 3 3 2" xfId="1306"/>
    <cellStyle name="20% - Accent5 5 3 3 4" xfId="1307"/>
    <cellStyle name="20% - Accent5 5 3 4" xfId="1308"/>
    <cellStyle name="20% - Accent5 5 3 4 2" xfId="1309"/>
    <cellStyle name="20% - Accent5 5 3 5" xfId="1310"/>
    <cellStyle name="20% - Accent5 5 3 5 2" xfId="1311"/>
    <cellStyle name="20% - Accent5 5 3 6" xfId="1312"/>
    <cellStyle name="20% - Accent5 5 4" xfId="1313"/>
    <cellStyle name="20% - Accent5 5 4 2" xfId="1314"/>
    <cellStyle name="20% - Accent5 5 4 2 2" xfId="1315"/>
    <cellStyle name="20% - Accent5 5 4 3" xfId="1316"/>
    <cellStyle name="20% - Accent5 5 4 3 2" xfId="1317"/>
    <cellStyle name="20% - Accent5 5 4 4" xfId="1318"/>
    <cellStyle name="20% - Accent5 5 5" xfId="1319"/>
    <cellStyle name="20% - Accent5 5 5 2" xfId="1320"/>
    <cellStyle name="20% - Accent5 5 6" xfId="1321"/>
    <cellStyle name="20% - Accent5 5 6 2" xfId="1322"/>
    <cellStyle name="20% - Accent5 5 7" xfId="1323"/>
    <cellStyle name="20% - Accent5 6" xfId="1324"/>
    <cellStyle name="20% - Accent5 6 2" xfId="1325"/>
    <cellStyle name="20% - Accent5 6 2 2" xfId="1326"/>
    <cellStyle name="20% - Accent5 6 2 2 2" xfId="1327"/>
    <cellStyle name="20% - Accent5 6 2 3" xfId="1328"/>
    <cellStyle name="20% - Accent5 6 2 3 2" xfId="1329"/>
    <cellStyle name="20% - Accent5 6 2 4" xfId="1330"/>
    <cellStyle name="20% - Accent5 6 3" xfId="1331"/>
    <cellStyle name="20% - Accent5 6 3 2" xfId="1332"/>
    <cellStyle name="20% - Accent5 6 4" xfId="1333"/>
    <cellStyle name="20% - Accent5 6 4 2" xfId="1334"/>
    <cellStyle name="20% - Accent5 6 5" xfId="1335"/>
    <cellStyle name="20% - Accent6 2" xfId="1336"/>
    <cellStyle name="20% - Accent6 2 10" xfId="1337"/>
    <cellStyle name="20% - Accent6 2 11" xfId="1338"/>
    <cellStyle name="20% - Accent6 2 2" xfId="1339"/>
    <cellStyle name="20% - Accent6 2 2 10" xfId="1340"/>
    <cellStyle name="20% - Accent6 2 2 2" xfId="1341"/>
    <cellStyle name="20% - Accent6 2 2 2 2" xfId="1342"/>
    <cellStyle name="20% - Accent6 2 2 2 2 2" xfId="1343"/>
    <cellStyle name="20% - Accent6 2 2 2 2 2 2" xfId="1344"/>
    <cellStyle name="20% - Accent6 2 2 2 2 2 3" xfId="1345"/>
    <cellStyle name="20% - Accent6 2 2 2 2 2 4" xfId="1346"/>
    <cellStyle name="20% - Accent6 2 2 2 2 3" xfId="1347"/>
    <cellStyle name="20% - Accent6 2 2 2 2 3 2" xfId="1348"/>
    <cellStyle name="20% - Accent6 2 2 2 2 3 3" xfId="1349"/>
    <cellStyle name="20% - Accent6 2 2 2 2 4" xfId="1350"/>
    <cellStyle name="20% - Accent6 2 2 2 2 5" xfId="1351"/>
    <cellStyle name="20% - Accent6 2 2 2 2 6" xfId="1352"/>
    <cellStyle name="20% - Accent6 2 2 2 3" xfId="1353"/>
    <cellStyle name="20% - Accent6 2 2 2 3 2" xfId="1354"/>
    <cellStyle name="20% - Accent6 2 2 2 3 3" xfId="1355"/>
    <cellStyle name="20% - Accent6 2 2 2 3 4" xfId="1356"/>
    <cellStyle name="20% - Accent6 2 2 2 4" xfId="1357"/>
    <cellStyle name="20% - Accent6 2 2 2 4 2" xfId="1358"/>
    <cellStyle name="20% - Accent6 2 2 2 4 3" xfId="1359"/>
    <cellStyle name="20% - Accent6 2 2 2 4 4" xfId="1360"/>
    <cellStyle name="20% - Accent6 2 2 2 5" xfId="1361"/>
    <cellStyle name="20% - Accent6 2 2 2 5 2" xfId="1362"/>
    <cellStyle name="20% - Accent6 2 2 2 5 3" xfId="1363"/>
    <cellStyle name="20% - Accent6 2 2 2 6" xfId="1364"/>
    <cellStyle name="20% - Accent6 2 2 2 7" xfId="1365"/>
    <cellStyle name="20% - Accent6 2 2 2 8" xfId="1366"/>
    <cellStyle name="20% - Accent6 2 2 3" xfId="1367"/>
    <cellStyle name="20% - Accent6 2 2 3 2" xfId="1368"/>
    <cellStyle name="20% - Accent6 2 2 3 2 2" xfId="1369"/>
    <cellStyle name="20% - Accent6 2 2 3 2 3" xfId="1370"/>
    <cellStyle name="20% - Accent6 2 2 3 2 4" xfId="1371"/>
    <cellStyle name="20% - Accent6 2 2 3 3" xfId="1372"/>
    <cellStyle name="20% - Accent6 2 2 3 3 2" xfId="1373"/>
    <cellStyle name="20% - Accent6 2 2 3 3 3" xfId="1374"/>
    <cellStyle name="20% - Accent6 2 2 3 4" xfId="1375"/>
    <cellStyle name="20% - Accent6 2 2 3 5" xfId="1376"/>
    <cellStyle name="20% - Accent6 2 2 3 6" xfId="1377"/>
    <cellStyle name="20% - Accent6 2 2 4" xfId="1378"/>
    <cellStyle name="20% - Accent6 2 2 4 2" xfId="1379"/>
    <cellStyle name="20% - Accent6 2 2 4 3" xfId="1380"/>
    <cellStyle name="20% - Accent6 2 2 4 4" xfId="1381"/>
    <cellStyle name="20% - Accent6 2 2 5" xfId="1382"/>
    <cellStyle name="20% - Accent6 2 2 5 2" xfId="1383"/>
    <cellStyle name="20% - Accent6 2 2 5 3" xfId="1384"/>
    <cellStyle name="20% - Accent6 2 2 5 4" xfId="1385"/>
    <cellStyle name="20% - Accent6 2 2 6" xfId="1386"/>
    <cellStyle name="20% - Accent6 2 2 6 2" xfId="1387"/>
    <cellStyle name="20% - Accent6 2 2 6 3" xfId="1388"/>
    <cellStyle name="20% - Accent6 2 2 7" xfId="1389"/>
    <cellStyle name="20% - Accent6 2 2 8" xfId="1390"/>
    <cellStyle name="20% - Accent6 2 2 9" xfId="1391"/>
    <cellStyle name="20% - Accent6 2 3" xfId="1392"/>
    <cellStyle name="20% - Accent6 2 3 2" xfId="1393"/>
    <cellStyle name="20% - Accent6 2 3 2 2" xfId="1394"/>
    <cellStyle name="20% - Accent6 2 3 2 2 2" xfId="1395"/>
    <cellStyle name="20% - Accent6 2 3 2 2 3" xfId="1396"/>
    <cellStyle name="20% - Accent6 2 3 2 2 4" xfId="1397"/>
    <cellStyle name="20% - Accent6 2 3 2 3" xfId="1398"/>
    <cellStyle name="20% - Accent6 2 3 2 3 2" xfId="1399"/>
    <cellStyle name="20% - Accent6 2 3 2 3 3" xfId="1400"/>
    <cellStyle name="20% - Accent6 2 3 2 4" xfId="1401"/>
    <cellStyle name="20% - Accent6 2 3 2 5" xfId="1402"/>
    <cellStyle name="20% - Accent6 2 3 2 6" xfId="1403"/>
    <cellStyle name="20% - Accent6 2 3 3" xfId="1404"/>
    <cellStyle name="20% - Accent6 2 3 3 2" xfId="1405"/>
    <cellStyle name="20% - Accent6 2 3 3 2 2" xfId="1406"/>
    <cellStyle name="20% - Accent6 2 3 3 2 3" xfId="1407"/>
    <cellStyle name="20% - Accent6 2 3 3 2 4" xfId="1408"/>
    <cellStyle name="20% - Accent6 2 3 3 3" xfId="1409"/>
    <cellStyle name="20% - Accent6 2 3 3 3 2" xfId="1410"/>
    <cellStyle name="20% - Accent6 2 3 3 3 3" xfId="1411"/>
    <cellStyle name="20% - Accent6 2 3 3 4" xfId="1412"/>
    <cellStyle name="20% - Accent6 2 3 3 5" xfId="1413"/>
    <cellStyle name="20% - Accent6 2 3 3 6" xfId="1414"/>
    <cellStyle name="20% - Accent6 2 3 4" xfId="1415"/>
    <cellStyle name="20% - Accent6 2 3 4 2" xfId="1416"/>
    <cellStyle name="20% - Accent6 2 3 4 3" xfId="1417"/>
    <cellStyle name="20% - Accent6 2 3 4 4" xfId="1418"/>
    <cellStyle name="20% - Accent6 2 3 5" xfId="1419"/>
    <cellStyle name="20% - Accent6 2 3 5 2" xfId="1420"/>
    <cellStyle name="20% - Accent6 2 3 5 3" xfId="1421"/>
    <cellStyle name="20% - Accent6 2 3 6" xfId="1422"/>
    <cellStyle name="20% - Accent6 2 3 7" xfId="1423"/>
    <cellStyle name="20% - Accent6 2 3 8" xfId="1424"/>
    <cellStyle name="20% - Accent6 2 4" xfId="1425"/>
    <cellStyle name="20% - Accent6 2 4 2" xfId="1426"/>
    <cellStyle name="20% - Accent6 2 4 2 2" xfId="1427"/>
    <cellStyle name="20% - Accent6 2 4 2 3" xfId="1428"/>
    <cellStyle name="20% - Accent6 2 4 2 4" xfId="1429"/>
    <cellStyle name="20% - Accent6 2 4 3" xfId="1430"/>
    <cellStyle name="20% - Accent6 2 4 3 2" xfId="1431"/>
    <cellStyle name="20% - Accent6 2 4 3 3" xfId="1432"/>
    <cellStyle name="20% - Accent6 2 4 4" xfId="1433"/>
    <cellStyle name="20% - Accent6 2 4 5" xfId="1434"/>
    <cellStyle name="20% - Accent6 2 4 6" xfId="1435"/>
    <cellStyle name="20% - Accent6 2 5" xfId="1436"/>
    <cellStyle name="20% - Accent6 2 5 2" xfId="1437"/>
    <cellStyle name="20% - Accent6 2 5 2 2" xfId="1438"/>
    <cellStyle name="20% - Accent6 2 5 2 3" xfId="1439"/>
    <cellStyle name="20% - Accent6 2 5 2 4" xfId="1440"/>
    <cellStyle name="20% - Accent6 2 5 3" xfId="1441"/>
    <cellStyle name="20% - Accent6 2 5 3 2" xfId="1442"/>
    <cellStyle name="20% - Accent6 2 5 3 3" xfId="1443"/>
    <cellStyle name="20% - Accent6 2 5 4" xfId="1444"/>
    <cellStyle name="20% - Accent6 2 5 5" xfId="1445"/>
    <cellStyle name="20% - Accent6 2 5 6" xfId="1446"/>
    <cellStyle name="20% - Accent6 2 6" xfId="1447"/>
    <cellStyle name="20% - Accent6 2 6 2" xfId="1448"/>
    <cellStyle name="20% - Accent6 2 6 3" xfId="1449"/>
    <cellStyle name="20% - Accent6 2 6 4" xfId="1450"/>
    <cellStyle name="20% - Accent6 2 7" xfId="1451"/>
    <cellStyle name="20% - Accent6 2 7 2" xfId="1452"/>
    <cellStyle name="20% - Accent6 2 7 3" xfId="1453"/>
    <cellStyle name="20% - Accent6 2 8" xfId="1454"/>
    <cellStyle name="20% - Accent6 2 9" xfId="1455"/>
    <cellStyle name="20% - Accent6 3" xfId="1456"/>
    <cellStyle name="20% - Accent6 3 2" xfId="1457"/>
    <cellStyle name="20% - Accent6 3 2 2" xfId="1458"/>
    <cellStyle name="20% - Accent6 3 2 2 2" xfId="1459"/>
    <cellStyle name="20% - Accent6 3 2 2 2 2" xfId="1460"/>
    <cellStyle name="20% - Accent6 3 2 2 2 2 2" xfId="1461"/>
    <cellStyle name="20% - Accent6 3 2 2 2 2 2 2" xfId="1462"/>
    <cellStyle name="20% - Accent6 3 2 2 2 2 2 2 2" xfId="1463"/>
    <cellStyle name="20% - Accent6 3 2 2 2 2 2 3" xfId="1464"/>
    <cellStyle name="20% - Accent6 3 2 2 2 2 2 3 2" xfId="1465"/>
    <cellStyle name="20% - Accent6 3 2 2 2 2 2 4" xfId="1466"/>
    <cellStyle name="20% - Accent6 3 2 2 2 2 3" xfId="1467"/>
    <cellStyle name="20% - Accent6 3 2 2 2 2 3 2" xfId="1468"/>
    <cellStyle name="20% - Accent6 3 2 2 2 2 4" xfId="1469"/>
    <cellStyle name="20% - Accent6 3 2 2 2 2 4 2" xfId="1470"/>
    <cellStyle name="20% - Accent6 3 2 2 2 2 5" xfId="1471"/>
    <cellStyle name="20% - Accent6 3 2 2 2 3" xfId="1472"/>
    <cellStyle name="20% - Accent6 3 2 2 2 3 2" xfId="1473"/>
    <cellStyle name="20% - Accent6 3 2 2 2 3 2 2" xfId="1474"/>
    <cellStyle name="20% - Accent6 3 2 2 2 3 3" xfId="1475"/>
    <cellStyle name="20% - Accent6 3 2 2 2 3 3 2" xfId="1476"/>
    <cellStyle name="20% - Accent6 3 2 2 2 3 4" xfId="1477"/>
    <cellStyle name="20% - Accent6 3 2 2 2 4" xfId="1478"/>
    <cellStyle name="20% - Accent6 3 2 2 2 4 2" xfId="1479"/>
    <cellStyle name="20% - Accent6 3 2 2 2 5" xfId="1480"/>
    <cellStyle name="20% - Accent6 3 2 2 2 5 2" xfId="1481"/>
    <cellStyle name="20% - Accent6 3 2 2 2 6" xfId="1482"/>
    <cellStyle name="20% - Accent6 3 2 2 3" xfId="1483"/>
    <cellStyle name="20% - Accent6 3 2 2 3 2" xfId="1484"/>
    <cellStyle name="20% - Accent6 3 2 2 3 2 2" xfId="1485"/>
    <cellStyle name="20% - Accent6 3 2 2 3 2 2 2" xfId="1486"/>
    <cellStyle name="20% - Accent6 3 2 2 3 2 3" xfId="1487"/>
    <cellStyle name="20% - Accent6 3 2 2 3 2 3 2" xfId="1488"/>
    <cellStyle name="20% - Accent6 3 2 2 3 2 4" xfId="1489"/>
    <cellStyle name="20% - Accent6 3 2 2 3 3" xfId="1490"/>
    <cellStyle name="20% - Accent6 3 2 2 3 3 2" xfId="1491"/>
    <cellStyle name="20% - Accent6 3 2 2 3 4" xfId="1492"/>
    <cellStyle name="20% - Accent6 3 2 2 3 4 2" xfId="1493"/>
    <cellStyle name="20% - Accent6 3 2 2 3 5" xfId="1494"/>
    <cellStyle name="20% - Accent6 3 2 2 4" xfId="1495"/>
    <cellStyle name="20% - Accent6 3 2 2 4 2" xfId="1496"/>
    <cellStyle name="20% - Accent6 3 2 2 4 2 2" xfId="1497"/>
    <cellStyle name="20% - Accent6 3 2 2 4 3" xfId="1498"/>
    <cellStyle name="20% - Accent6 3 2 2 4 3 2" xfId="1499"/>
    <cellStyle name="20% - Accent6 3 2 2 4 4" xfId="1500"/>
    <cellStyle name="20% - Accent6 3 2 2 5" xfId="1501"/>
    <cellStyle name="20% - Accent6 3 2 2 5 2" xfId="1502"/>
    <cellStyle name="20% - Accent6 3 2 2 6" xfId="1503"/>
    <cellStyle name="20% - Accent6 3 2 2 6 2" xfId="1504"/>
    <cellStyle name="20% - Accent6 3 2 2 7" xfId="1505"/>
    <cellStyle name="20% - Accent6 3 2 3" xfId="1506"/>
    <cellStyle name="20% - Accent6 3 3" xfId="1507"/>
    <cellStyle name="20% - Accent6 4" xfId="1508"/>
    <cellStyle name="20% - Accent6 4 2" xfId="1509"/>
    <cellStyle name="20% - Accent6 4 2 2" xfId="1510"/>
    <cellStyle name="20% - Accent6 4 2 2 2" xfId="1511"/>
    <cellStyle name="20% - Accent6 4 2 2 2 2" xfId="1512"/>
    <cellStyle name="20% - Accent6 4 2 2 2 2 2" xfId="1513"/>
    <cellStyle name="20% - Accent6 4 2 2 2 3" xfId="1514"/>
    <cellStyle name="20% - Accent6 4 2 2 2 3 2" xfId="1515"/>
    <cellStyle name="20% - Accent6 4 2 2 2 4" xfId="1516"/>
    <cellStyle name="20% - Accent6 4 2 2 3" xfId="1517"/>
    <cellStyle name="20% - Accent6 4 2 2 3 2" xfId="1518"/>
    <cellStyle name="20% - Accent6 4 2 2 4" xfId="1519"/>
    <cellStyle name="20% - Accent6 4 2 2 4 2" xfId="1520"/>
    <cellStyle name="20% - Accent6 4 2 2 5" xfId="1521"/>
    <cellStyle name="20% - Accent6 4 2 3" xfId="1522"/>
    <cellStyle name="20% - Accent6 4 2 3 2" xfId="1523"/>
    <cellStyle name="20% - Accent6 4 2 3 2 2" xfId="1524"/>
    <cellStyle name="20% - Accent6 4 2 3 3" xfId="1525"/>
    <cellStyle name="20% - Accent6 4 2 3 3 2" xfId="1526"/>
    <cellStyle name="20% - Accent6 4 2 3 4" xfId="1527"/>
    <cellStyle name="20% - Accent6 4 2 4" xfId="1528"/>
    <cellStyle name="20% - Accent6 4 2 4 2" xfId="1529"/>
    <cellStyle name="20% - Accent6 4 2 5" xfId="1530"/>
    <cellStyle name="20% - Accent6 4 2 5 2" xfId="1531"/>
    <cellStyle name="20% - Accent6 4 2 6" xfId="1532"/>
    <cellStyle name="20% - Accent6 4 3" xfId="1533"/>
    <cellStyle name="20% - Accent6 4 3 2" xfId="1534"/>
    <cellStyle name="20% - Accent6 4 3 2 2" xfId="1535"/>
    <cellStyle name="20% - Accent6 4 3 2 2 2" xfId="1536"/>
    <cellStyle name="20% - Accent6 4 3 2 3" xfId="1537"/>
    <cellStyle name="20% - Accent6 4 3 2 3 2" xfId="1538"/>
    <cellStyle name="20% - Accent6 4 3 2 4" xfId="1539"/>
    <cellStyle name="20% - Accent6 4 3 3" xfId="1540"/>
    <cellStyle name="20% - Accent6 4 3 3 2" xfId="1541"/>
    <cellStyle name="20% - Accent6 4 3 4" xfId="1542"/>
    <cellStyle name="20% - Accent6 4 3 4 2" xfId="1543"/>
    <cellStyle name="20% - Accent6 4 3 5" xfId="1544"/>
    <cellStyle name="20% - Accent6 4 4" xfId="1545"/>
    <cellStyle name="20% - Accent6 4 4 2" xfId="1546"/>
    <cellStyle name="20% - Accent6 4 4 2 2" xfId="1547"/>
    <cellStyle name="20% - Accent6 4 4 3" xfId="1548"/>
    <cellStyle name="20% - Accent6 4 4 3 2" xfId="1549"/>
    <cellStyle name="20% - Accent6 4 4 4" xfId="1550"/>
    <cellStyle name="20% - Accent6 4 5" xfId="1551"/>
    <cellStyle name="20% - Accent6 4 5 2" xfId="1552"/>
    <cellStyle name="20% - Accent6 4 6" xfId="1553"/>
    <cellStyle name="20% - Accent6 4 6 2" xfId="1554"/>
    <cellStyle name="20% - Accent6 4 7" xfId="1555"/>
    <cellStyle name="20% - Accent6 5" xfId="1556"/>
    <cellStyle name="20% - Accent6 5 2" xfId="1557"/>
    <cellStyle name="20% - Accent6 5 2 2" xfId="1558"/>
    <cellStyle name="20% - Accent6 5 2 2 2" xfId="1559"/>
    <cellStyle name="20% - Accent6 5 2 2 2 2" xfId="1560"/>
    <cellStyle name="20% - Accent6 5 2 2 3" xfId="1561"/>
    <cellStyle name="20% - Accent6 5 2 2 3 2" xfId="1562"/>
    <cellStyle name="20% - Accent6 5 2 2 4" xfId="1563"/>
    <cellStyle name="20% - Accent6 5 2 3" xfId="1564"/>
    <cellStyle name="20% - Accent6 5 2 3 2" xfId="1565"/>
    <cellStyle name="20% - Accent6 5 2 4" xfId="1566"/>
    <cellStyle name="20% - Accent6 5 2 4 2" xfId="1567"/>
    <cellStyle name="20% - Accent6 5 2 5" xfId="1568"/>
    <cellStyle name="20% - Accent6 5 3" xfId="1569"/>
    <cellStyle name="20% - Accent6 5 3 2" xfId="1570"/>
    <cellStyle name="20% - Accent6 5 3 2 2" xfId="1571"/>
    <cellStyle name="20% - Accent6 5 3 2 2 2" xfId="1572"/>
    <cellStyle name="20% - Accent6 5 3 2 3" xfId="1573"/>
    <cellStyle name="20% - Accent6 5 3 2 3 2" xfId="1574"/>
    <cellStyle name="20% - Accent6 5 3 2 4" xfId="1575"/>
    <cellStyle name="20% - Accent6 5 3 3" xfId="1576"/>
    <cellStyle name="20% - Accent6 5 3 3 2" xfId="1577"/>
    <cellStyle name="20% - Accent6 5 3 3 2 2" xfId="1578"/>
    <cellStyle name="20% - Accent6 5 3 3 3" xfId="1579"/>
    <cellStyle name="20% - Accent6 5 3 3 3 2" xfId="1580"/>
    <cellStyle name="20% - Accent6 5 3 3 4" xfId="1581"/>
    <cellStyle name="20% - Accent6 5 3 4" xfId="1582"/>
    <cellStyle name="20% - Accent6 5 3 4 2" xfId="1583"/>
    <cellStyle name="20% - Accent6 5 3 5" xfId="1584"/>
    <cellStyle name="20% - Accent6 5 3 5 2" xfId="1585"/>
    <cellStyle name="20% - Accent6 5 3 6" xfId="1586"/>
    <cellStyle name="20% - Accent6 5 4" xfId="1587"/>
    <cellStyle name="20% - Accent6 5 4 2" xfId="1588"/>
    <cellStyle name="20% - Accent6 5 4 2 2" xfId="1589"/>
    <cellStyle name="20% - Accent6 5 4 3" xfId="1590"/>
    <cellStyle name="20% - Accent6 5 4 3 2" xfId="1591"/>
    <cellStyle name="20% - Accent6 5 4 4" xfId="1592"/>
    <cellStyle name="20% - Accent6 5 5" xfId="1593"/>
    <cellStyle name="20% - Accent6 5 5 2" xfId="1594"/>
    <cellStyle name="20% - Accent6 5 6" xfId="1595"/>
    <cellStyle name="20% - Accent6 5 6 2" xfId="1596"/>
    <cellStyle name="20% - Accent6 5 7" xfId="1597"/>
    <cellStyle name="20% - Accent6 6" xfId="1598"/>
    <cellStyle name="20% - Accent6 6 2" xfId="1599"/>
    <cellStyle name="20% - Accent6 6 2 2" xfId="1600"/>
    <cellStyle name="20% - Accent6 6 2 2 2" xfId="1601"/>
    <cellStyle name="20% - Accent6 6 2 3" xfId="1602"/>
    <cellStyle name="20% - Accent6 6 2 3 2" xfId="1603"/>
    <cellStyle name="20% - Accent6 6 2 4" xfId="1604"/>
    <cellStyle name="20% - Accent6 6 3" xfId="1605"/>
    <cellStyle name="20% - Accent6 6 3 2" xfId="1606"/>
    <cellStyle name="20% - Accent6 6 4" xfId="1607"/>
    <cellStyle name="20% - Accent6 6 4 2" xfId="1608"/>
    <cellStyle name="20% - Accent6 6 5" xfId="1609"/>
    <cellStyle name="40% - Accent1 2" xfId="1610"/>
    <cellStyle name="40% - Accent1 2 2" xfId="1611"/>
    <cellStyle name="40% - Accent1 2 2 2" xfId="1612"/>
    <cellStyle name="40% - Accent1 2 2 2 2" xfId="1613"/>
    <cellStyle name="40% - Accent1 2 2 2 2 2" xfId="1614"/>
    <cellStyle name="40% - Accent1 2 2 2 2 2 2" xfId="1615"/>
    <cellStyle name="40% - Accent1 2 2 2 2 2 3" xfId="1616"/>
    <cellStyle name="40% - Accent1 2 2 2 2 2 4" xfId="1617"/>
    <cellStyle name="40% - Accent1 2 2 2 2 3" xfId="1618"/>
    <cellStyle name="40% - Accent1 2 2 2 2 3 2" xfId="1619"/>
    <cellStyle name="40% - Accent1 2 2 2 2 3 3" xfId="1620"/>
    <cellStyle name="40% - Accent1 2 2 2 2 4" xfId="1621"/>
    <cellStyle name="40% - Accent1 2 2 2 2 5" xfId="1622"/>
    <cellStyle name="40% - Accent1 2 2 2 2 6" xfId="1623"/>
    <cellStyle name="40% - Accent1 2 2 2 3" xfId="1624"/>
    <cellStyle name="40% - Accent1 2 2 2 3 2" xfId="1625"/>
    <cellStyle name="40% - Accent1 2 2 2 3 3" xfId="1626"/>
    <cellStyle name="40% - Accent1 2 2 2 3 4" xfId="1627"/>
    <cellStyle name="40% - Accent1 2 2 2 4" xfId="1628"/>
    <cellStyle name="40% - Accent1 2 2 2 4 2" xfId="1629"/>
    <cellStyle name="40% - Accent1 2 2 2 4 3" xfId="1630"/>
    <cellStyle name="40% - Accent1 2 2 2 4 4" xfId="1631"/>
    <cellStyle name="40% - Accent1 2 2 2 5" xfId="1632"/>
    <cellStyle name="40% - Accent1 2 2 2 5 2" xfId="1633"/>
    <cellStyle name="40% - Accent1 2 2 2 5 3" xfId="1634"/>
    <cellStyle name="40% - Accent1 2 2 2 6" xfId="1635"/>
    <cellStyle name="40% - Accent1 2 2 2 7" xfId="1636"/>
    <cellStyle name="40% - Accent1 2 2 2 8" xfId="1637"/>
    <cellStyle name="40% - Accent1 2 2 3" xfId="1638"/>
    <cellStyle name="40% - Accent1 2 2 3 2" xfId="1639"/>
    <cellStyle name="40% - Accent1 2 2 3 2 2" xfId="1640"/>
    <cellStyle name="40% - Accent1 2 2 3 2 3" xfId="1641"/>
    <cellStyle name="40% - Accent1 2 2 3 2 4" xfId="1642"/>
    <cellStyle name="40% - Accent1 2 2 3 3" xfId="1643"/>
    <cellStyle name="40% - Accent1 2 2 3 3 2" xfId="1644"/>
    <cellStyle name="40% - Accent1 2 2 3 3 3" xfId="1645"/>
    <cellStyle name="40% - Accent1 2 2 3 4" xfId="1646"/>
    <cellStyle name="40% - Accent1 2 2 3 5" xfId="1647"/>
    <cellStyle name="40% - Accent1 2 2 3 6" xfId="1648"/>
    <cellStyle name="40% - Accent1 2 2 4" xfId="1649"/>
    <cellStyle name="40% - Accent1 2 2 4 2" xfId="1650"/>
    <cellStyle name="40% - Accent1 2 2 4 3" xfId="1651"/>
    <cellStyle name="40% - Accent1 2 2 4 4" xfId="1652"/>
    <cellStyle name="40% - Accent1 2 2 5" xfId="1653"/>
    <cellStyle name="40% - Accent1 2 2 5 2" xfId="1654"/>
    <cellStyle name="40% - Accent1 2 2 5 3" xfId="1655"/>
    <cellStyle name="40% - Accent1 2 2 6" xfId="1656"/>
    <cellStyle name="40% - Accent1 2 2 7" xfId="1657"/>
    <cellStyle name="40% - Accent1 2 2 8" xfId="1658"/>
    <cellStyle name="40% - Accent1 2 2 9" xfId="1659"/>
    <cellStyle name="40% - Accent1 2 3" xfId="1660"/>
    <cellStyle name="40% - Accent1 2 3 2" xfId="1661"/>
    <cellStyle name="40% - Accent1 2 3 2 2" xfId="1662"/>
    <cellStyle name="40% - Accent1 2 3 2 2 2" xfId="1663"/>
    <cellStyle name="40% - Accent1 2 3 2 2 3" xfId="1664"/>
    <cellStyle name="40% - Accent1 2 3 2 2 4" xfId="1665"/>
    <cellStyle name="40% - Accent1 2 3 2 3" xfId="1666"/>
    <cellStyle name="40% - Accent1 2 3 2 3 2" xfId="1667"/>
    <cellStyle name="40% - Accent1 2 3 2 3 3" xfId="1668"/>
    <cellStyle name="40% - Accent1 2 3 2 4" xfId="1669"/>
    <cellStyle name="40% - Accent1 2 3 2 5" xfId="1670"/>
    <cellStyle name="40% - Accent1 2 3 2 6" xfId="1671"/>
    <cellStyle name="40% - Accent1 2 3 3" xfId="1672"/>
    <cellStyle name="40% - Accent1 2 3 3 2" xfId="1673"/>
    <cellStyle name="40% - Accent1 2 3 3 2 2" xfId="1674"/>
    <cellStyle name="40% - Accent1 2 3 3 2 3" xfId="1675"/>
    <cellStyle name="40% - Accent1 2 3 3 2 4" xfId="1676"/>
    <cellStyle name="40% - Accent1 2 3 3 3" xfId="1677"/>
    <cellStyle name="40% - Accent1 2 3 3 3 2" xfId="1678"/>
    <cellStyle name="40% - Accent1 2 3 3 3 3" xfId="1679"/>
    <cellStyle name="40% - Accent1 2 3 3 4" xfId="1680"/>
    <cellStyle name="40% - Accent1 2 3 3 5" xfId="1681"/>
    <cellStyle name="40% - Accent1 2 3 3 6" xfId="1682"/>
    <cellStyle name="40% - Accent1 2 3 4" xfId="1683"/>
    <cellStyle name="40% - Accent1 2 3 4 2" xfId="1684"/>
    <cellStyle name="40% - Accent1 2 3 4 3" xfId="1685"/>
    <cellStyle name="40% - Accent1 2 3 4 4" xfId="1686"/>
    <cellStyle name="40% - Accent1 2 3 5" xfId="1687"/>
    <cellStyle name="40% - Accent1 2 3 5 2" xfId="1688"/>
    <cellStyle name="40% - Accent1 2 3 5 3" xfId="1689"/>
    <cellStyle name="40% - Accent1 2 3 6" xfId="1690"/>
    <cellStyle name="40% - Accent1 2 3 7" xfId="1691"/>
    <cellStyle name="40% - Accent1 2 3 8" xfId="1692"/>
    <cellStyle name="40% - Accent1 2 4" xfId="1693"/>
    <cellStyle name="40% - Accent1 2 4 2" xfId="1694"/>
    <cellStyle name="40% - Accent1 2 4 2 2" xfId="1695"/>
    <cellStyle name="40% - Accent1 2 4 2 3" xfId="1696"/>
    <cellStyle name="40% - Accent1 2 4 2 4" xfId="1697"/>
    <cellStyle name="40% - Accent1 2 4 3" xfId="1698"/>
    <cellStyle name="40% - Accent1 2 4 3 2" xfId="1699"/>
    <cellStyle name="40% - Accent1 2 4 3 3" xfId="1700"/>
    <cellStyle name="40% - Accent1 2 4 4" xfId="1701"/>
    <cellStyle name="40% - Accent1 2 4 5" xfId="1702"/>
    <cellStyle name="40% - Accent1 2 4 6" xfId="1703"/>
    <cellStyle name="40% - Accent1 2 5" xfId="1704"/>
    <cellStyle name="40% - Accent1 2 5 2" xfId="1705"/>
    <cellStyle name="40% - Accent1 2 5 3" xfId="1706"/>
    <cellStyle name="40% - Accent1 2 6" xfId="1707"/>
    <cellStyle name="40% - Accent1 2 7" xfId="1708"/>
    <cellStyle name="40% - Accent1 2 8" xfId="1709"/>
    <cellStyle name="40% - Accent1 2 9" xfId="1710"/>
    <cellStyle name="40% - Accent1 3" xfId="1711"/>
    <cellStyle name="40% - Accent1 3 2" xfId="1712"/>
    <cellStyle name="40% - Accent1 3 2 2" xfId="1713"/>
    <cellStyle name="40% - Accent1 3 2 2 2" xfId="1714"/>
    <cellStyle name="40% - Accent1 3 2 2 2 2" xfId="1715"/>
    <cellStyle name="40% - Accent1 3 2 2 2 2 2" xfId="1716"/>
    <cellStyle name="40% - Accent1 3 2 2 2 2 2 2" xfId="1717"/>
    <cellStyle name="40% - Accent1 3 2 2 2 2 2 2 2" xfId="1718"/>
    <cellStyle name="40% - Accent1 3 2 2 2 2 2 3" xfId="1719"/>
    <cellStyle name="40% - Accent1 3 2 2 2 2 2 3 2" xfId="1720"/>
    <cellStyle name="40% - Accent1 3 2 2 2 2 2 4" xfId="1721"/>
    <cellStyle name="40% - Accent1 3 2 2 2 2 3" xfId="1722"/>
    <cellStyle name="40% - Accent1 3 2 2 2 2 3 2" xfId="1723"/>
    <cellStyle name="40% - Accent1 3 2 2 2 2 4" xfId="1724"/>
    <cellStyle name="40% - Accent1 3 2 2 2 2 4 2" xfId="1725"/>
    <cellStyle name="40% - Accent1 3 2 2 2 2 5" xfId="1726"/>
    <cellStyle name="40% - Accent1 3 2 2 2 3" xfId="1727"/>
    <cellStyle name="40% - Accent1 3 2 2 2 3 2" xfId="1728"/>
    <cellStyle name="40% - Accent1 3 2 2 2 3 2 2" xfId="1729"/>
    <cellStyle name="40% - Accent1 3 2 2 2 3 3" xfId="1730"/>
    <cellStyle name="40% - Accent1 3 2 2 2 3 3 2" xfId="1731"/>
    <cellStyle name="40% - Accent1 3 2 2 2 3 4" xfId="1732"/>
    <cellStyle name="40% - Accent1 3 2 2 2 4" xfId="1733"/>
    <cellStyle name="40% - Accent1 3 2 2 2 4 2" xfId="1734"/>
    <cellStyle name="40% - Accent1 3 2 2 2 5" xfId="1735"/>
    <cellStyle name="40% - Accent1 3 2 2 2 5 2" xfId="1736"/>
    <cellStyle name="40% - Accent1 3 2 2 2 6" xfId="1737"/>
    <cellStyle name="40% - Accent1 3 2 2 3" xfId="1738"/>
    <cellStyle name="40% - Accent1 3 2 2 3 2" xfId="1739"/>
    <cellStyle name="40% - Accent1 3 2 2 3 2 2" xfId="1740"/>
    <cellStyle name="40% - Accent1 3 2 2 3 2 2 2" xfId="1741"/>
    <cellStyle name="40% - Accent1 3 2 2 3 2 3" xfId="1742"/>
    <cellStyle name="40% - Accent1 3 2 2 3 2 3 2" xfId="1743"/>
    <cellStyle name="40% - Accent1 3 2 2 3 2 4" xfId="1744"/>
    <cellStyle name="40% - Accent1 3 2 2 3 3" xfId="1745"/>
    <cellStyle name="40% - Accent1 3 2 2 3 3 2" xfId="1746"/>
    <cellStyle name="40% - Accent1 3 2 2 3 4" xfId="1747"/>
    <cellStyle name="40% - Accent1 3 2 2 3 4 2" xfId="1748"/>
    <cellStyle name="40% - Accent1 3 2 2 3 5" xfId="1749"/>
    <cellStyle name="40% - Accent1 3 2 2 4" xfId="1750"/>
    <cellStyle name="40% - Accent1 3 2 2 4 2" xfId="1751"/>
    <cellStyle name="40% - Accent1 3 2 2 4 2 2" xfId="1752"/>
    <cellStyle name="40% - Accent1 3 2 2 4 3" xfId="1753"/>
    <cellStyle name="40% - Accent1 3 2 2 4 3 2" xfId="1754"/>
    <cellStyle name="40% - Accent1 3 2 2 4 4" xfId="1755"/>
    <cellStyle name="40% - Accent1 3 2 2 5" xfId="1756"/>
    <cellStyle name="40% - Accent1 3 2 2 5 2" xfId="1757"/>
    <cellStyle name="40% - Accent1 3 2 2 6" xfId="1758"/>
    <cellStyle name="40% - Accent1 3 2 2 6 2" xfId="1759"/>
    <cellStyle name="40% - Accent1 3 2 2 7" xfId="1760"/>
    <cellStyle name="40% - Accent1 3 2 3" xfId="1761"/>
    <cellStyle name="40% - Accent1 3 3" xfId="1762"/>
    <cellStyle name="40% - Accent1 4" xfId="1763"/>
    <cellStyle name="40% - Accent1 4 2" xfId="1764"/>
    <cellStyle name="40% - Accent1 4 2 2" xfId="1765"/>
    <cellStyle name="40% - Accent1 4 2 2 2" xfId="1766"/>
    <cellStyle name="40% - Accent1 4 2 2 2 2" xfId="1767"/>
    <cellStyle name="40% - Accent1 4 2 2 2 2 2" xfId="1768"/>
    <cellStyle name="40% - Accent1 4 2 2 2 3" xfId="1769"/>
    <cellStyle name="40% - Accent1 4 2 2 2 3 2" xfId="1770"/>
    <cellStyle name="40% - Accent1 4 2 2 2 4" xfId="1771"/>
    <cellStyle name="40% - Accent1 4 2 2 3" xfId="1772"/>
    <cellStyle name="40% - Accent1 4 2 2 3 2" xfId="1773"/>
    <cellStyle name="40% - Accent1 4 2 2 4" xfId="1774"/>
    <cellStyle name="40% - Accent1 4 2 2 4 2" xfId="1775"/>
    <cellStyle name="40% - Accent1 4 2 2 5" xfId="1776"/>
    <cellStyle name="40% - Accent1 4 2 3" xfId="1777"/>
    <cellStyle name="40% - Accent1 4 2 3 2" xfId="1778"/>
    <cellStyle name="40% - Accent1 4 2 3 2 2" xfId="1779"/>
    <cellStyle name="40% - Accent1 4 2 3 3" xfId="1780"/>
    <cellStyle name="40% - Accent1 4 2 3 3 2" xfId="1781"/>
    <cellStyle name="40% - Accent1 4 2 3 4" xfId="1782"/>
    <cellStyle name="40% - Accent1 4 2 4" xfId="1783"/>
    <cellStyle name="40% - Accent1 4 2 4 2" xfId="1784"/>
    <cellStyle name="40% - Accent1 4 2 5" xfId="1785"/>
    <cellStyle name="40% - Accent1 4 2 5 2" xfId="1786"/>
    <cellStyle name="40% - Accent1 4 2 6" xfId="1787"/>
    <cellStyle name="40% - Accent1 4 3" xfId="1788"/>
    <cellStyle name="40% - Accent1 4 3 2" xfId="1789"/>
    <cellStyle name="40% - Accent1 4 3 2 2" xfId="1790"/>
    <cellStyle name="40% - Accent1 4 3 2 2 2" xfId="1791"/>
    <cellStyle name="40% - Accent1 4 3 2 3" xfId="1792"/>
    <cellStyle name="40% - Accent1 4 3 2 3 2" xfId="1793"/>
    <cellStyle name="40% - Accent1 4 3 2 4" xfId="1794"/>
    <cellStyle name="40% - Accent1 4 3 3" xfId="1795"/>
    <cellStyle name="40% - Accent1 4 3 3 2" xfId="1796"/>
    <cellStyle name="40% - Accent1 4 3 4" xfId="1797"/>
    <cellStyle name="40% - Accent1 4 3 4 2" xfId="1798"/>
    <cellStyle name="40% - Accent1 4 3 5" xfId="1799"/>
    <cellStyle name="40% - Accent1 4 4" xfId="1800"/>
    <cellStyle name="40% - Accent1 4 4 2" xfId="1801"/>
    <cellStyle name="40% - Accent1 4 4 2 2" xfId="1802"/>
    <cellStyle name="40% - Accent1 4 4 3" xfId="1803"/>
    <cellStyle name="40% - Accent1 4 4 3 2" xfId="1804"/>
    <cellStyle name="40% - Accent1 4 4 4" xfId="1805"/>
    <cellStyle name="40% - Accent1 4 5" xfId="1806"/>
    <cellStyle name="40% - Accent1 4 5 2" xfId="1807"/>
    <cellStyle name="40% - Accent1 4 6" xfId="1808"/>
    <cellStyle name="40% - Accent1 4 6 2" xfId="1809"/>
    <cellStyle name="40% - Accent1 4 7" xfId="1810"/>
    <cellStyle name="40% - Accent1 5" xfId="1811"/>
    <cellStyle name="40% - Accent1 5 2" xfId="1812"/>
    <cellStyle name="40% - Accent1 5 2 2" xfId="1813"/>
    <cellStyle name="40% - Accent1 5 2 2 2" xfId="1814"/>
    <cellStyle name="40% - Accent1 5 2 2 2 2" xfId="1815"/>
    <cellStyle name="40% - Accent1 5 2 2 3" xfId="1816"/>
    <cellStyle name="40% - Accent1 5 2 2 3 2" xfId="1817"/>
    <cellStyle name="40% - Accent1 5 2 2 4" xfId="1818"/>
    <cellStyle name="40% - Accent1 5 2 3" xfId="1819"/>
    <cellStyle name="40% - Accent1 5 2 3 2" xfId="1820"/>
    <cellStyle name="40% - Accent1 5 2 4" xfId="1821"/>
    <cellStyle name="40% - Accent1 5 2 4 2" xfId="1822"/>
    <cellStyle name="40% - Accent1 5 2 5" xfId="1823"/>
    <cellStyle name="40% - Accent1 5 3" xfId="1824"/>
    <cellStyle name="40% - Accent1 5 3 2" xfId="1825"/>
    <cellStyle name="40% - Accent1 5 3 2 2" xfId="1826"/>
    <cellStyle name="40% - Accent1 5 3 2 2 2" xfId="1827"/>
    <cellStyle name="40% - Accent1 5 3 2 3" xfId="1828"/>
    <cellStyle name="40% - Accent1 5 3 2 3 2" xfId="1829"/>
    <cellStyle name="40% - Accent1 5 3 2 4" xfId="1830"/>
    <cellStyle name="40% - Accent1 5 3 3" xfId="1831"/>
    <cellStyle name="40% - Accent1 5 3 3 2" xfId="1832"/>
    <cellStyle name="40% - Accent1 5 3 3 2 2" xfId="1833"/>
    <cellStyle name="40% - Accent1 5 3 3 3" xfId="1834"/>
    <cellStyle name="40% - Accent1 5 3 3 3 2" xfId="1835"/>
    <cellStyle name="40% - Accent1 5 3 3 4" xfId="1836"/>
    <cellStyle name="40% - Accent1 5 3 4" xfId="1837"/>
    <cellStyle name="40% - Accent1 5 3 4 2" xfId="1838"/>
    <cellStyle name="40% - Accent1 5 3 5" xfId="1839"/>
    <cellStyle name="40% - Accent1 5 3 5 2" xfId="1840"/>
    <cellStyle name="40% - Accent1 5 3 6" xfId="1841"/>
    <cellStyle name="40% - Accent1 5 4" xfId="1842"/>
    <cellStyle name="40% - Accent1 5 4 2" xfId="1843"/>
    <cellStyle name="40% - Accent1 5 4 2 2" xfId="1844"/>
    <cellStyle name="40% - Accent1 5 4 3" xfId="1845"/>
    <cellStyle name="40% - Accent1 5 4 3 2" xfId="1846"/>
    <cellStyle name="40% - Accent1 5 4 4" xfId="1847"/>
    <cellStyle name="40% - Accent1 5 5" xfId="1848"/>
    <cellStyle name="40% - Accent1 5 5 2" xfId="1849"/>
    <cellStyle name="40% - Accent1 5 6" xfId="1850"/>
    <cellStyle name="40% - Accent1 5 6 2" xfId="1851"/>
    <cellStyle name="40% - Accent1 5 7" xfId="1852"/>
    <cellStyle name="40% - Accent1 6" xfId="1853"/>
    <cellStyle name="40% - Accent1 6 2" xfId="1854"/>
    <cellStyle name="40% - Accent1 6 2 2" xfId="1855"/>
    <cellStyle name="40% - Accent1 6 2 2 2" xfId="1856"/>
    <cellStyle name="40% - Accent1 6 2 3" xfId="1857"/>
    <cellStyle name="40% - Accent1 6 2 3 2" xfId="1858"/>
    <cellStyle name="40% - Accent1 6 2 4" xfId="1859"/>
    <cellStyle name="40% - Accent1 6 3" xfId="1860"/>
    <cellStyle name="40% - Accent1 6 3 2" xfId="1861"/>
    <cellStyle name="40% - Accent1 6 4" xfId="1862"/>
    <cellStyle name="40% - Accent1 6 4 2" xfId="1863"/>
    <cellStyle name="40% - Accent1 6 5" xfId="1864"/>
    <cellStyle name="40% - Accent2 2" xfId="1865"/>
    <cellStyle name="40% - Accent2 2 2" xfId="1866"/>
    <cellStyle name="40% - Accent2 2 2 2" xfId="1867"/>
    <cellStyle name="40% - Accent2 2 2 2 2" xfId="1868"/>
    <cellStyle name="40% - Accent2 2 2 2 2 2" xfId="1869"/>
    <cellStyle name="40% - Accent2 2 2 2 2 2 2" xfId="1870"/>
    <cellStyle name="40% - Accent2 2 2 2 2 2 3" xfId="1871"/>
    <cellStyle name="40% - Accent2 2 2 2 2 2 4" xfId="1872"/>
    <cellStyle name="40% - Accent2 2 2 2 2 3" xfId="1873"/>
    <cellStyle name="40% - Accent2 2 2 2 2 3 2" xfId="1874"/>
    <cellStyle name="40% - Accent2 2 2 2 2 3 3" xfId="1875"/>
    <cellStyle name="40% - Accent2 2 2 2 2 4" xfId="1876"/>
    <cellStyle name="40% - Accent2 2 2 2 2 5" xfId="1877"/>
    <cellStyle name="40% - Accent2 2 2 2 2 6" xfId="1878"/>
    <cellStyle name="40% - Accent2 2 2 2 3" xfId="1879"/>
    <cellStyle name="40% - Accent2 2 2 2 3 2" xfId="1880"/>
    <cellStyle name="40% - Accent2 2 2 2 3 3" xfId="1881"/>
    <cellStyle name="40% - Accent2 2 2 2 3 4" xfId="1882"/>
    <cellStyle name="40% - Accent2 2 2 2 4" xfId="1883"/>
    <cellStyle name="40% - Accent2 2 2 2 4 2" xfId="1884"/>
    <cellStyle name="40% - Accent2 2 2 2 4 3" xfId="1885"/>
    <cellStyle name="40% - Accent2 2 2 2 4 4" xfId="1886"/>
    <cellStyle name="40% - Accent2 2 2 2 5" xfId="1887"/>
    <cellStyle name="40% - Accent2 2 2 2 5 2" xfId="1888"/>
    <cellStyle name="40% - Accent2 2 2 2 5 3" xfId="1889"/>
    <cellStyle name="40% - Accent2 2 2 2 6" xfId="1890"/>
    <cellStyle name="40% - Accent2 2 2 2 7" xfId="1891"/>
    <cellStyle name="40% - Accent2 2 2 2 8" xfId="1892"/>
    <cellStyle name="40% - Accent2 2 2 3" xfId="1893"/>
    <cellStyle name="40% - Accent2 2 2 3 2" xfId="1894"/>
    <cellStyle name="40% - Accent2 2 2 3 2 2" xfId="1895"/>
    <cellStyle name="40% - Accent2 2 2 3 2 3" xfId="1896"/>
    <cellStyle name="40% - Accent2 2 2 3 2 4" xfId="1897"/>
    <cellStyle name="40% - Accent2 2 2 3 3" xfId="1898"/>
    <cellStyle name="40% - Accent2 2 2 3 3 2" xfId="1899"/>
    <cellStyle name="40% - Accent2 2 2 3 3 3" xfId="1900"/>
    <cellStyle name="40% - Accent2 2 2 3 4" xfId="1901"/>
    <cellStyle name="40% - Accent2 2 2 3 5" xfId="1902"/>
    <cellStyle name="40% - Accent2 2 2 3 6" xfId="1903"/>
    <cellStyle name="40% - Accent2 2 2 4" xfId="1904"/>
    <cellStyle name="40% - Accent2 2 2 4 2" xfId="1905"/>
    <cellStyle name="40% - Accent2 2 2 4 3" xfId="1906"/>
    <cellStyle name="40% - Accent2 2 2 4 4" xfId="1907"/>
    <cellStyle name="40% - Accent2 2 2 5" xfId="1908"/>
    <cellStyle name="40% - Accent2 2 2 5 2" xfId="1909"/>
    <cellStyle name="40% - Accent2 2 2 5 3" xfId="1910"/>
    <cellStyle name="40% - Accent2 2 2 6" xfId="1911"/>
    <cellStyle name="40% - Accent2 2 2 7" xfId="1912"/>
    <cellStyle name="40% - Accent2 2 2 8" xfId="1913"/>
    <cellStyle name="40% - Accent2 2 3" xfId="1914"/>
    <cellStyle name="40% - Accent2 2 3 2" xfId="1915"/>
    <cellStyle name="40% - Accent2 2 3 2 2" xfId="1916"/>
    <cellStyle name="40% - Accent2 2 3 2 2 2" xfId="1917"/>
    <cellStyle name="40% - Accent2 2 3 2 2 3" xfId="1918"/>
    <cellStyle name="40% - Accent2 2 3 2 2 4" xfId="1919"/>
    <cellStyle name="40% - Accent2 2 3 2 3" xfId="1920"/>
    <cellStyle name="40% - Accent2 2 3 2 3 2" xfId="1921"/>
    <cellStyle name="40% - Accent2 2 3 2 3 3" xfId="1922"/>
    <cellStyle name="40% - Accent2 2 3 2 4" xfId="1923"/>
    <cellStyle name="40% - Accent2 2 3 2 5" xfId="1924"/>
    <cellStyle name="40% - Accent2 2 3 2 6" xfId="1925"/>
    <cellStyle name="40% - Accent2 2 3 3" xfId="1926"/>
    <cellStyle name="40% - Accent2 2 3 3 2" xfId="1927"/>
    <cellStyle name="40% - Accent2 2 3 3 2 2" xfId="1928"/>
    <cellStyle name="40% - Accent2 2 3 3 2 3" xfId="1929"/>
    <cellStyle name="40% - Accent2 2 3 3 2 4" xfId="1930"/>
    <cellStyle name="40% - Accent2 2 3 3 3" xfId="1931"/>
    <cellStyle name="40% - Accent2 2 3 3 3 2" xfId="1932"/>
    <cellStyle name="40% - Accent2 2 3 3 3 3" xfId="1933"/>
    <cellStyle name="40% - Accent2 2 3 3 4" xfId="1934"/>
    <cellStyle name="40% - Accent2 2 3 3 5" xfId="1935"/>
    <cellStyle name="40% - Accent2 2 3 3 6" xfId="1936"/>
    <cellStyle name="40% - Accent2 2 3 4" xfId="1937"/>
    <cellStyle name="40% - Accent2 2 3 4 2" xfId="1938"/>
    <cellStyle name="40% - Accent2 2 3 4 3" xfId="1939"/>
    <cellStyle name="40% - Accent2 2 3 4 4" xfId="1940"/>
    <cellStyle name="40% - Accent2 2 3 5" xfId="1941"/>
    <cellStyle name="40% - Accent2 2 3 5 2" xfId="1942"/>
    <cellStyle name="40% - Accent2 2 3 5 3" xfId="1943"/>
    <cellStyle name="40% - Accent2 2 3 6" xfId="1944"/>
    <cellStyle name="40% - Accent2 2 3 7" xfId="1945"/>
    <cellStyle name="40% - Accent2 2 3 8" xfId="1946"/>
    <cellStyle name="40% - Accent2 2 4" xfId="1947"/>
    <cellStyle name="40% - Accent2 2 4 2" xfId="1948"/>
    <cellStyle name="40% - Accent2 2 4 2 2" xfId="1949"/>
    <cellStyle name="40% - Accent2 2 4 2 3" xfId="1950"/>
    <cellStyle name="40% - Accent2 2 4 2 4" xfId="1951"/>
    <cellStyle name="40% - Accent2 2 4 3" xfId="1952"/>
    <cellStyle name="40% - Accent2 2 4 3 2" xfId="1953"/>
    <cellStyle name="40% - Accent2 2 4 3 3" xfId="1954"/>
    <cellStyle name="40% - Accent2 2 4 4" xfId="1955"/>
    <cellStyle name="40% - Accent2 2 4 5" xfId="1956"/>
    <cellStyle name="40% - Accent2 2 4 6" xfId="1957"/>
    <cellStyle name="40% - Accent2 2 5" xfId="1958"/>
    <cellStyle name="40% - Accent2 2 5 2" xfId="1959"/>
    <cellStyle name="40% - Accent2 2 5 3" xfId="1960"/>
    <cellStyle name="40% - Accent2 2 6" xfId="1961"/>
    <cellStyle name="40% - Accent2 2 7" xfId="1962"/>
    <cellStyle name="40% - Accent2 2 8" xfId="1963"/>
    <cellStyle name="40% - Accent2 2 9" xfId="1964"/>
    <cellStyle name="40% - Accent2 3" xfId="1965"/>
    <cellStyle name="40% - Accent2 3 2" xfId="1966"/>
    <cellStyle name="40% - Accent2 3 2 2" xfId="1967"/>
    <cellStyle name="40% - Accent2 3 2 2 2" xfId="1968"/>
    <cellStyle name="40% - Accent2 3 2 2 2 2" xfId="1969"/>
    <cellStyle name="40% - Accent2 3 2 2 2 2 2" xfId="1970"/>
    <cellStyle name="40% - Accent2 3 2 2 2 2 2 2" xfId="1971"/>
    <cellStyle name="40% - Accent2 3 2 2 2 2 2 2 2" xfId="1972"/>
    <cellStyle name="40% - Accent2 3 2 2 2 2 2 3" xfId="1973"/>
    <cellStyle name="40% - Accent2 3 2 2 2 2 2 3 2" xfId="1974"/>
    <cellStyle name="40% - Accent2 3 2 2 2 2 2 4" xfId="1975"/>
    <cellStyle name="40% - Accent2 3 2 2 2 2 3" xfId="1976"/>
    <cellStyle name="40% - Accent2 3 2 2 2 2 3 2" xfId="1977"/>
    <cellStyle name="40% - Accent2 3 2 2 2 2 4" xfId="1978"/>
    <cellStyle name="40% - Accent2 3 2 2 2 2 4 2" xfId="1979"/>
    <cellStyle name="40% - Accent2 3 2 2 2 2 5" xfId="1980"/>
    <cellStyle name="40% - Accent2 3 2 2 2 3" xfId="1981"/>
    <cellStyle name="40% - Accent2 3 2 2 2 3 2" xfId="1982"/>
    <cellStyle name="40% - Accent2 3 2 2 2 3 2 2" xfId="1983"/>
    <cellStyle name="40% - Accent2 3 2 2 2 3 3" xfId="1984"/>
    <cellStyle name="40% - Accent2 3 2 2 2 3 3 2" xfId="1985"/>
    <cellStyle name="40% - Accent2 3 2 2 2 3 4" xfId="1986"/>
    <cellStyle name="40% - Accent2 3 2 2 2 4" xfId="1987"/>
    <cellStyle name="40% - Accent2 3 2 2 2 4 2" xfId="1988"/>
    <cellStyle name="40% - Accent2 3 2 2 2 5" xfId="1989"/>
    <cellStyle name="40% - Accent2 3 2 2 2 5 2" xfId="1990"/>
    <cellStyle name="40% - Accent2 3 2 2 2 6" xfId="1991"/>
    <cellStyle name="40% - Accent2 3 2 2 3" xfId="1992"/>
    <cellStyle name="40% - Accent2 3 2 2 3 2" xfId="1993"/>
    <cellStyle name="40% - Accent2 3 2 2 3 2 2" xfId="1994"/>
    <cellStyle name="40% - Accent2 3 2 2 3 2 2 2" xfId="1995"/>
    <cellStyle name="40% - Accent2 3 2 2 3 2 3" xfId="1996"/>
    <cellStyle name="40% - Accent2 3 2 2 3 2 3 2" xfId="1997"/>
    <cellStyle name="40% - Accent2 3 2 2 3 2 4" xfId="1998"/>
    <cellStyle name="40% - Accent2 3 2 2 3 3" xfId="1999"/>
    <cellStyle name="40% - Accent2 3 2 2 3 3 2" xfId="2000"/>
    <cellStyle name="40% - Accent2 3 2 2 3 4" xfId="2001"/>
    <cellStyle name="40% - Accent2 3 2 2 3 4 2" xfId="2002"/>
    <cellStyle name="40% - Accent2 3 2 2 3 5" xfId="2003"/>
    <cellStyle name="40% - Accent2 3 2 2 4" xfId="2004"/>
    <cellStyle name="40% - Accent2 3 2 2 4 2" xfId="2005"/>
    <cellStyle name="40% - Accent2 3 2 2 4 2 2" xfId="2006"/>
    <cellStyle name="40% - Accent2 3 2 2 4 3" xfId="2007"/>
    <cellStyle name="40% - Accent2 3 2 2 4 3 2" xfId="2008"/>
    <cellStyle name="40% - Accent2 3 2 2 4 4" xfId="2009"/>
    <cellStyle name="40% - Accent2 3 2 2 5" xfId="2010"/>
    <cellStyle name="40% - Accent2 3 2 2 5 2" xfId="2011"/>
    <cellStyle name="40% - Accent2 3 2 2 6" xfId="2012"/>
    <cellStyle name="40% - Accent2 3 2 2 6 2" xfId="2013"/>
    <cellStyle name="40% - Accent2 3 2 2 7" xfId="2014"/>
    <cellStyle name="40% - Accent2 3 2 3" xfId="2015"/>
    <cellStyle name="40% - Accent2 3 3" xfId="2016"/>
    <cellStyle name="40% - Accent2 4" xfId="2017"/>
    <cellStyle name="40% - Accent2 4 2" xfId="2018"/>
    <cellStyle name="40% - Accent2 4 2 2" xfId="2019"/>
    <cellStyle name="40% - Accent2 4 2 2 2" xfId="2020"/>
    <cellStyle name="40% - Accent2 4 2 2 2 2" xfId="2021"/>
    <cellStyle name="40% - Accent2 4 2 2 2 2 2" xfId="2022"/>
    <cellStyle name="40% - Accent2 4 2 2 2 3" xfId="2023"/>
    <cellStyle name="40% - Accent2 4 2 2 2 3 2" xfId="2024"/>
    <cellStyle name="40% - Accent2 4 2 2 2 4" xfId="2025"/>
    <cellStyle name="40% - Accent2 4 2 2 3" xfId="2026"/>
    <cellStyle name="40% - Accent2 4 2 2 3 2" xfId="2027"/>
    <cellStyle name="40% - Accent2 4 2 2 4" xfId="2028"/>
    <cellStyle name="40% - Accent2 4 2 2 4 2" xfId="2029"/>
    <cellStyle name="40% - Accent2 4 2 2 5" xfId="2030"/>
    <cellStyle name="40% - Accent2 4 2 3" xfId="2031"/>
    <cellStyle name="40% - Accent2 4 2 3 2" xfId="2032"/>
    <cellStyle name="40% - Accent2 4 2 3 2 2" xfId="2033"/>
    <cellStyle name="40% - Accent2 4 2 3 3" xfId="2034"/>
    <cellStyle name="40% - Accent2 4 2 3 3 2" xfId="2035"/>
    <cellStyle name="40% - Accent2 4 2 3 4" xfId="2036"/>
    <cellStyle name="40% - Accent2 4 2 4" xfId="2037"/>
    <cellStyle name="40% - Accent2 4 2 4 2" xfId="2038"/>
    <cellStyle name="40% - Accent2 4 2 5" xfId="2039"/>
    <cellStyle name="40% - Accent2 4 2 5 2" xfId="2040"/>
    <cellStyle name="40% - Accent2 4 2 6" xfId="2041"/>
    <cellStyle name="40% - Accent2 4 3" xfId="2042"/>
    <cellStyle name="40% - Accent2 4 3 2" xfId="2043"/>
    <cellStyle name="40% - Accent2 4 3 2 2" xfId="2044"/>
    <cellStyle name="40% - Accent2 4 3 2 2 2" xfId="2045"/>
    <cellStyle name="40% - Accent2 4 3 2 3" xfId="2046"/>
    <cellStyle name="40% - Accent2 4 3 2 3 2" xfId="2047"/>
    <cellStyle name="40% - Accent2 4 3 2 4" xfId="2048"/>
    <cellStyle name="40% - Accent2 4 3 3" xfId="2049"/>
    <cellStyle name="40% - Accent2 4 3 3 2" xfId="2050"/>
    <cellStyle name="40% - Accent2 4 3 4" xfId="2051"/>
    <cellStyle name="40% - Accent2 4 3 4 2" xfId="2052"/>
    <cellStyle name="40% - Accent2 4 3 5" xfId="2053"/>
    <cellStyle name="40% - Accent2 4 4" xfId="2054"/>
    <cellStyle name="40% - Accent2 4 4 2" xfId="2055"/>
    <cellStyle name="40% - Accent2 4 4 2 2" xfId="2056"/>
    <cellStyle name="40% - Accent2 4 4 3" xfId="2057"/>
    <cellStyle name="40% - Accent2 4 4 3 2" xfId="2058"/>
    <cellStyle name="40% - Accent2 4 4 4" xfId="2059"/>
    <cellStyle name="40% - Accent2 4 5" xfId="2060"/>
    <cellStyle name="40% - Accent2 4 5 2" xfId="2061"/>
    <cellStyle name="40% - Accent2 4 6" xfId="2062"/>
    <cellStyle name="40% - Accent2 4 6 2" xfId="2063"/>
    <cellStyle name="40% - Accent2 4 7" xfId="2064"/>
    <cellStyle name="40% - Accent2 5" xfId="2065"/>
    <cellStyle name="40% - Accent2 5 2" xfId="2066"/>
    <cellStyle name="40% - Accent2 5 2 2" xfId="2067"/>
    <cellStyle name="40% - Accent2 5 2 2 2" xfId="2068"/>
    <cellStyle name="40% - Accent2 5 2 2 2 2" xfId="2069"/>
    <cellStyle name="40% - Accent2 5 2 2 3" xfId="2070"/>
    <cellStyle name="40% - Accent2 5 2 2 3 2" xfId="2071"/>
    <cellStyle name="40% - Accent2 5 2 2 4" xfId="2072"/>
    <cellStyle name="40% - Accent2 5 2 3" xfId="2073"/>
    <cellStyle name="40% - Accent2 5 2 3 2" xfId="2074"/>
    <cellStyle name="40% - Accent2 5 2 4" xfId="2075"/>
    <cellStyle name="40% - Accent2 5 2 4 2" xfId="2076"/>
    <cellStyle name="40% - Accent2 5 2 5" xfId="2077"/>
    <cellStyle name="40% - Accent2 5 3" xfId="2078"/>
    <cellStyle name="40% - Accent2 5 3 2" xfId="2079"/>
    <cellStyle name="40% - Accent2 5 3 2 2" xfId="2080"/>
    <cellStyle name="40% - Accent2 5 3 2 2 2" xfId="2081"/>
    <cellStyle name="40% - Accent2 5 3 2 3" xfId="2082"/>
    <cellStyle name="40% - Accent2 5 3 2 3 2" xfId="2083"/>
    <cellStyle name="40% - Accent2 5 3 2 4" xfId="2084"/>
    <cellStyle name="40% - Accent2 5 3 3" xfId="2085"/>
    <cellStyle name="40% - Accent2 5 3 3 2" xfId="2086"/>
    <cellStyle name="40% - Accent2 5 3 3 2 2" xfId="2087"/>
    <cellStyle name="40% - Accent2 5 3 3 3" xfId="2088"/>
    <cellStyle name="40% - Accent2 5 3 3 3 2" xfId="2089"/>
    <cellStyle name="40% - Accent2 5 3 3 4" xfId="2090"/>
    <cellStyle name="40% - Accent2 5 3 4" xfId="2091"/>
    <cellStyle name="40% - Accent2 5 3 4 2" xfId="2092"/>
    <cellStyle name="40% - Accent2 5 3 5" xfId="2093"/>
    <cellStyle name="40% - Accent2 5 3 5 2" xfId="2094"/>
    <cellStyle name="40% - Accent2 5 3 6" xfId="2095"/>
    <cellStyle name="40% - Accent2 5 4" xfId="2096"/>
    <cellStyle name="40% - Accent2 5 4 2" xfId="2097"/>
    <cellStyle name="40% - Accent2 5 4 2 2" xfId="2098"/>
    <cellStyle name="40% - Accent2 5 4 3" xfId="2099"/>
    <cellStyle name="40% - Accent2 5 4 3 2" xfId="2100"/>
    <cellStyle name="40% - Accent2 5 4 4" xfId="2101"/>
    <cellStyle name="40% - Accent2 5 5" xfId="2102"/>
    <cellStyle name="40% - Accent2 5 5 2" xfId="2103"/>
    <cellStyle name="40% - Accent2 5 6" xfId="2104"/>
    <cellStyle name="40% - Accent2 5 6 2" xfId="2105"/>
    <cellStyle name="40% - Accent2 5 7" xfId="2106"/>
    <cellStyle name="40% - Accent2 6" xfId="2107"/>
    <cellStyle name="40% - Accent2 6 2" xfId="2108"/>
    <cellStyle name="40% - Accent2 6 2 2" xfId="2109"/>
    <cellStyle name="40% - Accent2 6 2 2 2" xfId="2110"/>
    <cellStyle name="40% - Accent2 6 2 3" xfId="2111"/>
    <cellStyle name="40% - Accent2 6 2 3 2" xfId="2112"/>
    <cellStyle name="40% - Accent2 6 2 4" xfId="2113"/>
    <cellStyle name="40% - Accent2 6 3" xfId="2114"/>
    <cellStyle name="40% - Accent2 6 3 2" xfId="2115"/>
    <cellStyle name="40% - Accent2 6 4" xfId="2116"/>
    <cellStyle name="40% - Accent2 6 4 2" xfId="2117"/>
    <cellStyle name="40% - Accent2 6 5" xfId="2118"/>
    <cellStyle name="40% - Accent3 2" xfId="2119"/>
    <cellStyle name="40% - Accent3 2 2" xfId="2120"/>
    <cellStyle name="40% - Accent3 2 2 2" xfId="2121"/>
    <cellStyle name="40% - Accent3 2 2 2 2" xfId="2122"/>
    <cellStyle name="40% - Accent3 2 2 2 2 2" xfId="2123"/>
    <cellStyle name="40% - Accent3 2 2 2 2 2 2" xfId="2124"/>
    <cellStyle name="40% - Accent3 2 2 2 2 2 3" xfId="2125"/>
    <cellStyle name="40% - Accent3 2 2 2 2 2 4" xfId="2126"/>
    <cellStyle name="40% - Accent3 2 2 2 2 3" xfId="2127"/>
    <cellStyle name="40% - Accent3 2 2 2 2 3 2" xfId="2128"/>
    <cellStyle name="40% - Accent3 2 2 2 2 3 3" xfId="2129"/>
    <cellStyle name="40% - Accent3 2 2 2 2 4" xfId="2130"/>
    <cellStyle name="40% - Accent3 2 2 2 2 5" xfId="2131"/>
    <cellStyle name="40% - Accent3 2 2 2 2 6" xfId="2132"/>
    <cellStyle name="40% - Accent3 2 2 2 3" xfId="2133"/>
    <cellStyle name="40% - Accent3 2 2 2 3 2" xfId="2134"/>
    <cellStyle name="40% - Accent3 2 2 2 3 3" xfId="2135"/>
    <cellStyle name="40% - Accent3 2 2 2 3 4" xfId="2136"/>
    <cellStyle name="40% - Accent3 2 2 2 4" xfId="2137"/>
    <cellStyle name="40% - Accent3 2 2 2 4 2" xfId="2138"/>
    <cellStyle name="40% - Accent3 2 2 2 4 3" xfId="2139"/>
    <cellStyle name="40% - Accent3 2 2 2 4 4" xfId="2140"/>
    <cellStyle name="40% - Accent3 2 2 2 5" xfId="2141"/>
    <cellStyle name="40% - Accent3 2 2 2 5 2" xfId="2142"/>
    <cellStyle name="40% - Accent3 2 2 2 5 3" xfId="2143"/>
    <cellStyle name="40% - Accent3 2 2 2 6" xfId="2144"/>
    <cellStyle name="40% - Accent3 2 2 2 7" xfId="2145"/>
    <cellStyle name="40% - Accent3 2 2 2 8" xfId="2146"/>
    <cellStyle name="40% - Accent3 2 2 3" xfId="2147"/>
    <cellStyle name="40% - Accent3 2 2 3 2" xfId="2148"/>
    <cellStyle name="40% - Accent3 2 2 3 2 2" xfId="2149"/>
    <cellStyle name="40% - Accent3 2 2 3 2 3" xfId="2150"/>
    <cellStyle name="40% - Accent3 2 2 3 2 4" xfId="2151"/>
    <cellStyle name="40% - Accent3 2 2 3 3" xfId="2152"/>
    <cellStyle name="40% - Accent3 2 2 3 3 2" xfId="2153"/>
    <cellStyle name="40% - Accent3 2 2 3 3 3" xfId="2154"/>
    <cellStyle name="40% - Accent3 2 2 3 4" xfId="2155"/>
    <cellStyle name="40% - Accent3 2 2 3 5" xfId="2156"/>
    <cellStyle name="40% - Accent3 2 2 3 6" xfId="2157"/>
    <cellStyle name="40% - Accent3 2 2 4" xfId="2158"/>
    <cellStyle name="40% - Accent3 2 2 4 2" xfId="2159"/>
    <cellStyle name="40% - Accent3 2 2 4 3" xfId="2160"/>
    <cellStyle name="40% - Accent3 2 2 4 4" xfId="2161"/>
    <cellStyle name="40% - Accent3 2 2 5" xfId="2162"/>
    <cellStyle name="40% - Accent3 2 2 5 2" xfId="2163"/>
    <cellStyle name="40% - Accent3 2 2 5 3" xfId="2164"/>
    <cellStyle name="40% - Accent3 2 2 6" xfId="2165"/>
    <cellStyle name="40% - Accent3 2 2 7" xfId="2166"/>
    <cellStyle name="40% - Accent3 2 2 8" xfId="2167"/>
    <cellStyle name="40% - Accent3 2 3" xfId="2168"/>
    <cellStyle name="40% - Accent3 2 3 2" xfId="2169"/>
    <cellStyle name="40% - Accent3 2 3 2 2" xfId="2170"/>
    <cellStyle name="40% - Accent3 2 3 2 2 2" xfId="2171"/>
    <cellStyle name="40% - Accent3 2 3 2 2 3" xfId="2172"/>
    <cellStyle name="40% - Accent3 2 3 2 2 4" xfId="2173"/>
    <cellStyle name="40% - Accent3 2 3 2 3" xfId="2174"/>
    <cellStyle name="40% - Accent3 2 3 2 3 2" xfId="2175"/>
    <cellStyle name="40% - Accent3 2 3 2 3 3" xfId="2176"/>
    <cellStyle name="40% - Accent3 2 3 2 4" xfId="2177"/>
    <cellStyle name="40% - Accent3 2 3 2 5" xfId="2178"/>
    <cellStyle name="40% - Accent3 2 3 2 6" xfId="2179"/>
    <cellStyle name="40% - Accent3 2 3 3" xfId="2180"/>
    <cellStyle name="40% - Accent3 2 3 3 2" xfId="2181"/>
    <cellStyle name="40% - Accent3 2 3 3 2 2" xfId="2182"/>
    <cellStyle name="40% - Accent3 2 3 3 2 3" xfId="2183"/>
    <cellStyle name="40% - Accent3 2 3 3 2 4" xfId="2184"/>
    <cellStyle name="40% - Accent3 2 3 3 3" xfId="2185"/>
    <cellStyle name="40% - Accent3 2 3 3 3 2" xfId="2186"/>
    <cellStyle name="40% - Accent3 2 3 3 3 3" xfId="2187"/>
    <cellStyle name="40% - Accent3 2 3 3 4" xfId="2188"/>
    <cellStyle name="40% - Accent3 2 3 3 5" xfId="2189"/>
    <cellStyle name="40% - Accent3 2 3 3 6" xfId="2190"/>
    <cellStyle name="40% - Accent3 2 3 4" xfId="2191"/>
    <cellStyle name="40% - Accent3 2 3 4 2" xfId="2192"/>
    <cellStyle name="40% - Accent3 2 3 4 3" xfId="2193"/>
    <cellStyle name="40% - Accent3 2 3 4 4" xfId="2194"/>
    <cellStyle name="40% - Accent3 2 3 5" xfId="2195"/>
    <cellStyle name="40% - Accent3 2 3 5 2" xfId="2196"/>
    <cellStyle name="40% - Accent3 2 3 5 3" xfId="2197"/>
    <cellStyle name="40% - Accent3 2 3 6" xfId="2198"/>
    <cellStyle name="40% - Accent3 2 3 7" xfId="2199"/>
    <cellStyle name="40% - Accent3 2 3 8" xfId="2200"/>
    <cellStyle name="40% - Accent3 2 4" xfId="2201"/>
    <cellStyle name="40% - Accent3 2 4 2" xfId="2202"/>
    <cellStyle name="40% - Accent3 2 4 2 2" xfId="2203"/>
    <cellStyle name="40% - Accent3 2 4 2 3" xfId="2204"/>
    <cellStyle name="40% - Accent3 2 4 2 4" xfId="2205"/>
    <cellStyle name="40% - Accent3 2 4 3" xfId="2206"/>
    <cellStyle name="40% - Accent3 2 4 3 2" xfId="2207"/>
    <cellStyle name="40% - Accent3 2 4 3 3" xfId="2208"/>
    <cellStyle name="40% - Accent3 2 4 4" xfId="2209"/>
    <cellStyle name="40% - Accent3 2 4 5" xfId="2210"/>
    <cellStyle name="40% - Accent3 2 4 6" xfId="2211"/>
    <cellStyle name="40% - Accent3 2 5" xfId="2212"/>
    <cellStyle name="40% - Accent3 2 5 2" xfId="2213"/>
    <cellStyle name="40% - Accent3 2 5 3" xfId="2214"/>
    <cellStyle name="40% - Accent3 2 6" xfId="2215"/>
    <cellStyle name="40% - Accent3 2 7" xfId="2216"/>
    <cellStyle name="40% - Accent3 2 8" xfId="2217"/>
    <cellStyle name="40% - Accent3 2 9" xfId="2218"/>
    <cellStyle name="40% - Accent3 3" xfId="2219"/>
    <cellStyle name="40% - Accent3 3 2" xfId="2220"/>
    <cellStyle name="40% - Accent3 3 2 2" xfId="2221"/>
    <cellStyle name="40% - Accent3 3 2 2 2" xfId="2222"/>
    <cellStyle name="40% - Accent3 3 2 2 2 2" xfId="2223"/>
    <cellStyle name="40% - Accent3 3 2 2 2 2 2" xfId="2224"/>
    <cellStyle name="40% - Accent3 3 2 2 2 2 2 2" xfId="2225"/>
    <cellStyle name="40% - Accent3 3 2 2 2 2 2 2 2" xfId="2226"/>
    <cellStyle name="40% - Accent3 3 2 2 2 2 2 3" xfId="2227"/>
    <cellStyle name="40% - Accent3 3 2 2 2 2 2 3 2" xfId="2228"/>
    <cellStyle name="40% - Accent3 3 2 2 2 2 2 4" xfId="2229"/>
    <cellStyle name="40% - Accent3 3 2 2 2 2 3" xfId="2230"/>
    <cellStyle name="40% - Accent3 3 2 2 2 2 3 2" xfId="2231"/>
    <cellStyle name="40% - Accent3 3 2 2 2 2 4" xfId="2232"/>
    <cellStyle name="40% - Accent3 3 2 2 2 2 4 2" xfId="2233"/>
    <cellStyle name="40% - Accent3 3 2 2 2 2 5" xfId="2234"/>
    <cellStyle name="40% - Accent3 3 2 2 2 3" xfId="2235"/>
    <cellStyle name="40% - Accent3 3 2 2 2 3 2" xfId="2236"/>
    <cellStyle name="40% - Accent3 3 2 2 2 3 2 2" xfId="2237"/>
    <cellStyle name="40% - Accent3 3 2 2 2 3 3" xfId="2238"/>
    <cellStyle name="40% - Accent3 3 2 2 2 3 3 2" xfId="2239"/>
    <cellStyle name="40% - Accent3 3 2 2 2 3 4" xfId="2240"/>
    <cellStyle name="40% - Accent3 3 2 2 2 4" xfId="2241"/>
    <cellStyle name="40% - Accent3 3 2 2 2 4 2" xfId="2242"/>
    <cellStyle name="40% - Accent3 3 2 2 2 5" xfId="2243"/>
    <cellStyle name="40% - Accent3 3 2 2 2 5 2" xfId="2244"/>
    <cellStyle name="40% - Accent3 3 2 2 2 6" xfId="2245"/>
    <cellStyle name="40% - Accent3 3 2 2 3" xfId="2246"/>
    <cellStyle name="40% - Accent3 3 2 2 3 2" xfId="2247"/>
    <cellStyle name="40% - Accent3 3 2 2 3 2 2" xfId="2248"/>
    <cellStyle name="40% - Accent3 3 2 2 3 2 2 2" xfId="2249"/>
    <cellStyle name="40% - Accent3 3 2 2 3 2 3" xfId="2250"/>
    <cellStyle name="40% - Accent3 3 2 2 3 2 3 2" xfId="2251"/>
    <cellStyle name="40% - Accent3 3 2 2 3 2 4" xfId="2252"/>
    <cellStyle name="40% - Accent3 3 2 2 3 3" xfId="2253"/>
    <cellStyle name="40% - Accent3 3 2 2 3 3 2" xfId="2254"/>
    <cellStyle name="40% - Accent3 3 2 2 3 4" xfId="2255"/>
    <cellStyle name="40% - Accent3 3 2 2 3 4 2" xfId="2256"/>
    <cellStyle name="40% - Accent3 3 2 2 3 5" xfId="2257"/>
    <cellStyle name="40% - Accent3 3 2 2 4" xfId="2258"/>
    <cellStyle name="40% - Accent3 3 2 2 4 2" xfId="2259"/>
    <cellStyle name="40% - Accent3 3 2 2 4 2 2" xfId="2260"/>
    <cellStyle name="40% - Accent3 3 2 2 4 3" xfId="2261"/>
    <cellStyle name="40% - Accent3 3 2 2 4 3 2" xfId="2262"/>
    <cellStyle name="40% - Accent3 3 2 2 4 4" xfId="2263"/>
    <cellStyle name="40% - Accent3 3 2 2 5" xfId="2264"/>
    <cellStyle name="40% - Accent3 3 2 2 5 2" xfId="2265"/>
    <cellStyle name="40% - Accent3 3 2 2 6" xfId="2266"/>
    <cellStyle name="40% - Accent3 3 2 2 6 2" xfId="2267"/>
    <cellStyle name="40% - Accent3 3 2 2 7" xfId="2268"/>
    <cellStyle name="40% - Accent3 3 2 3" xfId="2269"/>
    <cellStyle name="40% - Accent3 3 3" xfId="2270"/>
    <cellStyle name="40% - Accent3 4" xfId="2271"/>
    <cellStyle name="40% - Accent3 4 2" xfId="2272"/>
    <cellStyle name="40% - Accent3 4 2 2" xfId="2273"/>
    <cellStyle name="40% - Accent3 4 2 2 2" xfId="2274"/>
    <cellStyle name="40% - Accent3 4 2 2 2 2" xfId="2275"/>
    <cellStyle name="40% - Accent3 4 2 2 2 2 2" xfId="2276"/>
    <cellStyle name="40% - Accent3 4 2 2 2 3" xfId="2277"/>
    <cellStyle name="40% - Accent3 4 2 2 2 3 2" xfId="2278"/>
    <cellStyle name="40% - Accent3 4 2 2 2 4" xfId="2279"/>
    <cellStyle name="40% - Accent3 4 2 2 3" xfId="2280"/>
    <cellStyle name="40% - Accent3 4 2 2 3 2" xfId="2281"/>
    <cellStyle name="40% - Accent3 4 2 2 4" xfId="2282"/>
    <cellStyle name="40% - Accent3 4 2 2 4 2" xfId="2283"/>
    <cellStyle name="40% - Accent3 4 2 2 5" xfId="2284"/>
    <cellStyle name="40% - Accent3 4 2 3" xfId="2285"/>
    <cellStyle name="40% - Accent3 4 2 3 2" xfId="2286"/>
    <cellStyle name="40% - Accent3 4 2 3 2 2" xfId="2287"/>
    <cellStyle name="40% - Accent3 4 2 3 3" xfId="2288"/>
    <cellStyle name="40% - Accent3 4 2 3 3 2" xfId="2289"/>
    <cellStyle name="40% - Accent3 4 2 3 4" xfId="2290"/>
    <cellStyle name="40% - Accent3 4 2 4" xfId="2291"/>
    <cellStyle name="40% - Accent3 4 2 4 2" xfId="2292"/>
    <cellStyle name="40% - Accent3 4 2 5" xfId="2293"/>
    <cellStyle name="40% - Accent3 4 2 5 2" xfId="2294"/>
    <cellStyle name="40% - Accent3 4 2 6" xfId="2295"/>
    <cellStyle name="40% - Accent3 4 3" xfId="2296"/>
    <cellStyle name="40% - Accent3 4 3 2" xfId="2297"/>
    <cellStyle name="40% - Accent3 4 3 2 2" xfId="2298"/>
    <cellStyle name="40% - Accent3 4 3 2 2 2" xfId="2299"/>
    <cellStyle name="40% - Accent3 4 3 2 3" xfId="2300"/>
    <cellStyle name="40% - Accent3 4 3 2 3 2" xfId="2301"/>
    <cellStyle name="40% - Accent3 4 3 2 4" xfId="2302"/>
    <cellStyle name="40% - Accent3 4 3 3" xfId="2303"/>
    <cellStyle name="40% - Accent3 4 3 3 2" xfId="2304"/>
    <cellStyle name="40% - Accent3 4 3 4" xfId="2305"/>
    <cellStyle name="40% - Accent3 4 3 4 2" xfId="2306"/>
    <cellStyle name="40% - Accent3 4 3 5" xfId="2307"/>
    <cellStyle name="40% - Accent3 4 4" xfId="2308"/>
    <cellStyle name="40% - Accent3 4 4 2" xfId="2309"/>
    <cellStyle name="40% - Accent3 4 4 2 2" xfId="2310"/>
    <cellStyle name="40% - Accent3 4 4 3" xfId="2311"/>
    <cellStyle name="40% - Accent3 4 4 3 2" xfId="2312"/>
    <cellStyle name="40% - Accent3 4 4 4" xfId="2313"/>
    <cellStyle name="40% - Accent3 4 5" xfId="2314"/>
    <cellStyle name="40% - Accent3 4 5 2" xfId="2315"/>
    <cellStyle name="40% - Accent3 4 6" xfId="2316"/>
    <cellStyle name="40% - Accent3 4 6 2" xfId="2317"/>
    <cellStyle name="40% - Accent3 4 7" xfId="2318"/>
    <cellStyle name="40% - Accent3 5" xfId="2319"/>
    <cellStyle name="40% - Accent3 5 2" xfId="2320"/>
    <cellStyle name="40% - Accent3 5 2 2" xfId="2321"/>
    <cellStyle name="40% - Accent3 5 2 2 2" xfId="2322"/>
    <cellStyle name="40% - Accent3 5 2 2 2 2" xfId="2323"/>
    <cellStyle name="40% - Accent3 5 2 2 3" xfId="2324"/>
    <cellStyle name="40% - Accent3 5 2 2 3 2" xfId="2325"/>
    <cellStyle name="40% - Accent3 5 2 2 4" xfId="2326"/>
    <cellStyle name="40% - Accent3 5 2 3" xfId="2327"/>
    <cellStyle name="40% - Accent3 5 2 3 2" xfId="2328"/>
    <cellStyle name="40% - Accent3 5 2 4" xfId="2329"/>
    <cellStyle name="40% - Accent3 5 2 4 2" xfId="2330"/>
    <cellStyle name="40% - Accent3 5 2 5" xfId="2331"/>
    <cellStyle name="40% - Accent3 5 3" xfId="2332"/>
    <cellStyle name="40% - Accent3 5 3 2" xfId="2333"/>
    <cellStyle name="40% - Accent3 5 3 2 2" xfId="2334"/>
    <cellStyle name="40% - Accent3 5 3 2 2 2" xfId="2335"/>
    <cellStyle name="40% - Accent3 5 3 2 3" xfId="2336"/>
    <cellStyle name="40% - Accent3 5 3 2 3 2" xfId="2337"/>
    <cellStyle name="40% - Accent3 5 3 2 4" xfId="2338"/>
    <cellStyle name="40% - Accent3 5 3 3" xfId="2339"/>
    <cellStyle name="40% - Accent3 5 3 3 2" xfId="2340"/>
    <cellStyle name="40% - Accent3 5 3 3 2 2" xfId="2341"/>
    <cellStyle name="40% - Accent3 5 3 3 3" xfId="2342"/>
    <cellStyle name="40% - Accent3 5 3 3 3 2" xfId="2343"/>
    <cellStyle name="40% - Accent3 5 3 3 4" xfId="2344"/>
    <cellStyle name="40% - Accent3 5 3 4" xfId="2345"/>
    <cellStyle name="40% - Accent3 5 3 4 2" xfId="2346"/>
    <cellStyle name="40% - Accent3 5 3 5" xfId="2347"/>
    <cellStyle name="40% - Accent3 5 3 5 2" xfId="2348"/>
    <cellStyle name="40% - Accent3 5 3 6" xfId="2349"/>
    <cellStyle name="40% - Accent3 5 4" xfId="2350"/>
    <cellStyle name="40% - Accent3 5 4 2" xfId="2351"/>
    <cellStyle name="40% - Accent3 5 4 2 2" xfId="2352"/>
    <cellStyle name="40% - Accent3 5 4 3" xfId="2353"/>
    <cellStyle name="40% - Accent3 5 4 3 2" xfId="2354"/>
    <cellStyle name="40% - Accent3 5 4 4" xfId="2355"/>
    <cellStyle name="40% - Accent3 5 5" xfId="2356"/>
    <cellStyle name="40% - Accent3 5 5 2" xfId="2357"/>
    <cellStyle name="40% - Accent3 5 6" xfId="2358"/>
    <cellStyle name="40% - Accent3 5 6 2" xfId="2359"/>
    <cellStyle name="40% - Accent3 5 7" xfId="2360"/>
    <cellStyle name="40% - Accent3 6" xfId="2361"/>
    <cellStyle name="40% - Accent3 6 2" xfId="2362"/>
    <cellStyle name="40% - Accent3 6 2 2" xfId="2363"/>
    <cellStyle name="40% - Accent3 6 2 2 2" xfId="2364"/>
    <cellStyle name="40% - Accent3 6 2 3" xfId="2365"/>
    <cellStyle name="40% - Accent3 6 2 3 2" xfId="2366"/>
    <cellStyle name="40% - Accent3 6 2 4" xfId="2367"/>
    <cellStyle name="40% - Accent3 6 3" xfId="2368"/>
    <cellStyle name="40% - Accent3 6 3 2" xfId="2369"/>
    <cellStyle name="40% - Accent3 6 4" xfId="2370"/>
    <cellStyle name="40% - Accent3 6 4 2" xfId="2371"/>
    <cellStyle name="40% - Accent3 6 5" xfId="2372"/>
    <cellStyle name="40% - Accent4 2" xfId="2373"/>
    <cellStyle name="40% - Accent4 2 10" xfId="2374"/>
    <cellStyle name="40% - Accent4 2 11" xfId="2375"/>
    <cellStyle name="40% - Accent4 2 2" xfId="2376"/>
    <cellStyle name="40% - Accent4 2 2 10" xfId="2377"/>
    <cellStyle name="40% - Accent4 2 2 2" xfId="2378"/>
    <cellStyle name="40% - Accent4 2 2 2 2" xfId="2379"/>
    <cellStyle name="40% - Accent4 2 2 2 2 2" xfId="2380"/>
    <cellStyle name="40% - Accent4 2 2 2 2 2 2" xfId="2381"/>
    <cellStyle name="40% - Accent4 2 2 2 2 2 3" xfId="2382"/>
    <cellStyle name="40% - Accent4 2 2 2 2 2 4" xfId="2383"/>
    <cellStyle name="40% - Accent4 2 2 2 2 3" xfId="2384"/>
    <cellStyle name="40% - Accent4 2 2 2 2 3 2" xfId="2385"/>
    <cellStyle name="40% - Accent4 2 2 2 2 3 3" xfId="2386"/>
    <cellStyle name="40% - Accent4 2 2 2 2 4" xfId="2387"/>
    <cellStyle name="40% - Accent4 2 2 2 2 5" xfId="2388"/>
    <cellStyle name="40% - Accent4 2 2 2 2 6" xfId="2389"/>
    <cellStyle name="40% - Accent4 2 2 2 3" xfId="2390"/>
    <cellStyle name="40% - Accent4 2 2 2 3 2" xfId="2391"/>
    <cellStyle name="40% - Accent4 2 2 2 3 3" xfId="2392"/>
    <cellStyle name="40% - Accent4 2 2 2 3 4" xfId="2393"/>
    <cellStyle name="40% - Accent4 2 2 2 4" xfId="2394"/>
    <cellStyle name="40% - Accent4 2 2 2 4 2" xfId="2395"/>
    <cellStyle name="40% - Accent4 2 2 2 4 3" xfId="2396"/>
    <cellStyle name="40% - Accent4 2 2 2 4 4" xfId="2397"/>
    <cellStyle name="40% - Accent4 2 2 2 5" xfId="2398"/>
    <cellStyle name="40% - Accent4 2 2 2 5 2" xfId="2399"/>
    <cellStyle name="40% - Accent4 2 2 2 5 3" xfId="2400"/>
    <cellStyle name="40% - Accent4 2 2 2 6" xfId="2401"/>
    <cellStyle name="40% - Accent4 2 2 2 7" xfId="2402"/>
    <cellStyle name="40% - Accent4 2 2 2 8" xfId="2403"/>
    <cellStyle name="40% - Accent4 2 2 3" xfId="2404"/>
    <cellStyle name="40% - Accent4 2 2 3 2" xfId="2405"/>
    <cellStyle name="40% - Accent4 2 2 3 2 2" xfId="2406"/>
    <cellStyle name="40% - Accent4 2 2 3 2 3" xfId="2407"/>
    <cellStyle name="40% - Accent4 2 2 3 2 4" xfId="2408"/>
    <cellStyle name="40% - Accent4 2 2 3 3" xfId="2409"/>
    <cellStyle name="40% - Accent4 2 2 3 3 2" xfId="2410"/>
    <cellStyle name="40% - Accent4 2 2 3 3 3" xfId="2411"/>
    <cellStyle name="40% - Accent4 2 2 3 4" xfId="2412"/>
    <cellStyle name="40% - Accent4 2 2 3 5" xfId="2413"/>
    <cellStyle name="40% - Accent4 2 2 3 6" xfId="2414"/>
    <cellStyle name="40% - Accent4 2 2 4" xfId="2415"/>
    <cellStyle name="40% - Accent4 2 2 4 2" xfId="2416"/>
    <cellStyle name="40% - Accent4 2 2 4 3" xfId="2417"/>
    <cellStyle name="40% - Accent4 2 2 4 4" xfId="2418"/>
    <cellStyle name="40% - Accent4 2 2 5" xfId="2419"/>
    <cellStyle name="40% - Accent4 2 2 5 2" xfId="2420"/>
    <cellStyle name="40% - Accent4 2 2 5 3" xfId="2421"/>
    <cellStyle name="40% - Accent4 2 2 5 4" xfId="2422"/>
    <cellStyle name="40% - Accent4 2 2 6" xfId="2423"/>
    <cellStyle name="40% - Accent4 2 2 6 2" xfId="2424"/>
    <cellStyle name="40% - Accent4 2 2 6 3" xfId="2425"/>
    <cellStyle name="40% - Accent4 2 2 7" xfId="2426"/>
    <cellStyle name="40% - Accent4 2 2 8" xfId="2427"/>
    <cellStyle name="40% - Accent4 2 2 9" xfId="2428"/>
    <cellStyle name="40% - Accent4 2 3" xfId="2429"/>
    <cellStyle name="40% - Accent4 2 3 2" xfId="2430"/>
    <cellStyle name="40% - Accent4 2 3 2 2" xfId="2431"/>
    <cellStyle name="40% - Accent4 2 3 2 2 2" xfId="2432"/>
    <cellStyle name="40% - Accent4 2 3 2 2 3" xfId="2433"/>
    <cellStyle name="40% - Accent4 2 3 2 2 4" xfId="2434"/>
    <cellStyle name="40% - Accent4 2 3 2 3" xfId="2435"/>
    <cellStyle name="40% - Accent4 2 3 2 3 2" xfId="2436"/>
    <cellStyle name="40% - Accent4 2 3 2 3 3" xfId="2437"/>
    <cellStyle name="40% - Accent4 2 3 2 4" xfId="2438"/>
    <cellStyle name="40% - Accent4 2 3 2 5" xfId="2439"/>
    <cellStyle name="40% - Accent4 2 3 2 6" xfId="2440"/>
    <cellStyle name="40% - Accent4 2 3 3" xfId="2441"/>
    <cellStyle name="40% - Accent4 2 3 3 2" xfId="2442"/>
    <cellStyle name="40% - Accent4 2 3 3 2 2" xfId="2443"/>
    <cellStyle name="40% - Accent4 2 3 3 2 3" xfId="2444"/>
    <cellStyle name="40% - Accent4 2 3 3 2 4" xfId="2445"/>
    <cellStyle name="40% - Accent4 2 3 3 3" xfId="2446"/>
    <cellStyle name="40% - Accent4 2 3 3 3 2" xfId="2447"/>
    <cellStyle name="40% - Accent4 2 3 3 3 3" xfId="2448"/>
    <cellStyle name="40% - Accent4 2 3 3 4" xfId="2449"/>
    <cellStyle name="40% - Accent4 2 3 3 5" xfId="2450"/>
    <cellStyle name="40% - Accent4 2 3 3 6" xfId="2451"/>
    <cellStyle name="40% - Accent4 2 3 4" xfId="2452"/>
    <cellStyle name="40% - Accent4 2 3 4 2" xfId="2453"/>
    <cellStyle name="40% - Accent4 2 3 4 3" xfId="2454"/>
    <cellStyle name="40% - Accent4 2 3 4 4" xfId="2455"/>
    <cellStyle name="40% - Accent4 2 3 5" xfId="2456"/>
    <cellStyle name="40% - Accent4 2 3 5 2" xfId="2457"/>
    <cellStyle name="40% - Accent4 2 3 5 3" xfId="2458"/>
    <cellStyle name="40% - Accent4 2 3 6" xfId="2459"/>
    <cellStyle name="40% - Accent4 2 3 7" xfId="2460"/>
    <cellStyle name="40% - Accent4 2 3 8" xfId="2461"/>
    <cellStyle name="40% - Accent4 2 4" xfId="2462"/>
    <cellStyle name="40% - Accent4 2 4 2" xfId="2463"/>
    <cellStyle name="40% - Accent4 2 4 2 2" xfId="2464"/>
    <cellStyle name="40% - Accent4 2 4 2 3" xfId="2465"/>
    <cellStyle name="40% - Accent4 2 4 2 4" xfId="2466"/>
    <cellStyle name="40% - Accent4 2 4 3" xfId="2467"/>
    <cellStyle name="40% - Accent4 2 4 3 2" xfId="2468"/>
    <cellStyle name="40% - Accent4 2 4 3 3" xfId="2469"/>
    <cellStyle name="40% - Accent4 2 4 4" xfId="2470"/>
    <cellStyle name="40% - Accent4 2 4 5" xfId="2471"/>
    <cellStyle name="40% - Accent4 2 4 6" xfId="2472"/>
    <cellStyle name="40% - Accent4 2 5" xfId="2473"/>
    <cellStyle name="40% - Accent4 2 5 2" xfId="2474"/>
    <cellStyle name="40% - Accent4 2 5 2 2" xfId="2475"/>
    <cellStyle name="40% - Accent4 2 5 2 3" xfId="2476"/>
    <cellStyle name="40% - Accent4 2 5 2 4" xfId="2477"/>
    <cellStyle name="40% - Accent4 2 5 3" xfId="2478"/>
    <cellStyle name="40% - Accent4 2 5 3 2" xfId="2479"/>
    <cellStyle name="40% - Accent4 2 5 3 3" xfId="2480"/>
    <cellStyle name="40% - Accent4 2 5 4" xfId="2481"/>
    <cellStyle name="40% - Accent4 2 5 5" xfId="2482"/>
    <cellStyle name="40% - Accent4 2 5 6" xfId="2483"/>
    <cellStyle name="40% - Accent4 2 6" xfId="2484"/>
    <cellStyle name="40% - Accent4 2 6 2" xfId="2485"/>
    <cellStyle name="40% - Accent4 2 6 3" xfId="2486"/>
    <cellStyle name="40% - Accent4 2 6 4" xfId="2487"/>
    <cellStyle name="40% - Accent4 2 7" xfId="2488"/>
    <cellStyle name="40% - Accent4 2 7 2" xfId="2489"/>
    <cellStyle name="40% - Accent4 2 7 3" xfId="2490"/>
    <cellStyle name="40% - Accent4 2 8" xfId="2491"/>
    <cellStyle name="40% - Accent4 2 9" xfId="2492"/>
    <cellStyle name="40% - Accent4 3" xfId="2493"/>
    <cellStyle name="40% - Accent4 3 2" xfId="2494"/>
    <cellStyle name="40% - Accent4 3 2 2" xfId="2495"/>
    <cellStyle name="40% - Accent4 3 2 2 2" xfId="2496"/>
    <cellStyle name="40% - Accent4 3 2 2 2 2" xfId="2497"/>
    <cellStyle name="40% - Accent4 3 2 2 2 2 2" xfId="2498"/>
    <cellStyle name="40% - Accent4 3 2 2 2 2 2 2" xfId="2499"/>
    <cellStyle name="40% - Accent4 3 2 2 2 2 2 2 2" xfId="2500"/>
    <cellStyle name="40% - Accent4 3 2 2 2 2 2 3" xfId="2501"/>
    <cellStyle name="40% - Accent4 3 2 2 2 2 2 3 2" xfId="2502"/>
    <cellStyle name="40% - Accent4 3 2 2 2 2 2 4" xfId="2503"/>
    <cellStyle name="40% - Accent4 3 2 2 2 2 3" xfId="2504"/>
    <cellStyle name="40% - Accent4 3 2 2 2 2 3 2" xfId="2505"/>
    <cellStyle name="40% - Accent4 3 2 2 2 2 4" xfId="2506"/>
    <cellStyle name="40% - Accent4 3 2 2 2 2 4 2" xfId="2507"/>
    <cellStyle name="40% - Accent4 3 2 2 2 2 5" xfId="2508"/>
    <cellStyle name="40% - Accent4 3 2 2 2 3" xfId="2509"/>
    <cellStyle name="40% - Accent4 3 2 2 2 3 2" xfId="2510"/>
    <cellStyle name="40% - Accent4 3 2 2 2 3 2 2" xfId="2511"/>
    <cellStyle name="40% - Accent4 3 2 2 2 3 3" xfId="2512"/>
    <cellStyle name="40% - Accent4 3 2 2 2 3 3 2" xfId="2513"/>
    <cellStyle name="40% - Accent4 3 2 2 2 3 4" xfId="2514"/>
    <cellStyle name="40% - Accent4 3 2 2 2 4" xfId="2515"/>
    <cellStyle name="40% - Accent4 3 2 2 2 4 2" xfId="2516"/>
    <cellStyle name="40% - Accent4 3 2 2 2 5" xfId="2517"/>
    <cellStyle name="40% - Accent4 3 2 2 2 5 2" xfId="2518"/>
    <cellStyle name="40% - Accent4 3 2 2 2 6" xfId="2519"/>
    <cellStyle name="40% - Accent4 3 2 2 3" xfId="2520"/>
    <cellStyle name="40% - Accent4 3 2 2 3 2" xfId="2521"/>
    <cellStyle name="40% - Accent4 3 2 2 3 2 2" xfId="2522"/>
    <cellStyle name="40% - Accent4 3 2 2 3 2 2 2" xfId="2523"/>
    <cellStyle name="40% - Accent4 3 2 2 3 2 3" xfId="2524"/>
    <cellStyle name="40% - Accent4 3 2 2 3 2 3 2" xfId="2525"/>
    <cellStyle name="40% - Accent4 3 2 2 3 2 4" xfId="2526"/>
    <cellStyle name="40% - Accent4 3 2 2 3 3" xfId="2527"/>
    <cellStyle name="40% - Accent4 3 2 2 3 3 2" xfId="2528"/>
    <cellStyle name="40% - Accent4 3 2 2 3 4" xfId="2529"/>
    <cellStyle name="40% - Accent4 3 2 2 3 4 2" xfId="2530"/>
    <cellStyle name="40% - Accent4 3 2 2 3 5" xfId="2531"/>
    <cellStyle name="40% - Accent4 3 2 2 4" xfId="2532"/>
    <cellStyle name="40% - Accent4 3 2 2 4 2" xfId="2533"/>
    <cellStyle name="40% - Accent4 3 2 2 4 2 2" xfId="2534"/>
    <cellStyle name="40% - Accent4 3 2 2 4 3" xfId="2535"/>
    <cellStyle name="40% - Accent4 3 2 2 4 3 2" xfId="2536"/>
    <cellStyle name="40% - Accent4 3 2 2 4 4" xfId="2537"/>
    <cellStyle name="40% - Accent4 3 2 2 5" xfId="2538"/>
    <cellStyle name="40% - Accent4 3 2 2 5 2" xfId="2539"/>
    <cellStyle name="40% - Accent4 3 2 2 6" xfId="2540"/>
    <cellStyle name="40% - Accent4 3 2 2 6 2" xfId="2541"/>
    <cellStyle name="40% - Accent4 3 2 2 7" xfId="2542"/>
    <cellStyle name="40% - Accent4 3 2 3" xfId="2543"/>
    <cellStyle name="40% - Accent4 3 3" xfId="2544"/>
    <cellStyle name="40% - Accent4 4" xfId="2545"/>
    <cellStyle name="40% - Accent4 4 2" xfId="2546"/>
    <cellStyle name="40% - Accent4 4 2 2" xfId="2547"/>
    <cellStyle name="40% - Accent4 4 2 2 2" xfId="2548"/>
    <cellStyle name="40% - Accent4 4 2 2 2 2" xfId="2549"/>
    <cellStyle name="40% - Accent4 4 2 2 2 2 2" xfId="2550"/>
    <cellStyle name="40% - Accent4 4 2 2 2 3" xfId="2551"/>
    <cellStyle name="40% - Accent4 4 2 2 2 3 2" xfId="2552"/>
    <cellStyle name="40% - Accent4 4 2 2 2 4" xfId="2553"/>
    <cellStyle name="40% - Accent4 4 2 2 3" xfId="2554"/>
    <cellStyle name="40% - Accent4 4 2 2 3 2" xfId="2555"/>
    <cellStyle name="40% - Accent4 4 2 2 4" xfId="2556"/>
    <cellStyle name="40% - Accent4 4 2 2 4 2" xfId="2557"/>
    <cellStyle name="40% - Accent4 4 2 2 5" xfId="2558"/>
    <cellStyle name="40% - Accent4 4 2 3" xfId="2559"/>
    <cellStyle name="40% - Accent4 4 2 3 2" xfId="2560"/>
    <cellStyle name="40% - Accent4 4 2 3 2 2" xfId="2561"/>
    <cellStyle name="40% - Accent4 4 2 3 3" xfId="2562"/>
    <cellStyle name="40% - Accent4 4 2 3 3 2" xfId="2563"/>
    <cellStyle name="40% - Accent4 4 2 3 4" xfId="2564"/>
    <cellStyle name="40% - Accent4 4 2 4" xfId="2565"/>
    <cellStyle name="40% - Accent4 4 2 4 2" xfId="2566"/>
    <cellStyle name="40% - Accent4 4 2 5" xfId="2567"/>
    <cellStyle name="40% - Accent4 4 2 5 2" xfId="2568"/>
    <cellStyle name="40% - Accent4 4 2 6" xfId="2569"/>
    <cellStyle name="40% - Accent4 4 3" xfId="2570"/>
    <cellStyle name="40% - Accent4 4 3 2" xfId="2571"/>
    <cellStyle name="40% - Accent4 4 3 2 2" xfId="2572"/>
    <cellStyle name="40% - Accent4 4 3 2 2 2" xfId="2573"/>
    <cellStyle name="40% - Accent4 4 3 2 3" xfId="2574"/>
    <cellStyle name="40% - Accent4 4 3 2 3 2" xfId="2575"/>
    <cellStyle name="40% - Accent4 4 3 2 4" xfId="2576"/>
    <cellStyle name="40% - Accent4 4 3 3" xfId="2577"/>
    <cellStyle name="40% - Accent4 4 3 3 2" xfId="2578"/>
    <cellStyle name="40% - Accent4 4 3 4" xfId="2579"/>
    <cellStyle name="40% - Accent4 4 3 4 2" xfId="2580"/>
    <cellStyle name="40% - Accent4 4 3 5" xfId="2581"/>
    <cellStyle name="40% - Accent4 4 4" xfId="2582"/>
    <cellStyle name="40% - Accent4 4 4 2" xfId="2583"/>
    <cellStyle name="40% - Accent4 4 4 2 2" xfId="2584"/>
    <cellStyle name="40% - Accent4 4 4 3" xfId="2585"/>
    <cellStyle name="40% - Accent4 4 4 3 2" xfId="2586"/>
    <cellStyle name="40% - Accent4 4 4 4" xfId="2587"/>
    <cellStyle name="40% - Accent4 4 5" xfId="2588"/>
    <cellStyle name="40% - Accent4 4 5 2" xfId="2589"/>
    <cellStyle name="40% - Accent4 4 6" xfId="2590"/>
    <cellStyle name="40% - Accent4 4 6 2" xfId="2591"/>
    <cellStyle name="40% - Accent4 4 7" xfId="2592"/>
    <cellStyle name="40% - Accent4 5" xfId="2593"/>
    <cellStyle name="40% - Accent4 5 2" xfId="2594"/>
    <cellStyle name="40% - Accent4 5 2 2" xfId="2595"/>
    <cellStyle name="40% - Accent4 5 2 2 2" xfId="2596"/>
    <cellStyle name="40% - Accent4 5 2 2 2 2" xfId="2597"/>
    <cellStyle name="40% - Accent4 5 2 2 3" xfId="2598"/>
    <cellStyle name="40% - Accent4 5 2 2 3 2" xfId="2599"/>
    <cellStyle name="40% - Accent4 5 2 2 4" xfId="2600"/>
    <cellStyle name="40% - Accent4 5 2 3" xfId="2601"/>
    <cellStyle name="40% - Accent4 5 2 3 2" xfId="2602"/>
    <cellStyle name="40% - Accent4 5 2 4" xfId="2603"/>
    <cellStyle name="40% - Accent4 5 2 4 2" xfId="2604"/>
    <cellStyle name="40% - Accent4 5 2 5" xfId="2605"/>
    <cellStyle name="40% - Accent4 5 3" xfId="2606"/>
    <cellStyle name="40% - Accent4 5 3 2" xfId="2607"/>
    <cellStyle name="40% - Accent4 5 3 2 2" xfId="2608"/>
    <cellStyle name="40% - Accent4 5 3 2 2 2" xfId="2609"/>
    <cellStyle name="40% - Accent4 5 3 2 3" xfId="2610"/>
    <cellStyle name="40% - Accent4 5 3 2 3 2" xfId="2611"/>
    <cellStyle name="40% - Accent4 5 3 2 4" xfId="2612"/>
    <cellStyle name="40% - Accent4 5 3 3" xfId="2613"/>
    <cellStyle name="40% - Accent4 5 3 3 2" xfId="2614"/>
    <cellStyle name="40% - Accent4 5 3 3 2 2" xfId="2615"/>
    <cellStyle name="40% - Accent4 5 3 3 3" xfId="2616"/>
    <cellStyle name="40% - Accent4 5 3 3 3 2" xfId="2617"/>
    <cellStyle name="40% - Accent4 5 3 3 4" xfId="2618"/>
    <cellStyle name="40% - Accent4 5 3 4" xfId="2619"/>
    <cellStyle name="40% - Accent4 5 3 4 2" xfId="2620"/>
    <cellStyle name="40% - Accent4 5 3 5" xfId="2621"/>
    <cellStyle name="40% - Accent4 5 3 5 2" xfId="2622"/>
    <cellStyle name="40% - Accent4 5 3 6" xfId="2623"/>
    <cellStyle name="40% - Accent4 5 4" xfId="2624"/>
    <cellStyle name="40% - Accent4 5 4 2" xfId="2625"/>
    <cellStyle name="40% - Accent4 5 4 2 2" xfId="2626"/>
    <cellStyle name="40% - Accent4 5 4 3" xfId="2627"/>
    <cellStyle name="40% - Accent4 5 4 3 2" xfId="2628"/>
    <cellStyle name="40% - Accent4 5 4 4" xfId="2629"/>
    <cellStyle name="40% - Accent4 5 5" xfId="2630"/>
    <cellStyle name="40% - Accent4 5 5 2" xfId="2631"/>
    <cellStyle name="40% - Accent4 5 6" xfId="2632"/>
    <cellStyle name="40% - Accent4 5 6 2" xfId="2633"/>
    <cellStyle name="40% - Accent4 5 7" xfId="2634"/>
    <cellStyle name="40% - Accent4 6" xfId="2635"/>
    <cellStyle name="40% - Accent4 6 2" xfId="2636"/>
    <cellStyle name="40% - Accent4 6 2 2" xfId="2637"/>
    <cellStyle name="40% - Accent4 6 2 2 2" xfId="2638"/>
    <cellStyle name="40% - Accent4 6 2 3" xfId="2639"/>
    <cellStyle name="40% - Accent4 6 2 3 2" xfId="2640"/>
    <cellStyle name="40% - Accent4 6 2 4" xfId="2641"/>
    <cellStyle name="40% - Accent4 6 3" xfId="2642"/>
    <cellStyle name="40% - Accent4 6 3 2" xfId="2643"/>
    <cellStyle name="40% - Accent4 6 4" xfId="2644"/>
    <cellStyle name="40% - Accent4 6 4 2" xfId="2645"/>
    <cellStyle name="40% - Accent4 6 5" xfId="2646"/>
    <cellStyle name="40% - Accent5 2" xfId="2647"/>
    <cellStyle name="40% - Accent5 2 2" xfId="2648"/>
    <cellStyle name="40% - Accent5 2 2 2" xfId="2649"/>
    <cellStyle name="40% - Accent5 2 2 2 2" xfId="2650"/>
    <cellStyle name="40% - Accent5 2 2 2 2 2" xfId="2651"/>
    <cellStyle name="40% - Accent5 2 2 2 2 2 2" xfId="2652"/>
    <cellStyle name="40% - Accent5 2 2 2 2 2 3" xfId="2653"/>
    <cellStyle name="40% - Accent5 2 2 2 2 2 4" xfId="2654"/>
    <cellStyle name="40% - Accent5 2 2 2 2 3" xfId="2655"/>
    <cellStyle name="40% - Accent5 2 2 2 2 3 2" xfId="2656"/>
    <cellStyle name="40% - Accent5 2 2 2 2 3 3" xfId="2657"/>
    <cellStyle name="40% - Accent5 2 2 2 2 4" xfId="2658"/>
    <cellStyle name="40% - Accent5 2 2 2 2 5" xfId="2659"/>
    <cellStyle name="40% - Accent5 2 2 2 2 6" xfId="2660"/>
    <cellStyle name="40% - Accent5 2 2 2 3" xfId="2661"/>
    <cellStyle name="40% - Accent5 2 2 2 3 2" xfId="2662"/>
    <cellStyle name="40% - Accent5 2 2 2 3 3" xfId="2663"/>
    <cellStyle name="40% - Accent5 2 2 2 3 4" xfId="2664"/>
    <cellStyle name="40% - Accent5 2 2 2 4" xfId="2665"/>
    <cellStyle name="40% - Accent5 2 2 2 4 2" xfId="2666"/>
    <cellStyle name="40% - Accent5 2 2 2 4 3" xfId="2667"/>
    <cellStyle name="40% - Accent5 2 2 2 4 4" xfId="2668"/>
    <cellStyle name="40% - Accent5 2 2 2 5" xfId="2669"/>
    <cellStyle name="40% - Accent5 2 2 2 5 2" xfId="2670"/>
    <cellStyle name="40% - Accent5 2 2 2 5 3" xfId="2671"/>
    <cellStyle name="40% - Accent5 2 2 2 6" xfId="2672"/>
    <cellStyle name="40% - Accent5 2 2 2 7" xfId="2673"/>
    <cellStyle name="40% - Accent5 2 2 2 8" xfId="2674"/>
    <cellStyle name="40% - Accent5 2 2 3" xfId="2675"/>
    <cellStyle name="40% - Accent5 2 2 3 2" xfId="2676"/>
    <cellStyle name="40% - Accent5 2 2 3 2 2" xfId="2677"/>
    <cellStyle name="40% - Accent5 2 2 3 2 3" xfId="2678"/>
    <cellStyle name="40% - Accent5 2 2 3 2 4" xfId="2679"/>
    <cellStyle name="40% - Accent5 2 2 3 3" xfId="2680"/>
    <cellStyle name="40% - Accent5 2 2 3 3 2" xfId="2681"/>
    <cellStyle name="40% - Accent5 2 2 3 3 3" xfId="2682"/>
    <cellStyle name="40% - Accent5 2 2 3 4" xfId="2683"/>
    <cellStyle name="40% - Accent5 2 2 3 5" xfId="2684"/>
    <cellStyle name="40% - Accent5 2 2 3 6" xfId="2685"/>
    <cellStyle name="40% - Accent5 2 2 4" xfId="2686"/>
    <cellStyle name="40% - Accent5 2 2 4 2" xfId="2687"/>
    <cellStyle name="40% - Accent5 2 2 4 3" xfId="2688"/>
    <cellStyle name="40% - Accent5 2 2 4 4" xfId="2689"/>
    <cellStyle name="40% - Accent5 2 2 5" xfId="2690"/>
    <cellStyle name="40% - Accent5 2 2 5 2" xfId="2691"/>
    <cellStyle name="40% - Accent5 2 2 5 3" xfId="2692"/>
    <cellStyle name="40% - Accent5 2 2 6" xfId="2693"/>
    <cellStyle name="40% - Accent5 2 2 7" xfId="2694"/>
    <cellStyle name="40% - Accent5 2 2 8" xfId="2695"/>
    <cellStyle name="40% - Accent5 2 2 9" xfId="2696"/>
    <cellStyle name="40% - Accent5 2 3" xfId="2697"/>
    <cellStyle name="40% - Accent5 2 3 2" xfId="2698"/>
    <cellStyle name="40% - Accent5 2 3 2 2" xfId="2699"/>
    <cellStyle name="40% - Accent5 2 3 2 2 2" xfId="2700"/>
    <cellStyle name="40% - Accent5 2 3 2 2 3" xfId="2701"/>
    <cellStyle name="40% - Accent5 2 3 2 2 4" xfId="2702"/>
    <cellStyle name="40% - Accent5 2 3 2 3" xfId="2703"/>
    <cellStyle name="40% - Accent5 2 3 2 3 2" xfId="2704"/>
    <cellStyle name="40% - Accent5 2 3 2 3 3" xfId="2705"/>
    <cellStyle name="40% - Accent5 2 3 2 4" xfId="2706"/>
    <cellStyle name="40% - Accent5 2 3 2 5" xfId="2707"/>
    <cellStyle name="40% - Accent5 2 3 2 6" xfId="2708"/>
    <cellStyle name="40% - Accent5 2 3 3" xfId="2709"/>
    <cellStyle name="40% - Accent5 2 3 3 2" xfId="2710"/>
    <cellStyle name="40% - Accent5 2 3 3 2 2" xfId="2711"/>
    <cellStyle name="40% - Accent5 2 3 3 2 3" xfId="2712"/>
    <cellStyle name="40% - Accent5 2 3 3 2 4" xfId="2713"/>
    <cellStyle name="40% - Accent5 2 3 3 3" xfId="2714"/>
    <cellStyle name="40% - Accent5 2 3 3 3 2" xfId="2715"/>
    <cellStyle name="40% - Accent5 2 3 3 3 3" xfId="2716"/>
    <cellStyle name="40% - Accent5 2 3 3 4" xfId="2717"/>
    <cellStyle name="40% - Accent5 2 3 3 5" xfId="2718"/>
    <cellStyle name="40% - Accent5 2 3 3 6" xfId="2719"/>
    <cellStyle name="40% - Accent5 2 3 4" xfId="2720"/>
    <cellStyle name="40% - Accent5 2 3 4 2" xfId="2721"/>
    <cellStyle name="40% - Accent5 2 3 4 3" xfId="2722"/>
    <cellStyle name="40% - Accent5 2 3 4 4" xfId="2723"/>
    <cellStyle name="40% - Accent5 2 3 5" xfId="2724"/>
    <cellStyle name="40% - Accent5 2 3 5 2" xfId="2725"/>
    <cellStyle name="40% - Accent5 2 3 5 3" xfId="2726"/>
    <cellStyle name="40% - Accent5 2 3 6" xfId="2727"/>
    <cellStyle name="40% - Accent5 2 3 7" xfId="2728"/>
    <cellStyle name="40% - Accent5 2 3 8" xfId="2729"/>
    <cellStyle name="40% - Accent5 2 4" xfId="2730"/>
    <cellStyle name="40% - Accent5 2 4 2" xfId="2731"/>
    <cellStyle name="40% - Accent5 2 4 2 2" xfId="2732"/>
    <cellStyle name="40% - Accent5 2 4 2 3" xfId="2733"/>
    <cellStyle name="40% - Accent5 2 4 2 4" xfId="2734"/>
    <cellStyle name="40% - Accent5 2 4 3" xfId="2735"/>
    <cellStyle name="40% - Accent5 2 4 3 2" xfId="2736"/>
    <cellStyle name="40% - Accent5 2 4 3 3" xfId="2737"/>
    <cellStyle name="40% - Accent5 2 4 4" xfId="2738"/>
    <cellStyle name="40% - Accent5 2 4 5" xfId="2739"/>
    <cellStyle name="40% - Accent5 2 4 6" xfId="2740"/>
    <cellStyle name="40% - Accent5 2 5" xfId="2741"/>
    <cellStyle name="40% - Accent5 2 5 2" xfId="2742"/>
    <cellStyle name="40% - Accent5 2 5 3" xfId="2743"/>
    <cellStyle name="40% - Accent5 2 6" xfId="2744"/>
    <cellStyle name="40% - Accent5 2 7" xfId="2745"/>
    <cellStyle name="40% - Accent5 2 8" xfId="2746"/>
    <cellStyle name="40% - Accent5 2 9" xfId="2747"/>
    <cellStyle name="40% - Accent5 3" xfId="2748"/>
    <cellStyle name="40% - Accent5 3 2" xfId="2749"/>
    <cellStyle name="40% - Accent5 3 2 2" xfId="2750"/>
    <cellStyle name="40% - Accent5 3 2 2 2" xfId="2751"/>
    <cellStyle name="40% - Accent5 3 2 2 2 2" xfId="2752"/>
    <cellStyle name="40% - Accent5 3 2 2 2 2 2" xfId="2753"/>
    <cellStyle name="40% - Accent5 3 2 2 2 2 2 2" xfId="2754"/>
    <cellStyle name="40% - Accent5 3 2 2 2 2 2 2 2" xfId="2755"/>
    <cellStyle name="40% - Accent5 3 2 2 2 2 2 3" xfId="2756"/>
    <cellStyle name="40% - Accent5 3 2 2 2 2 2 3 2" xfId="2757"/>
    <cellStyle name="40% - Accent5 3 2 2 2 2 2 4" xfId="2758"/>
    <cellStyle name="40% - Accent5 3 2 2 2 2 3" xfId="2759"/>
    <cellStyle name="40% - Accent5 3 2 2 2 2 3 2" xfId="2760"/>
    <cellStyle name="40% - Accent5 3 2 2 2 2 4" xfId="2761"/>
    <cellStyle name="40% - Accent5 3 2 2 2 2 4 2" xfId="2762"/>
    <cellStyle name="40% - Accent5 3 2 2 2 2 5" xfId="2763"/>
    <cellStyle name="40% - Accent5 3 2 2 2 3" xfId="2764"/>
    <cellStyle name="40% - Accent5 3 2 2 2 3 2" xfId="2765"/>
    <cellStyle name="40% - Accent5 3 2 2 2 3 2 2" xfId="2766"/>
    <cellStyle name="40% - Accent5 3 2 2 2 3 3" xfId="2767"/>
    <cellStyle name="40% - Accent5 3 2 2 2 3 3 2" xfId="2768"/>
    <cellStyle name="40% - Accent5 3 2 2 2 3 4" xfId="2769"/>
    <cellStyle name="40% - Accent5 3 2 2 2 4" xfId="2770"/>
    <cellStyle name="40% - Accent5 3 2 2 2 4 2" xfId="2771"/>
    <cellStyle name="40% - Accent5 3 2 2 2 5" xfId="2772"/>
    <cellStyle name="40% - Accent5 3 2 2 2 5 2" xfId="2773"/>
    <cellStyle name="40% - Accent5 3 2 2 2 6" xfId="2774"/>
    <cellStyle name="40% - Accent5 3 2 2 3" xfId="2775"/>
    <cellStyle name="40% - Accent5 3 2 2 3 2" xfId="2776"/>
    <cellStyle name="40% - Accent5 3 2 2 3 2 2" xfId="2777"/>
    <cellStyle name="40% - Accent5 3 2 2 3 2 2 2" xfId="2778"/>
    <cellStyle name="40% - Accent5 3 2 2 3 2 3" xfId="2779"/>
    <cellStyle name="40% - Accent5 3 2 2 3 2 3 2" xfId="2780"/>
    <cellStyle name="40% - Accent5 3 2 2 3 2 4" xfId="2781"/>
    <cellStyle name="40% - Accent5 3 2 2 3 3" xfId="2782"/>
    <cellStyle name="40% - Accent5 3 2 2 3 3 2" xfId="2783"/>
    <cellStyle name="40% - Accent5 3 2 2 3 4" xfId="2784"/>
    <cellStyle name="40% - Accent5 3 2 2 3 4 2" xfId="2785"/>
    <cellStyle name="40% - Accent5 3 2 2 3 5" xfId="2786"/>
    <cellStyle name="40% - Accent5 3 2 2 4" xfId="2787"/>
    <cellStyle name="40% - Accent5 3 2 2 4 2" xfId="2788"/>
    <cellStyle name="40% - Accent5 3 2 2 4 2 2" xfId="2789"/>
    <cellStyle name="40% - Accent5 3 2 2 4 3" xfId="2790"/>
    <cellStyle name="40% - Accent5 3 2 2 4 3 2" xfId="2791"/>
    <cellStyle name="40% - Accent5 3 2 2 4 4" xfId="2792"/>
    <cellStyle name="40% - Accent5 3 2 2 5" xfId="2793"/>
    <cellStyle name="40% - Accent5 3 2 2 5 2" xfId="2794"/>
    <cellStyle name="40% - Accent5 3 2 2 6" xfId="2795"/>
    <cellStyle name="40% - Accent5 3 2 2 6 2" xfId="2796"/>
    <cellStyle name="40% - Accent5 3 2 2 7" xfId="2797"/>
    <cellStyle name="40% - Accent5 3 2 3" xfId="2798"/>
    <cellStyle name="40% - Accent5 3 3" xfId="2799"/>
    <cellStyle name="40% - Accent5 4" xfId="2800"/>
    <cellStyle name="40% - Accent5 4 2" xfId="2801"/>
    <cellStyle name="40% - Accent5 4 2 2" xfId="2802"/>
    <cellStyle name="40% - Accent5 4 2 2 2" xfId="2803"/>
    <cellStyle name="40% - Accent5 4 2 2 2 2" xfId="2804"/>
    <cellStyle name="40% - Accent5 4 2 2 2 2 2" xfId="2805"/>
    <cellStyle name="40% - Accent5 4 2 2 2 3" xfId="2806"/>
    <cellStyle name="40% - Accent5 4 2 2 2 3 2" xfId="2807"/>
    <cellStyle name="40% - Accent5 4 2 2 2 4" xfId="2808"/>
    <cellStyle name="40% - Accent5 4 2 2 3" xfId="2809"/>
    <cellStyle name="40% - Accent5 4 2 2 3 2" xfId="2810"/>
    <cellStyle name="40% - Accent5 4 2 2 4" xfId="2811"/>
    <cellStyle name="40% - Accent5 4 2 2 4 2" xfId="2812"/>
    <cellStyle name="40% - Accent5 4 2 2 5" xfId="2813"/>
    <cellStyle name="40% - Accent5 4 2 3" xfId="2814"/>
    <cellStyle name="40% - Accent5 4 2 3 2" xfId="2815"/>
    <cellStyle name="40% - Accent5 4 2 3 2 2" xfId="2816"/>
    <cellStyle name="40% - Accent5 4 2 3 3" xfId="2817"/>
    <cellStyle name="40% - Accent5 4 2 3 3 2" xfId="2818"/>
    <cellStyle name="40% - Accent5 4 2 3 4" xfId="2819"/>
    <cellStyle name="40% - Accent5 4 2 4" xfId="2820"/>
    <cellStyle name="40% - Accent5 4 2 4 2" xfId="2821"/>
    <cellStyle name="40% - Accent5 4 2 5" xfId="2822"/>
    <cellStyle name="40% - Accent5 4 2 5 2" xfId="2823"/>
    <cellStyle name="40% - Accent5 4 2 6" xfId="2824"/>
    <cellStyle name="40% - Accent5 4 3" xfId="2825"/>
    <cellStyle name="40% - Accent5 4 3 2" xfId="2826"/>
    <cellStyle name="40% - Accent5 4 3 2 2" xfId="2827"/>
    <cellStyle name="40% - Accent5 4 3 2 2 2" xfId="2828"/>
    <cellStyle name="40% - Accent5 4 3 2 3" xfId="2829"/>
    <cellStyle name="40% - Accent5 4 3 2 3 2" xfId="2830"/>
    <cellStyle name="40% - Accent5 4 3 2 4" xfId="2831"/>
    <cellStyle name="40% - Accent5 4 3 3" xfId="2832"/>
    <cellStyle name="40% - Accent5 4 3 3 2" xfId="2833"/>
    <cellStyle name="40% - Accent5 4 3 4" xfId="2834"/>
    <cellStyle name="40% - Accent5 4 3 4 2" xfId="2835"/>
    <cellStyle name="40% - Accent5 4 3 5" xfId="2836"/>
    <cellStyle name="40% - Accent5 4 4" xfId="2837"/>
    <cellStyle name="40% - Accent5 4 4 2" xfId="2838"/>
    <cellStyle name="40% - Accent5 4 4 2 2" xfId="2839"/>
    <cellStyle name="40% - Accent5 4 4 3" xfId="2840"/>
    <cellStyle name="40% - Accent5 4 4 3 2" xfId="2841"/>
    <cellStyle name="40% - Accent5 4 4 4" xfId="2842"/>
    <cellStyle name="40% - Accent5 4 5" xfId="2843"/>
    <cellStyle name="40% - Accent5 4 5 2" xfId="2844"/>
    <cellStyle name="40% - Accent5 4 6" xfId="2845"/>
    <cellStyle name="40% - Accent5 4 6 2" xfId="2846"/>
    <cellStyle name="40% - Accent5 4 7" xfId="2847"/>
    <cellStyle name="40% - Accent5 5" xfId="2848"/>
    <cellStyle name="40% - Accent5 5 2" xfId="2849"/>
    <cellStyle name="40% - Accent5 5 2 2" xfId="2850"/>
    <cellStyle name="40% - Accent5 5 2 2 2" xfId="2851"/>
    <cellStyle name="40% - Accent5 5 2 2 2 2" xfId="2852"/>
    <cellStyle name="40% - Accent5 5 2 2 3" xfId="2853"/>
    <cellStyle name="40% - Accent5 5 2 2 3 2" xfId="2854"/>
    <cellStyle name="40% - Accent5 5 2 2 4" xfId="2855"/>
    <cellStyle name="40% - Accent5 5 2 3" xfId="2856"/>
    <cellStyle name="40% - Accent5 5 2 3 2" xfId="2857"/>
    <cellStyle name="40% - Accent5 5 2 4" xfId="2858"/>
    <cellStyle name="40% - Accent5 5 2 4 2" xfId="2859"/>
    <cellStyle name="40% - Accent5 5 2 5" xfId="2860"/>
    <cellStyle name="40% - Accent5 5 3" xfId="2861"/>
    <cellStyle name="40% - Accent5 5 3 2" xfId="2862"/>
    <cellStyle name="40% - Accent5 5 3 2 2" xfId="2863"/>
    <cellStyle name="40% - Accent5 5 3 2 2 2" xfId="2864"/>
    <cellStyle name="40% - Accent5 5 3 2 3" xfId="2865"/>
    <cellStyle name="40% - Accent5 5 3 2 3 2" xfId="2866"/>
    <cellStyle name="40% - Accent5 5 3 2 4" xfId="2867"/>
    <cellStyle name="40% - Accent5 5 3 3" xfId="2868"/>
    <cellStyle name="40% - Accent5 5 3 3 2" xfId="2869"/>
    <cellStyle name="40% - Accent5 5 3 3 2 2" xfId="2870"/>
    <cellStyle name="40% - Accent5 5 3 3 3" xfId="2871"/>
    <cellStyle name="40% - Accent5 5 3 3 3 2" xfId="2872"/>
    <cellStyle name="40% - Accent5 5 3 3 4" xfId="2873"/>
    <cellStyle name="40% - Accent5 5 3 4" xfId="2874"/>
    <cellStyle name="40% - Accent5 5 3 4 2" xfId="2875"/>
    <cellStyle name="40% - Accent5 5 3 5" xfId="2876"/>
    <cellStyle name="40% - Accent5 5 3 5 2" xfId="2877"/>
    <cellStyle name="40% - Accent5 5 3 6" xfId="2878"/>
    <cellStyle name="40% - Accent5 5 4" xfId="2879"/>
    <cellStyle name="40% - Accent5 5 4 2" xfId="2880"/>
    <cellStyle name="40% - Accent5 5 4 2 2" xfId="2881"/>
    <cellStyle name="40% - Accent5 5 4 3" xfId="2882"/>
    <cellStyle name="40% - Accent5 5 4 3 2" xfId="2883"/>
    <cellStyle name="40% - Accent5 5 4 4" xfId="2884"/>
    <cellStyle name="40% - Accent5 5 5" xfId="2885"/>
    <cellStyle name="40% - Accent5 5 5 2" xfId="2886"/>
    <cellStyle name="40% - Accent5 5 6" xfId="2887"/>
    <cellStyle name="40% - Accent5 5 6 2" xfId="2888"/>
    <cellStyle name="40% - Accent5 5 7" xfId="2889"/>
    <cellStyle name="40% - Accent5 6" xfId="2890"/>
    <cellStyle name="40% - Accent5 6 2" xfId="2891"/>
    <cellStyle name="40% - Accent5 6 2 2" xfId="2892"/>
    <cellStyle name="40% - Accent5 6 2 2 2" xfId="2893"/>
    <cellStyle name="40% - Accent5 6 2 3" xfId="2894"/>
    <cellStyle name="40% - Accent5 6 2 3 2" xfId="2895"/>
    <cellStyle name="40% - Accent5 6 2 4" xfId="2896"/>
    <cellStyle name="40% - Accent5 6 3" xfId="2897"/>
    <cellStyle name="40% - Accent5 6 3 2" xfId="2898"/>
    <cellStyle name="40% - Accent5 6 4" xfId="2899"/>
    <cellStyle name="40% - Accent5 6 4 2" xfId="2900"/>
    <cellStyle name="40% - Accent5 6 5" xfId="2901"/>
    <cellStyle name="40% - Accent6 2" xfId="2902"/>
    <cellStyle name="40% - Accent6 2 10" xfId="2903"/>
    <cellStyle name="40% - Accent6 2 11" xfId="2904"/>
    <cellStyle name="40% - Accent6 2 2" xfId="2905"/>
    <cellStyle name="40% - Accent6 2 2 2" xfId="2906"/>
    <cellStyle name="40% - Accent6 2 2 2 2" xfId="2907"/>
    <cellStyle name="40% - Accent6 2 2 2 2 2" xfId="2908"/>
    <cellStyle name="40% - Accent6 2 2 2 2 2 2" xfId="2909"/>
    <cellStyle name="40% - Accent6 2 2 2 2 2 3" xfId="2910"/>
    <cellStyle name="40% - Accent6 2 2 2 2 2 4" xfId="2911"/>
    <cellStyle name="40% - Accent6 2 2 2 2 3" xfId="2912"/>
    <cellStyle name="40% - Accent6 2 2 2 2 3 2" xfId="2913"/>
    <cellStyle name="40% - Accent6 2 2 2 2 3 3" xfId="2914"/>
    <cellStyle name="40% - Accent6 2 2 2 2 4" xfId="2915"/>
    <cellStyle name="40% - Accent6 2 2 2 2 5" xfId="2916"/>
    <cellStyle name="40% - Accent6 2 2 2 2 6" xfId="2917"/>
    <cellStyle name="40% - Accent6 2 2 2 3" xfId="2918"/>
    <cellStyle name="40% - Accent6 2 2 2 3 2" xfId="2919"/>
    <cellStyle name="40% - Accent6 2 2 2 3 3" xfId="2920"/>
    <cellStyle name="40% - Accent6 2 2 2 3 4" xfId="2921"/>
    <cellStyle name="40% - Accent6 2 2 2 4" xfId="2922"/>
    <cellStyle name="40% - Accent6 2 2 2 4 2" xfId="2923"/>
    <cellStyle name="40% - Accent6 2 2 2 4 3" xfId="2924"/>
    <cellStyle name="40% - Accent6 2 2 2 4 4" xfId="2925"/>
    <cellStyle name="40% - Accent6 2 2 2 5" xfId="2926"/>
    <cellStyle name="40% - Accent6 2 2 2 5 2" xfId="2927"/>
    <cellStyle name="40% - Accent6 2 2 2 5 3" xfId="2928"/>
    <cellStyle name="40% - Accent6 2 2 2 6" xfId="2929"/>
    <cellStyle name="40% - Accent6 2 2 2 7" xfId="2930"/>
    <cellStyle name="40% - Accent6 2 2 2 8" xfId="2931"/>
    <cellStyle name="40% - Accent6 2 2 3" xfId="2932"/>
    <cellStyle name="40% - Accent6 2 2 3 2" xfId="2933"/>
    <cellStyle name="40% - Accent6 2 2 3 2 2" xfId="2934"/>
    <cellStyle name="40% - Accent6 2 2 3 2 3" xfId="2935"/>
    <cellStyle name="40% - Accent6 2 2 3 2 4" xfId="2936"/>
    <cellStyle name="40% - Accent6 2 2 3 3" xfId="2937"/>
    <cellStyle name="40% - Accent6 2 2 3 3 2" xfId="2938"/>
    <cellStyle name="40% - Accent6 2 2 3 3 3" xfId="2939"/>
    <cellStyle name="40% - Accent6 2 2 3 4" xfId="2940"/>
    <cellStyle name="40% - Accent6 2 2 3 5" xfId="2941"/>
    <cellStyle name="40% - Accent6 2 2 3 6" xfId="2942"/>
    <cellStyle name="40% - Accent6 2 2 4" xfId="2943"/>
    <cellStyle name="40% - Accent6 2 2 4 2" xfId="2944"/>
    <cellStyle name="40% - Accent6 2 2 4 3" xfId="2945"/>
    <cellStyle name="40% - Accent6 2 2 4 4" xfId="2946"/>
    <cellStyle name="40% - Accent6 2 2 5" xfId="2947"/>
    <cellStyle name="40% - Accent6 2 2 5 2" xfId="2948"/>
    <cellStyle name="40% - Accent6 2 2 5 3" xfId="2949"/>
    <cellStyle name="40% - Accent6 2 2 5 4" xfId="2950"/>
    <cellStyle name="40% - Accent6 2 2 6" xfId="2951"/>
    <cellStyle name="40% - Accent6 2 2 6 2" xfId="2952"/>
    <cellStyle name="40% - Accent6 2 2 6 3" xfId="2953"/>
    <cellStyle name="40% - Accent6 2 2 7" xfId="2954"/>
    <cellStyle name="40% - Accent6 2 2 8" xfId="2955"/>
    <cellStyle name="40% - Accent6 2 2 9" xfId="2956"/>
    <cellStyle name="40% - Accent6 2 3" xfId="2957"/>
    <cellStyle name="40% - Accent6 2 3 2" xfId="2958"/>
    <cellStyle name="40% - Accent6 2 3 2 2" xfId="2959"/>
    <cellStyle name="40% - Accent6 2 3 2 2 2" xfId="2960"/>
    <cellStyle name="40% - Accent6 2 3 2 2 3" xfId="2961"/>
    <cellStyle name="40% - Accent6 2 3 2 2 4" xfId="2962"/>
    <cellStyle name="40% - Accent6 2 3 2 3" xfId="2963"/>
    <cellStyle name="40% - Accent6 2 3 2 3 2" xfId="2964"/>
    <cellStyle name="40% - Accent6 2 3 2 3 3" xfId="2965"/>
    <cellStyle name="40% - Accent6 2 3 2 4" xfId="2966"/>
    <cellStyle name="40% - Accent6 2 3 2 5" xfId="2967"/>
    <cellStyle name="40% - Accent6 2 3 2 6" xfId="2968"/>
    <cellStyle name="40% - Accent6 2 3 3" xfId="2969"/>
    <cellStyle name="40% - Accent6 2 3 3 2" xfId="2970"/>
    <cellStyle name="40% - Accent6 2 3 3 2 2" xfId="2971"/>
    <cellStyle name="40% - Accent6 2 3 3 2 3" xfId="2972"/>
    <cellStyle name="40% - Accent6 2 3 3 2 4" xfId="2973"/>
    <cellStyle name="40% - Accent6 2 3 3 3" xfId="2974"/>
    <cellStyle name="40% - Accent6 2 3 3 3 2" xfId="2975"/>
    <cellStyle name="40% - Accent6 2 3 3 3 3" xfId="2976"/>
    <cellStyle name="40% - Accent6 2 3 3 4" xfId="2977"/>
    <cellStyle name="40% - Accent6 2 3 3 5" xfId="2978"/>
    <cellStyle name="40% - Accent6 2 3 3 6" xfId="2979"/>
    <cellStyle name="40% - Accent6 2 3 4" xfId="2980"/>
    <cellStyle name="40% - Accent6 2 3 4 2" xfId="2981"/>
    <cellStyle name="40% - Accent6 2 3 4 3" xfId="2982"/>
    <cellStyle name="40% - Accent6 2 3 4 4" xfId="2983"/>
    <cellStyle name="40% - Accent6 2 3 5" xfId="2984"/>
    <cellStyle name="40% - Accent6 2 3 5 2" xfId="2985"/>
    <cellStyle name="40% - Accent6 2 3 5 3" xfId="2986"/>
    <cellStyle name="40% - Accent6 2 3 6" xfId="2987"/>
    <cellStyle name="40% - Accent6 2 3 7" xfId="2988"/>
    <cellStyle name="40% - Accent6 2 3 8" xfId="2989"/>
    <cellStyle name="40% - Accent6 2 4" xfId="2990"/>
    <cellStyle name="40% - Accent6 2 4 2" xfId="2991"/>
    <cellStyle name="40% - Accent6 2 4 2 2" xfId="2992"/>
    <cellStyle name="40% - Accent6 2 4 2 3" xfId="2993"/>
    <cellStyle name="40% - Accent6 2 4 2 4" xfId="2994"/>
    <cellStyle name="40% - Accent6 2 4 3" xfId="2995"/>
    <cellStyle name="40% - Accent6 2 4 3 2" xfId="2996"/>
    <cellStyle name="40% - Accent6 2 4 3 3" xfId="2997"/>
    <cellStyle name="40% - Accent6 2 4 4" xfId="2998"/>
    <cellStyle name="40% - Accent6 2 4 5" xfId="2999"/>
    <cellStyle name="40% - Accent6 2 4 6" xfId="3000"/>
    <cellStyle name="40% - Accent6 2 5" xfId="3001"/>
    <cellStyle name="40% - Accent6 2 5 2" xfId="3002"/>
    <cellStyle name="40% - Accent6 2 5 2 2" xfId="3003"/>
    <cellStyle name="40% - Accent6 2 5 2 3" xfId="3004"/>
    <cellStyle name="40% - Accent6 2 5 2 4" xfId="3005"/>
    <cellStyle name="40% - Accent6 2 5 3" xfId="3006"/>
    <cellStyle name="40% - Accent6 2 5 3 2" xfId="3007"/>
    <cellStyle name="40% - Accent6 2 5 3 3" xfId="3008"/>
    <cellStyle name="40% - Accent6 2 5 4" xfId="3009"/>
    <cellStyle name="40% - Accent6 2 5 5" xfId="3010"/>
    <cellStyle name="40% - Accent6 2 5 6" xfId="3011"/>
    <cellStyle name="40% - Accent6 2 6" xfId="3012"/>
    <cellStyle name="40% - Accent6 2 6 2" xfId="3013"/>
    <cellStyle name="40% - Accent6 2 6 3" xfId="3014"/>
    <cellStyle name="40% - Accent6 2 6 4" xfId="3015"/>
    <cellStyle name="40% - Accent6 2 7" xfId="3016"/>
    <cellStyle name="40% - Accent6 2 7 2" xfId="3017"/>
    <cellStyle name="40% - Accent6 2 7 3" xfId="3018"/>
    <cellStyle name="40% - Accent6 2 8" xfId="3019"/>
    <cellStyle name="40% - Accent6 2 9" xfId="3020"/>
    <cellStyle name="40% - Accent6 3" xfId="3021"/>
    <cellStyle name="40% - Accent6 3 2" xfId="3022"/>
    <cellStyle name="40% - Accent6 3 2 2" xfId="3023"/>
    <cellStyle name="40% - Accent6 3 2 2 2" xfId="3024"/>
    <cellStyle name="40% - Accent6 3 2 2 2 2" xfId="3025"/>
    <cellStyle name="40% - Accent6 3 2 2 2 2 2" xfId="3026"/>
    <cellStyle name="40% - Accent6 3 2 2 2 2 2 2" xfId="3027"/>
    <cellStyle name="40% - Accent6 3 2 2 2 2 2 2 2" xfId="3028"/>
    <cellStyle name="40% - Accent6 3 2 2 2 2 2 3" xfId="3029"/>
    <cellStyle name="40% - Accent6 3 2 2 2 2 2 3 2" xfId="3030"/>
    <cellStyle name="40% - Accent6 3 2 2 2 2 2 4" xfId="3031"/>
    <cellStyle name="40% - Accent6 3 2 2 2 2 3" xfId="3032"/>
    <cellStyle name="40% - Accent6 3 2 2 2 2 3 2" xfId="3033"/>
    <cellStyle name="40% - Accent6 3 2 2 2 2 4" xfId="3034"/>
    <cellStyle name="40% - Accent6 3 2 2 2 2 4 2" xfId="3035"/>
    <cellStyle name="40% - Accent6 3 2 2 2 2 5" xfId="3036"/>
    <cellStyle name="40% - Accent6 3 2 2 2 3" xfId="3037"/>
    <cellStyle name="40% - Accent6 3 2 2 2 3 2" xfId="3038"/>
    <cellStyle name="40% - Accent6 3 2 2 2 3 2 2" xfId="3039"/>
    <cellStyle name="40% - Accent6 3 2 2 2 3 3" xfId="3040"/>
    <cellStyle name="40% - Accent6 3 2 2 2 3 3 2" xfId="3041"/>
    <cellStyle name="40% - Accent6 3 2 2 2 3 4" xfId="3042"/>
    <cellStyle name="40% - Accent6 3 2 2 2 4" xfId="3043"/>
    <cellStyle name="40% - Accent6 3 2 2 2 4 2" xfId="3044"/>
    <cellStyle name="40% - Accent6 3 2 2 2 5" xfId="3045"/>
    <cellStyle name="40% - Accent6 3 2 2 2 5 2" xfId="3046"/>
    <cellStyle name="40% - Accent6 3 2 2 2 6" xfId="3047"/>
    <cellStyle name="40% - Accent6 3 2 2 3" xfId="3048"/>
    <cellStyle name="40% - Accent6 3 2 2 3 2" xfId="3049"/>
    <cellStyle name="40% - Accent6 3 2 2 3 2 2" xfId="3050"/>
    <cellStyle name="40% - Accent6 3 2 2 3 2 2 2" xfId="3051"/>
    <cellStyle name="40% - Accent6 3 2 2 3 2 3" xfId="3052"/>
    <cellStyle name="40% - Accent6 3 2 2 3 2 3 2" xfId="3053"/>
    <cellStyle name="40% - Accent6 3 2 2 3 2 4" xfId="3054"/>
    <cellStyle name="40% - Accent6 3 2 2 3 3" xfId="3055"/>
    <cellStyle name="40% - Accent6 3 2 2 3 3 2" xfId="3056"/>
    <cellStyle name="40% - Accent6 3 2 2 3 4" xfId="3057"/>
    <cellStyle name="40% - Accent6 3 2 2 3 4 2" xfId="3058"/>
    <cellStyle name="40% - Accent6 3 2 2 3 5" xfId="3059"/>
    <cellStyle name="40% - Accent6 3 2 2 4" xfId="3060"/>
    <cellStyle name="40% - Accent6 3 2 2 4 2" xfId="3061"/>
    <cellStyle name="40% - Accent6 3 2 2 4 2 2" xfId="3062"/>
    <cellStyle name="40% - Accent6 3 2 2 4 3" xfId="3063"/>
    <cellStyle name="40% - Accent6 3 2 2 4 3 2" xfId="3064"/>
    <cellStyle name="40% - Accent6 3 2 2 4 4" xfId="3065"/>
    <cellStyle name="40% - Accent6 3 2 2 5" xfId="3066"/>
    <cellStyle name="40% - Accent6 3 2 2 5 2" xfId="3067"/>
    <cellStyle name="40% - Accent6 3 2 2 6" xfId="3068"/>
    <cellStyle name="40% - Accent6 3 2 2 6 2" xfId="3069"/>
    <cellStyle name="40% - Accent6 3 2 2 7" xfId="3070"/>
    <cellStyle name="40% - Accent6 3 2 3" xfId="3071"/>
    <cellStyle name="40% - Accent6 3 3" xfId="3072"/>
    <cellStyle name="40% - Accent6 4" xfId="3073"/>
    <cellStyle name="40% - Accent6 4 2" xfId="3074"/>
    <cellStyle name="40% - Accent6 4 2 2" xfId="3075"/>
    <cellStyle name="40% - Accent6 4 2 2 2" xfId="3076"/>
    <cellStyle name="40% - Accent6 4 2 2 2 2" xfId="3077"/>
    <cellStyle name="40% - Accent6 4 2 2 2 2 2" xfId="3078"/>
    <cellStyle name="40% - Accent6 4 2 2 2 3" xfId="3079"/>
    <cellStyle name="40% - Accent6 4 2 2 2 3 2" xfId="3080"/>
    <cellStyle name="40% - Accent6 4 2 2 2 4" xfId="3081"/>
    <cellStyle name="40% - Accent6 4 2 2 3" xfId="3082"/>
    <cellStyle name="40% - Accent6 4 2 2 3 2" xfId="3083"/>
    <cellStyle name="40% - Accent6 4 2 2 4" xfId="3084"/>
    <cellStyle name="40% - Accent6 4 2 2 4 2" xfId="3085"/>
    <cellStyle name="40% - Accent6 4 2 2 5" xfId="3086"/>
    <cellStyle name="40% - Accent6 4 2 3" xfId="3087"/>
    <cellStyle name="40% - Accent6 4 2 3 2" xfId="3088"/>
    <cellStyle name="40% - Accent6 4 2 3 2 2" xfId="3089"/>
    <cellStyle name="40% - Accent6 4 2 3 3" xfId="3090"/>
    <cellStyle name="40% - Accent6 4 2 3 3 2" xfId="3091"/>
    <cellStyle name="40% - Accent6 4 2 3 4" xfId="3092"/>
    <cellStyle name="40% - Accent6 4 2 4" xfId="3093"/>
    <cellStyle name="40% - Accent6 4 2 4 2" xfId="3094"/>
    <cellStyle name="40% - Accent6 4 2 5" xfId="3095"/>
    <cellStyle name="40% - Accent6 4 2 5 2" xfId="3096"/>
    <cellStyle name="40% - Accent6 4 2 6" xfId="3097"/>
    <cellStyle name="40% - Accent6 4 3" xfId="3098"/>
    <cellStyle name="40% - Accent6 4 3 2" xfId="3099"/>
    <cellStyle name="40% - Accent6 4 3 2 2" xfId="3100"/>
    <cellStyle name="40% - Accent6 4 3 2 2 2" xfId="3101"/>
    <cellStyle name="40% - Accent6 4 3 2 3" xfId="3102"/>
    <cellStyle name="40% - Accent6 4 3 2 3 2" xfId="3103"/>
    <cellStyle name="40% - Accent6 4 3 2 4" xfId="3104"/>
    <cellStyle name="40% - Accent6 4 3 3" xfId="3105"/>
    <cellStyle name="40% - Accent6 4 3 3 2" xfId="3106"/>
    <cellStyle name="40% - Accent6 4 3 4" xfId="3107"/>
    <cellStyle name="40% - Accent6 4 3 4 2" xfId="3108"/>
    <cellStyle name="40% - Accent6 4 3 5" xfId="3109"/>
    <cellStyle name="40% - Accent6 4 4" xfId="3110"/>
    <cellStyle name="40% - Accent6 4 4 2" xfId="3111"/>
    <cellStyle name="40% - Accent6 4 4 2 2" xfId="3112"/>
    <cellStyle name="40% - Accent6 4 4 3" xfId="3113"/>
    <cellStyle name="40% - Accent6 4 4 3 2" xfId="3114"/>
    <cellStyle name="40% - Accent6 4 4 4" xfId="3115"/>
    <cellStyle name="40% - Accent6 4 5" xfId="3116"/>
    <cellStyle name="40% - Accent6 4 5 2" xfId="3117"/>
    <cellStyle name="40% - Accent6 4 6" xfId="3118"/>
    <cellStyle name="40% - Accent6 4 6 2" xfId="3119"/>
    <cellStyle name="40% - Accent6 4 7" xfId="3120"/>
    <cellStyle name="40% - Accent6 5" xfId="3121"/>
    <cellStyle name="40% - Accent6 5 2" xfId="3122"/>
    <cellStyle name="40% - Accent6 5 2 2" xfId="3123"/>
    <cellStyle name="40% - Accent6 5 2 2 2" xfId="3124"/>
    <cellStyle name="40% - Accent6 5 2 2 2 2" xfId="3125"/>
    <cellStyle name="40% - Accent6 5 2 2 3" xfId="3126"/>
    <cellStyle name="40% - Accent6 5 2 2 3 2" xfId="3127"/>
    <cellStyle name="40% - Accent6 5 2 2 4" xfId="3128"/>
    <cellStyle name="40% - Accent6 5 2 3" xfId="3129"/>
    <cellStyle name="40% - Accent6 5 2 3 2" xfId="3130"/>
    <cellStyle name="40% - Accent6 5 2 4" xfId="3131"/>
    <cellStyle name="40% - Accent6 5 2 4 2" xfId="3132"/>
    <cellStyle name="40% - Accent6 5 2 5" xfId="3133"/>
    <cellStyle name="40% - Accent6 5 3" xfId="3134"/>
    <cellStyle name="40% - Accent6 5 3 2" xfId="3135"/>
    <cellStyle name="40% - Accent6 5 3 2 2" xfId="3136"/>
    <cellStyle name="40% - Accent6 5 3 2 2 2" xfId="3137"/>
    <cellStyle name="40% - Accent6 5 3 2 3" xfId="3138"/>
    <cellStyle name="40% - Accent6 5 3 2 3 2" xfId="3139"/>
    <cellStyle name="40% - Accent6 5 3 2 4" xfId="3140"/>
    <cellStyle name="40% - Accent6 5 3 3" xfId="3141"/>
    <cellStyle name="40% - Accent6 5 3 3 2" xfId="3142"/>
    <cellStyle name="40% - Accent6 5 3 3 2 2" xfId="3143"/>
    <cellStyle name="40% - Accent6 5 3 3 3" xfId="3144"/>
    <cellStyle name="40% - Accent6 5 3 3 3 2" xfId="3145"/>
    <cellStyle name="40% - Accent6 5 3 3 4" xfId="3146"/>
    <cellStyle name="40% - Accent6 5 3 4" xfId="3147"/>
    <cellStyle name="40% - Accent6 5 3 4 2" xfId="3148"/>
    <cellStyle name="40% - Accent6 5 3 5" xfId="3149"/>
    <cellStyle name="40% - Accent6 5 3 5 2" xfId="3150"/>
    <cellStyle name="40% - Accent6 5 3 6" xfId="3151"/>
    <cellStyle name="40% - Accent6 5 4" xfId="3152"/>
    <cellStyle name="40% - Accent6 5 4 2" xfId="3153"/>
    <cellStyle name="40% - Accent6 5 4 2 2" xfId="3154"/>
    <cellStyle name="40% - Accent6 5 4 3" xfId="3155"/>
    <cellStyle name="40% - Accent6 5 4 3 2" xfId="3156"/>
    <cellStyle name="40% - Accent6 5 4 4" xfId="3157"/>
    <cellStyle name="40% - Accent6 5 5" xfId="3158"/>
    <cellStyle name="40% - Accent6 5 5 2" xfId="3159"/>
    <cellStyle name="40% - Accent6 5 6" xfId="3160"/>
    <cellStyle name="40% - Accent6 5 6 2" xfId="3161"/>
    <cellStyle name="40% - Accent6 5 7" xfId="3162"/>
    <cellStyle name="40% - Accent6 6" xfId="3163"/>
    <cellStyle name="40% - Accent6 6 2" xfId="3164"/>
    <cellStyle name="40% - Accent6 6 2 2" xfId="3165"/>
    <cellStyle name="40% - Accent6 6 2 2 2" xfId="3166"/>
    <cellStyle name="40% - Accent6 6 2 3" xfId="3167"/>
    <cellStyle name="40% - Accent6 6 2 3 2" xfId="3168"/>
    <cellStyle name="40% - Accent6 6 2 4" xfId="3169"/>
    <cellStyle name="40% - Accent6 6 3" xfId="3170"/>
    <cellStyle name="40% - Accent6 6 3 2" xfId="3171"/>
    <cellStyle name="40% - Accent6 6 4" xfId="3172"/>
    <cellStyle name="40% - Accent6 6 4 2" xfId="3173"/>
    <cellStyle name="40% - Accent6 6 5" xfId="3174"/>
    <cellStyle name="60% - Accent1 2" xfId="3175"/>
    <cellStyle name="60% - Accent1 2 2" xfId="3176"/>
    <cellStyle name="60% - Accent1 2 2 2" xfId="3177"/>
    <cellStyle name="60% - Accent1 2 2 2 2" xfId="3178"/>
    <cellStyle name="60% - Accent1 2 2 2 3" xfId="3179"/>
    <cellStyle name="60% - Accent1 2 2 2 4" xfId="3180"/>
    <cellStyle name="60% - Accent1 2 2 3" xfId="3181"/>
    <cellStyle name="60% - Accent1 2 2 4" xfId="3182"/>
    <cellStyle name="60% - Accent1 2 2 5" xfId="3183"/>
    <cellStyle name="60% - Accent1 2 3" xfId="3184"/>
    <cellStyle name="60% - Accent1 2 3 2" xfId="3185"/>
    <cellStyle name="60% - Accent1 2 3 2 2" xfId="3186"/>
    <cellStyle name="60% - Accent1 2 3 2 3" xfId="3187"/>
    <cellStyle name="60% - Accent1 2 3 2 4" xfId="3188"/>
    <cellStyle name="60% - Accent1 2 3 3" xfId="3189"/>
    <cellStyle name="60% - Accent1 2 3 3 2" xfId="3190"/>
    <cellStyle name="60% - Accent1 2 3 3 3" xfId="3191"/>
    <cellStyle name="60% - Accent1 2 3 4" xfId="3192"/>
    <cellStyle name="60% - Accent1 2 3 5" xfId="3193"/>
    <cellStyle name="60% - Accent1 2 3 6" xfId="3194"/>
    <cellStyle name="60% - Accent1 2 4" xfId="3195"/>
    <cellStyle name="60% - Accent1 2 4 2" xfId="3196"/>
    <cellStyle name="60% - Accent1 2 4 3" xfId="3197"/>
    <cellStyle name="60% - Accent1 2 5" xfId="3198"/>
    <cellStyle name="60% - Accent1 2 6" xfId="3199"/>
    <cellStyle name="60% - Accent1 2 7" xfId="3200"/>
    <cellStyle name="60% - Accent1 2 8" xfId="3201"/>
    <cellStyle name="60% - Accent1 3" xfId="3202"/>
    <cellStyle name="60% - Accent1 3 2" xfId="3203"/>
    <cellStyle name="60% - Accent1 3 2 2" xfId="3204"/>
    <cellStyle name="60% - Accent1 3 2 2 2" xfId="3205"/>
    <cellStyle name="60% - Accent1 3 2 2 2 2" xfId="3206"/>
    <cellStyle name="60% - Accent1 3 2 2 3" xfId="3207"/>
    <cellStyle name="60% - Accent1 3 2 3" xfId="3208"/>
    <cellStyle name="60% - Accent1 3 3" xfId="3209"/>
    <cellStyle name="60% - Accent1 4" xfId="3210"/>
    <cellStyle name="60% - Accent1 4 2" xfId="3211"/>
    <cellStyle name="60% - Accent1 4 2 2" xfId="3212"/>
    <cellStyle name="60% - Accent1 4 3" xfId="3213"/>
    <cellStyle name="60% - Accent1 5" xfId="3214"/>
    <cellStyle name="60% - Accent1 6" xfId="3215"/>
    <cellStyle name="60% - Accent2 2" xfId="3216"/>
    <cellStyle name="60% - Accent2 2 2" xfId="3217"/>
    <cellStyle name="60% - Accent2 2 2 2" xfId="3218"/>
    <cellStyle name="60% - Accent2 2 2 2 2" xfId="3219"/>
    <cellStyle name="60% - Accent2 2 2 2 3" xfId="3220"/>
    <cellStyle name="60% - Accent2 2 2 2 4" xfId="3221"/>
    <cellStyle name="60% - Accent2 2 2 3" xfId="3222"/>
    <cellStyle name="60% - Accent2 2 2 4" xfId="3223"/>
    <cellStyle name="60% - Accent2 2 2 5" xfId="3224"/>
    <cellStyle name="60% - Accent2 2 3" xfId="3225"/>
    <cellStyle name="60% - Accent2 2 3 2" xfId="3226"/>
    <cellStyle name="60% - Accent2 2 3 2 2" xfId="3227"/>
    <cellStyle name="60% - Accent2 2 3 2 3" xfId="3228"/>
    <cellStyle name="60% - Accent2 2 3 2 4" xfId="3229"/>
    <cellStyle name="60% - Accent2 2 3 3" xfId="3230"/>
    <cellStyle name="60% - Accent2 2 3 3 2" xfId="3231"/>
    <cellStyle name="60% - Accent2 2 3 3 3" xfId="3232"/>
    <cellStyle name="60% - Accent2 2 3 4" xfId="3233"/>
    <cellStyle name="60% - Accent2 2 3 5" xfId="3234"/>
    <cellStyle name="60% - Accent2 2 3 6" xfId="3235"/>
    <cellStyle name="60% - Accent2 2 4" xfId="3236"/>
    <cellStyle name="60% - Accent2 2 4 2" xfId="3237"/>
    <cellStyle name="60% - Accent2 2 4 3" xfId="3238"/>
    <cellStyle name="60% - Accent2 2 5" xfId="3239"/>
    <cellStyle name="60% - Accent2 2 6" xfId="3240"/>
    <cellStyle name="60% - Accent2 2 7" xfId="3241"/>
    <cellStyle name="60% - Accent2 2 8" xfId="3242"/>
    <cellStyle name="60% - Accent2 3" xfId="3243"/>
    <cellStyle name="60% - Accent2 3 2" xfId="3244"/>
    <cellStyle name="60% - Accent2 3 2 2" xfId="3245"/>
    <cellStyle name="60% - Accent2 3 2 2 2" xfId="3246"/>
    <cellStyle name="60% - Accent2 3 2 2 2 2" xfId="3247"/>
    <cellStyle name="60% - Accent2 3 2 2 3" xfId="3248"/>
    <cellStyle name="60% - Accent2 3 2 3" xfId="3249"/>
    <cellStyle name="60% - Accent2 3 3" xfId="3250"/>
    <cellStyle name="60% - Accent2 4" xfId="3251"/>
    <cellStyle name="60% - Accent2 4 2" xfId="3252"/>
    <cellStyle name="60% - Accent2 4 2 2" xfId="3253"/>
    <cellStyle name="60% - Accent2 4 3" xfId="3254"/>
    <cellStyle name="60% - Accent2 5" xfId="3255"/>
    <cellStyle name="60% - Accent2 6" xfId="3256"/>
    <cellStyle name="60% - Accent3 2" xfId="3257"/>
    <cellStyle name="60% - Accent3 2 2" xfId="3258"/>
    <cellStyle name="60% - Accent3 2 2 2" xfId="3259"/>
    <cellStyle name="60% - Accent3 2 2 2 2" xfId="3260"/>
    <cellStyle name="60% - Accent3 2 2 2 3" xfId="3261"/>
    <cellStyle name="60% - Accent3 2 2 2 4" xfId="3262"/>
    <cellStyle name="60% - Accent3 2 2 3" xfId="3263"/>
    <cellStyle name="60% - Accent3 2 2 4" xfId="3264"/>
    <cellStyle name="60% - Accent3 2 2 5" xfId="3265"/>
    <cellStyle name="60% - Accent3 2 3" xfId="3266"/>
    <cellStyle name="60% - Accent3 2 3 2" xfId="3267"/>
    <cellStyle name="60% - Accent3 2 3 2 2" xfId="3268"/>
    <cellStyle name="60% - Accent3 2 3 2 3" xfId="3269"/>
    <cellStyle name="60% - Accent3 2 3 2 4" xfId="3270"/>
    <cellStyle name="60% - Accent3 2 3 3" xfId="3271"/>
    <cellStyle name="60% - Accent3 2 3 3 2" xfId="3272"/>
    <cellStyle name="60% - Accent3 2 3 3 3" xfId="3273"/>
    <cellStyle name="60% - Accent3 2 3 4" xfId="3274"/>
    <cellStyle name="60% - Accent3 2 3 5" xfId="3275"/>
    <cellStyle name="60% - Accent3 2 3 6" xfId="3276"/>
    <cellStyle name="60% - Accent3 2 4" xfId="3277"/>
    <cellStyle name="60% - Accent3 2 4 2" xfId="3278"/>
    <cellStyle name="60% - Accent3 2 4 3" xfId="3279"/>
    <cellStyle name="60% - Accent3 2 5" xfId="3280"/>
    <cellStyle name="60% - Accent3 2 6" xfId="3281"/>
    <cellStyle name="60% - Accent3 2 7" xfId="3282"/>
    <cellStyle name="60% - Accent3 2 8" xfId="3283"/>
    <cellStyle name="60% - Accent3 3" xfId="3284"/>
    <cellStyle name="60% - Accent3 3 2" xfId="3285"/>
    <cellStyle name="60% - Accent3 3 2 2" xfId="3286"/>
    <cellStyle name="60% - Accent3 3 2 2 2" xfId="3287"/>
    <cellStyle name="60% - Accent3 3 2 2 2 2" xfId="3288"/>
    <cellStyle name="60% - Accent3 3 2 2 3" xfId="3289"/>
    <cellStyle name="60% - Accent3 3 2 3" xfId="3290"/>
    <cellStyle name="60% - Accent3 3 3" xfId="3291"/>
    <cellStyle name="60% - Accent3 4" xfId="3292"/>
    <cellStyle name="60% - Accent3 4 2" xfId="3293"/>
    <cellStyle name="60% - Accent3 4 2 2" xfId="3294"/>
    <cellStyle name="60% - Accent3 4 3" xfId="3295"/>
    <cellStyle name="60% - Accent3 5" xfId="3296"/>
    <cellStyle name="60% - Accent3 6" xfId="3297"/>
    <cellStyle name="60% - Accent4 2" xfId="3298"/>
    <cellStyle name="60% - Accent4 2 2" xfId="3299"/>
    <cellStyle name="60% - Accent4 2 2 2" xfId="3300"/>
    <cellStyle name="60% - Accent4 2 2 2 2" xfId="3301"/>
    <cellStyle name="60% - Accent4 2 2 2 3" xfId="3302"/>
    <cellStyle name="60% - Accent4 2 2 2 4" xfId="3303"/>
    <cellStyle name="60% - Accent4 2 2 3" xfId="3304"/>
    <cellStyle name="60% - Accent4 2 2 4" xfId="3305"/>
    <cellStyle name="60% - Accent4 2 2 5" xfId="3306"/>
    <cellStyle name="60% - Accent4 2 3" xfId="3307"/>
    <cellStyle name="60% - Accent4 2 3 2" xfId="3308"/>
    <cellStyle name="60% - Accent4 2 3 2 2" xfId="3309"/>
    <cellStyle name="60% - Accent4 2 3 2 3" xfId="3310"/>
    <cellStyle name="60% - Accent4 2 3 2 4" xfId="3311"/>
    <cellStyle name="60% - Accent4 2 3 3" xfId="3312"/>
    <cellStyle name="60% - Accent4 2 3 3 2" xfId="3313"/>
    <cellStyle name="60% - Accent4 2 3 3 3" xfId="3314"/>
    <cellStyle name="60% - Accent4 2 3 4" xfId="3315"/>
    <cellStyle name="60% - Accent4 2 3 5" xfId="3316"/>
    <cellStyle name="60% - Accent4 2 3 6" xfId="3317"/>
    <cellStyle name="60% - Accent4 2 4" xfId="3318"/>
    <cellStyle name="60% - Accent4 2 4 2" xfId="3319"/>
    <cellStyle name="60% - Accent4 2 4 3" xfId="3320"/>
    <cellStyle name="60% - Accent4 2 5" xfId="3321"/>
    <cellStyle name="60% - Accent4 2 6" xfId="3322"/>
    <cellStyle name="60% - Accent4 2 7" xfId="3323"/>
    <cellStyle name="60% - Accent4 2 8" xfId="3324"/>
    <cellStyle name="60% - Accent4 3" xfId="3325"/>
    <cellStyle name="60% - Accent4 3 2" xfId="3326"/>
    <cellStyle name="60% - Accent4 3 2 2" xfId="3327"/>
    <cellStyle name="60% - Accent4 3 2 2 2" xfId="3328"/>
    <cellStyle name="60% - Accent4 3 2 2 2 2" xfId="3329"/>
    <cellStyle name="60% - Accent4 3 2 2 3" xfId="3330"/>
    <cellStyle name="60% - Accent4 3 2 3" xfId="3331"/>
    <cellStyle name="60% - Accent4 3 3" xfId="3332"/>
    <cellStyle name="60% - Accent4 4" xfId="3333"/>
    <cellStyle name="60% - Accent4 4 2" xfId="3334"/>
    <cellStyle name="60% - Accent4 4 2 2" xfId="3335"/>
    <cellStyle name="60% - Accent4 4 3" xfId="3336"/>
    <cellStyle name="60% - Accent4 5" xfId="3337"/>
    <cellStyle name="60% - Accent4 6" xfId="3338"/>
    <cellStyle name="60% - Accent5 2" xfId="3339"/>
    <cellStyle name="60% - Accent5 2 10" xfId="3340"/>
    <cellStyle name="60% - Accent5 2 11" xfId="3341"/>
    <cellStyle name="60% - Accent5 2 2" xfId="3342"/>
    <cellStyle name="60% - Accent5 2 2 2" xfId="3343"/>
    <cellStyle name="60% - Accent5 2 2 2 2" xfId="3344"/>
    <cellStyle name="60% - Accent5 2 2 2 2 2" xfId="3345"/>
    <cellStyle name="60% - Accent5 2 2 2 3" xfId="3346"/>
    <cellStyle name="60% - Accent5 2 2 2 4" xfId="3347"/>
    <cellStyle name="60% - Accent5 2 2 2 5" xfId="3348"/>
    <cellStyle name="60% - Accent5 2 2 3" xfId="3349"/>
    <cellStyle name="60% - Accent5 2 2 4" xfId="3350"/>
    <cellStyle name="60% - Accent5 2 2 5" xfId="3351"/>
    <cellStyle name="60% - Accent5 2 3" xfId="3352"/>
    <cellStyle name="60% - Accent5 2 3 2" xfId="3353"/>
    <cellStyle name="60% - Accent5 2 3 2 2" xfId="3354"/>
    <cellStyle name="60% - Accent5 2 3 2 3" xfId="3355"/>
    <cellStyle name="60% - Accent5 2 3 2 4" xfId="3356"/>
    <cellStyle name="60% - Accent5 2 3 3" xfId="3357"/>
    <cellStyle name="60% - Accent5 2 3 3 2" xfId="3358"/>
    <cellStyle name="60% - Accent5 2 3 3 3" xfId="3359"/>
    <cellStyle name="60% - Accent5 2 3 4" xfId="3360"/>
    <cellStyle name="60% - Accent5 2 3 5" xfId="3361"/>
    <cellStyle name="60% - Accent5 2 3 6" xfId="3362"/>
    <cellStyle name="60% - Accent5 2 4" xfId="3363"/>
    <cellStyle name="60% - Accent5 2 4 2" xfId="3364"/>
    <cellStyle name="60% - Accent5 2 4 2 2" xfId="3365"/>
    <cellStyle name="60% - Accent5 2 4 2 3" xfId="3366"/>
    <cellStyle name="60% - Accent5 2 4 2 4" xfId="3367"/>
    <cellStyle name="60% - Accent5 2 4 3" xfId="3368"/>
    <cellStyle name="60% - Accent5 2 4 3 2" xfId="3369"/>
    <cellStyle name="60% - Accent5 2 4 3 3" xfId="3370"/>
    <cellStyle name="60% - Accent5 2 4 4" xfId="3371"/>
    <cellStyle name="60% - Accent5 2 4 5" xfId="3372"/>
    <cellStyle name="60% - Accent5 2 4 6" xfId="3373"/>
    <cellStyle name="60% - Accent5 2 5" xfId="3374"/>
    <cellStyle name="60% - Accent5 2 5 2" xfId="3375"/>
    <cellStyle name="60% - Accent5 2 5 2 2" xfId="3376"/>
    <cellStyle name="60% - Accent5 2 5 2 3" xfId="3377"/>
    <cellStyle name="60% - Accent5 2 5 2 4" xfId="3378"/>
    <cellStyle name="60% - Accent5 2 5 3" xfId="3379"/>
    <cellStyle name="60% - Accent5 2 5 3 2" xfId="3380"/>
    <cellStyle name="60% - Accent5 2 5 3 3" xfId="3381"/>
    <cellStyle name="60% - Accent5 2 5 4" xfId="3382"/>
    <cellStyle name="60% - Accent5 2 5 5" xfId="3383"/>
    <cellStyle name="60% - Accent5 2 5 6" xfId="3384"/>
    <cellStyle name="60% - Accent5 2 6" xfId="3385"/>
    <cellStyle name="60% - Accent5 2 6 2" xfId="3386"/>
    <cellStyle name="60% - Accent5 2 6 3" xfId="3387"/>
    <cellStyle name="60% - Accent5 2 6 4" xfId="3388"/>
    <cellStyle name="60% - Accent5 2 7" xfId="3389"/>
    <cellStyle name="60% - Accent5 2 7 2" xfId="3390"/>
    <cellStyle name="60% - Accent5 2 7 3" xfId="3391"/>
    <cellStyle name="60% - Accent5 2 8" xfId="3392"/>
    <cellStyle name="60% - Accent5 2 9" xfId="3393"/>
    <cellStyle name="60% - Accent5 3" xfId="3394"/>
    <cellStyle name="60% - Accent5 3 2" xfId="3395"/>
    <cellStyle name="60% - Accent5 3 2 2" xfId="3396"/>
    <cellStyle name="60% - Accent5 3 2 2 2" xfId="3397"/>
    <cellStyle name="60% - Accent5 3 2 2 2 2" xfId="3398"/>
    <cellStyle name="60% - Accent5 3 2 2 3" xfId="3399"/>
    <cellStyle name="60% - Accent5 3 2 3" xfId="3400"/>
    <cellStyle name="60% - Accent5 3 3" xfId="3401"/>
    <cellStyle name="60% - Accent5 4" xfId="3402"/>
    <cellStyle name="60% - Accent5 4 2" xfId="3403"/>
    <cellStyle name="60% - Accent5 4 2 2" xfId="3404"/>
    <cellStyle name="60% - Accent5 4 3" xfId="3405"/>
    <cellStyle name="60% - Accent5 5" xfId="3406"/>
    <cellStyle name="60% - Accent5 6" xfId="3407"/>
    <cellStyle name="60% - Accent6 2" xfId="3408"/>
    <cellStyle name="60% - Accent6 2 2" xfId="3409"/>
    <cellStyle name="60% - Accent6 2 2 2" xfId="3410"/>
    <cellStyle name="60% - Accent6 2 2 2 2" xfId="3411"/>
    <cellStyle name="60% - Accent6 2 2 2 3" xfId="3412"/>
    <cellStyle name="60% - Accent6 2 2 2 4" xfId="3413"/>
    <cellStyle name="60% - Accent6 2 2 3" xfId="3414"/>
    <cellStyle name="60% - Accent6 2 2 4" xfId="3415"/>
    <cellStyle name="60% - Accent6 2 2 5" xfId="3416"/>
    <cellStyle name="60% - Accent6 2 3" xfId="3417"/>
    <cellStyle name="60% - Accent6 2 3 2" xfId="3418"/>
    <cellStyle name="60% - Accent6 2 3 2 2" xfId="3419"/>
    <cellStyle name="60% - Accent6 2 3 2 3" xfId="3420"/>
    <cellStyle name="60% - Accent6 2 3 2 4" xfId="3421"/>
    <cellStyle name="60% - Accent6 2 3 3" xfId="3422"/>
    <cellStyle name="60% - Accent6 2 3 3 2" xfId="3423"/>
    <cellStyle name="60% - Accent6 2 3 3 3" xfId="3424"/>
    <cellStyle name="60% - Accent6 2 3 4" xfId="3425"/>
    <cellStyle name="60% - Accent6 2 3 5" xfId="3426"/>
    <cellStyle name="60% - Accent6 2 3 6" xfId="3427"/>
    <cellStyle name="60% - Accent6 2 4" xfId="3428"/>
    <cellStyle name="60% - Accent6 2 4 2" xfId="3429"/>
    <cellStyle name="60% - Accent6 2 4 3" xfId="3430"/>
    <cellStyle name="60% - Accent6 2 5" xfId="3431"/>
    <cellStyle name="60% - Accent6 2 6" xfId="3432"/>
    <cellStyle name="60% - Accent6 2 7" xfId="3433"/>
    <cellStyle name="60% - Accent6 2 8" xfId="3434"/>
    <cellStyle name="60% - Accent6 3" xfId="3435"/>
    <cellStyle name="60% - Accent6 3 2" xfId="3436"/>
    <cellStyle name="60% - Accent6 3 2 2" xfId="3437"/>
    <cellStyle name="60% - Accent6 3 2 2 2" xfId="3438"/>
    <cellStyle name="60% - Accent6 3 2 2 2 2" xfId="3439"/>
    <cellStyle name="60% - Accent6 3 2 2 3" xfId="3440"/>
    <cellStyle name="60% - Accent6 3 2 3" xfId="3441"/>
    <cellStyle name="60% - Accent6 3 3" xfId="3442"/>
    <cellStyle name="60% - Accent6 4" xfId="3443"/>
    <cellStyle name="60% - Accent6 4 2" xfId="3444"/>
    <cellStyle name="60% - Accent6 4 2 2" xfId="3445"/>
    <cellStyle name="60% - Accent6 4 3" xfId="3446"/>
    <cellStyle name="60% - Accent6 5" xfId="3447"/>
    <cellStyle name="60% - Accent6 6" xfId="3448"/>
    <cellStyle name="Accent1 2" xfId="3449"/>
    <cellStyle name="Accent1 2 2" xfId="3450"/>
    <cellStyle name="Accent1 2 2 2" xfId="3451"/>
    <cellStyle name="Accent1 2 2 2 2" xfId="3452"/>
    <cellStyle name="Accent1 2 2 2 3" xfId="3453"/>
    <cellStyle name="Accent1 2 2 2 4" xfId="3454"/>
    <cellStyle name="Accent1 2 2 3" xfId="3455"/>
    <cellStyle name="Accent1 2 2 4" xfId="3456"/>
    <cellStyle name="Accent1 2 2 5" xfId="3457"/>
    <cellStyle name="Accent1 2 3" xfId="3458"/>
    <cellStyle name="Accent1 2 3 2" xfId="3459"/>
    <cellStyle name="Accent1 2 3 2 2" xfId="3460"/>
    <cellStyle name="Accent1 2 3 2 3" xfId="3461"/>
    <cellStyle name="Accent1 2 3 2 4" xfId="3462"/>
    <cellStyle name="Accent1 2 3 3" xfId="3463"/>
    <cellStyle name="Accent1 2 3 3 2" xfId="3464"/>
    <cellStyle name="Accent1 2 3 3 3" xfId="3465"/>
    <cellStyle name="Accent1 2 3 4" xfId="3466"/>
    <cellStyle name="Accent1 2 3 5" xfId="3467"/>
    <cellStyle name="Accent1 2 3 6" xfId="3468"/>
    <cellStyle name="Accent1 2 4" xfId="3469"/>
    <cellStyle name="Accent1 2 4 2" xfId="3470"/>
    <cellStyle name="Accent1 2 4 3" xfId="3471"/>
    <cellStyle name="Accent1 2 5" xfId="3472"/>
    <cellStyle name="Accent1 2 6" xfId="3473"/>
    <cellStyle name="Accent1 2 7" xfId="3474"/>
    <cellStyle name="Accent1 2 8" xfId="3475"/>
    <cellStyle name="Accent1 3" xfId="3476"/>
    <cellStyle name="Accent1 3 2" xfId="3477"/>
    <cellStyle name="Accent1 3 2 2" xfId="3478"/>
    <cellStyle name="Accent1 3 2 2 2" xfId="3479"/>
    <cellStyle name="Accent1 3 2 2 2 2" xfId="3480"/>
    <cellStyle name="Accent1 3 2 2 3" xfId="3481"/>
    <cellStyle name="Accent1 3 2 3" xfId="3482"/>
    <cellStyle name="Accent1 3 3" xfId="3483"/>
    <cellStyle name="Accent1 4" xfId="3484"/>
    <cellStyle name="Accent1 4 2" xfId="3485"/>
    <cellStyle name="Accent1 4 2 2" xfId="3486"/>
    <cellStyle name="Accent1 4 3" xfId="3487"/>
    <cellStyle name="Accent1 5" xfId="3488"/>
    <cellStyle name="Accent1 6" xfId="3489"/>
    <cellStyle name="Accent2 2" xfId="3490"/>
    <cellStyle name="Accent2 2 10" xfId="3491"/>
    <cellStyle name="Accent2 2 11" xfId="3492"/>
    <cellStyle name="Accent2 2 2" xfId="3493"/>
    <cellStyle name="Accent2 2 2 2" xfId="3494"/>
    <cellStyle name="Accent2 2 2 2 2" xfId="3495"/>
    <cellStyle name="Accent2 2 2 2 2 2" xfId="3496"/>
    <cellStyle name="Accent2 2 2 2 3" xfId="3497"/>
    <cellStyle name="Accent2 2 2 2 4" xfId="3498"/>
    <cellStyle name="Accent2 2 2 2 5" xfId="3499"/>
    <cellStyle name="Accent2 2 2 3" xfId="3500"/>
    <cellStyle name="Accent2 2 2 4" xfId="3501"/>
    <cellStyle name="Accent2 2 2 5" xfId="3502"/>
    <cellStyle name="Accent2 2 3" xfId="3503"/>
    <cellStyle name="Accent2 2 3 2" xfId="3504"/>
    <cellStyle name="Accent2 2 3 2 2" xfId="3505"/>
    <cellStyle name="Accent2 2 3 2 3" xfId="3506"/>
    <cellStyle name="Accent2 2 3 2 4" xfId="3507"/>
    <cellStyle name="Accent2 2 3 3" xfId="3508"/>
    <cellStyle name="Accent2 2 3 3 2" xfId="3509"/>
    <cellStyle name="Accent2 2 3 3 3" xfId="3510"/>
    <cellStyle name="Accent2 2 3 4" xfId="3511"/>
    <cellStyle name="Accent2 2 3 5" xfId="3512"/>
    <cellStyle name="Accent2 2 3 6" xfId="3513"/>
    <cellStyle name="Accent2 2 4" xfId="3514"/>
    <cellStyle name="Accent2 2 4 2" xfId="3515"/>
    <cellStyle name="Accent2 2 4 2 2" xfId="3516"/>
    <cellStyle name="Accent2 2 4 2 3" xfId="3517"/>
    <cellStyle name="Accent2 2 4 2 4" xfId="3518"/>
    <cellStyle name="Accent2 2 4 3" xfId="3519"/>
    <cellStyle name="Accent2 2 4 3 2" xfId="3520"/>
    <cellStyle name="Accent2 2 4 3 3" xfId="3521"/>
    <cellStyle name="Accent2 2 4 4" xfId="3522"/>
    <cellStyle name="Accent2 2 4 5" xfId="3523"/>
    <cellStyle name="Accent2 2 4 6" xfId="3524"/>
    <cellStyle name="Accent2 2 5" xfId="3525"/>
    <cellStyle name="Accent2 2 5 2" xfId="3526"/>
    <cellStyle name="Accent2 2 5 2 2" xfId="3527"/>
    <cellStyle name="Accent2 2 5 2 3" xfId="3528"/>
    <cellStyle name="Accent2 2 5 2 4" xfId="3529"/>
    <cellStyle name="Accent2 2 5 3" xfId="3530"/>
    <cellStyle name="Accent2 2 5 3 2" xfId="3531"/>
    <cellStyle name="Accent2 2 5 3 3" xfId="3532"/>
    <cellStyle name="Accent2 2 5 4" xfId="3533"/>
    <cellStyle name="Accent2 2 5 5" xfId="3534"/>
    <cellStyle name="Accent2 2 5 6" xfId="3535"/>
    <cellStyle name="Accent2 2 6" xfId="3536"/>
    <cellStyle name="Accent2 2 6 2" xfId="3537"/>
    <cellStyle name="Accent2 2 6 3" xfId="3538"/>
    <cellStyle name="Accent2 2 6 4" xfId="3539"/>
    <cellStyle name="Accent2 2 7" xfId="3540"/>
    <cellStyle name="Accent2 2 7 2" xfId="3541"/>
    <cellStyle name="Accent2 2 7 3" xfId="3542"/>
    <cellStyle name="Accent2 2 7 4" xfId="3543"/>
    <cellStyle name="Accent2 2 7 5" xfId="3544"/>
    <cellStyle name="Accent2 2 8" xfId="3545"/>
    <cellStyle name="Accent2 2 9" xfId="3546"/>
    <cellStyle name="Accent2 3" xfId="3547"/>
    <cellStyle name="Accent2 3 2" xfId="3548"/>
    <cellStyle name="Accent2 3 2 2" xfId="3549"/>
    <cellStyle name="Accent2 3 2 2 2" xfId="3550"/>
    <cellStyle name="Accent2 3 2 2 2 2" xfId="3551"/>
    <cellStyle name="Accent2 3 2 2 3" xfId="3552"/>
    <cellStyle name="Accent2 3 2 3" xfId="3553"/>
    <cellStyle name="Accent2 3 3" xfId="3554"/>
    <cellStyle name="Accent2 4" xfId="3555"/>
    <cellStyle name="Accent2 4 2" xfId="3556"/>
    <cellStyle name="Accent2 4 2 2" xfId="3557"/>
    <cellStyle name="Accent2 4 3" xfId="3558"/>
    <cellStyle name="Accent2 5" xfId="3559"/>
    <cellStyle name="Accent2 6" xfId="3560"/>
    <cellStyle name="Accent3 2" xfId="3561"/>
    <cellStyle name="Accent3 2 10" xfId="3562"/>
    <cellStyle name="Accent3 2 11" xfId="3563"/>
    <cellStyle name="Accent3 2 2" xfId="3564"/>
    <cellStyle name="Accent3 2 2 2" xfId="3565"/>
    <cellStyle name="Accent3 2 2 2 2" xfId="3566"/>
    <cellStyle name="Accent3 2 2 2 2 2" xfId="3567"/>
    <cellStyle name="Accent3 2 2 2 3" xfId="3568"/>
    <cellStyle name="Accent3 2 2 2 4" xfId="3569"/>
    <cellStyle name="Accent3 2 2 2 5" xfId="3570"/>
    <cellStyle name="Accent3 2 2 3" xfId="3571"/>
    <cellStyle name="Accent3 2 2 4" xfId="3572"/>
    <cellStyle name="Accent3 2 2 5" xfId="3573"/>
    <cellStyle name="Accent3 2 3" xfId="3574"/>
    <cellStyle name="Accent3 2 3 2" xfId="3575"/>
    <cellStyle name="Accent3 2 3 2 2" xfId="3576"/>
    <cellStyle name="Accent3 2 3 2 3" xfId="3577"/>
    <cellStyle name="Accent3 2 3 2 4" xfId="3578"/>
    <cellStyle name="Accent3 2 3 3" xfId="3579"/>
    <cellStyle name="Accent3 2 3 3 2" xfId="3580"/>
    <cellStyle name="Accent3 2 3 3 3" xfId="3581"/>
    <cellStyle name="Accent3 2 3 4" xfId="3582"/>
    <cellStyle name="Accent3 2 3 5" xfId="3583"/>
    <cellStyle name="Accent3 2 3 6" xfId="3584"/>
    <cellStyle name="Accent3 2 4" xfId="3585"/>
    <cellStyle name="Accent3 2 4 2" xfId="3586"/>
    <cellStyle name="Accent3 2 4 2 2" xfId="3587"/>
    <cellStyle name="Accent3 2 4 2 3" xfId="3588"/>
    <cellStyle name="Accent3 2 4 2 4" xfId="3589"/>
    <cellStyle name="Accent3 2 4 3" xfId="3590"/>
    <cellStyle name="Accent3 2 4 3 2" xfId="3591"/>
    <cellStyle name="Accent3 2 4 3 3" xfId="3592"/>
    <cellStyle name="Accent3 2 4 4" xfId="3593"/>
    <cellStyle name="Accent3 2 4 5" xfId="3594"/>
    <cellStyle name="Accent3 2 4 6" xfId="3595"/>
    <cellStyle name="Accent3 2 5" xfId="3596"/>
    <cellStyle name="Accent3 2 5 2" xfId="3597"/>
    <cellStyle name="Accent3 2 5 2 2" xfId="3598"/>
    <cellStyle name="Accent3 2 5 2 3" xfId="3599"/>
    <cellStyle name="Accent3 2 5 2 4" xfId="3600"/>
    <cellStyle name="Accent3 2 5 3" xfId="3601"/>
    <cellStyle name="Accent3 2 5 3 2" xfId="3602"/>
    <cellStyle name="Accent3 2 5 3 3" xfId="3603"/>
    <cellStyle name="Accent3 2 5 4" xfId="3604"/>
    <cellStyle name="Accent3 2 5 5" xfId="3605"/>
    <cellStyle name="Accent3 2 5 6" xfId="3606"/>
    <cellStyle name="Accent3 2 6" xfId="3607"/>
    <cellStyle name="Accent3 2 6 2" xfId="3608"/>
    <cellStyle name="Accent3 2 6 3" xfId="3609"/>
    <cellStyle name="Accent3 2 6 4" xfId="3610"/>
    <cellStyle name="Accent3 2 7" xfId="3611"/>
    <cellStyle name="Accent3 2 7 2" xfId="3612"/>
    <cellStyle name="Accent3 2 7 3" xfId="3613"/>
    <cellStyle name="Accent3 2 8" xfId="3614"/>
    <cellStyle name="Accent3 2 9" xfId="3615"/>
    <cellStyle name="Accent3 3" xfId="3616"/>
    <cellStyle name="Accent3 3 2" xfId="3617"/>
    <cellStyle name="Accent3 3 2 2" xfId="3618"/>
    <cellStyle name="Accent3 3 2 2 2" xfId="3619"/>
    <cellStyle name="Accent3 3 2 2 2 2" xfId="3620"/>
    <cellStyle name="Accent3 3 2 2 3" xfId="3621"/>
    <cellStyle name="Accent3 3 2 3" xfId="3622"/>
    <cellStyle name="Accent3 3 3" xfId="3623"/>
    <cellStyle name="Accent3 4" xfId="3624"/>
    <cellStyle name="Accent3 4 2" xfId="3625"/>
    <cellStyle name="Accent3 4 2 2" xfId="3626"/>
    <cellStyle name="Accent3 4 3" xfId="3627"/>
    <cellStyle name="Accent3 5" xfId="3628"/>
    <cellStyle name="Accent3 6" xfId="3629"/>
    <cellStyle name="Accent4 2" xfId="3630"/>
    <cellStyle name="Accent4 2 2" xfId="3631"/>
    <cellStyle name="Accent4 2 2 2" xfId="3632"/>
    <cellStyle name="Accent4 2 2 2 2" xfId="3633"/>
    <cellStyle name="Accent4 2 2 2 3" xfId="3634"/>
    <cellStyle name="Accent4 2 2 2 4" xfId="3635"/>
    <cellStyle name="Accent4 2 2 3" xfId="3636"/>
    <cellStyle name="Accent4 2 2 4" xfId="3637"/>
    <cellStyle name="Accent4 2 2 5" xfId="3638"/>
    <cellStyle name="Accent4 2 3" xfId="3639"/>
    <cellStyle name="Accent4 2 3 2" xfId="3640"/>
    <cellStyle name="Accent4 2 3 2 2" xfId="3641"/>
    <cellStyle name="Accent4 2 3 2 3" xfId="3642"/>
    <cellStyle name="Accent4 2 3 2 4" xfId="3643"/>
    <cellStyle name="Accent4 2 3 3" xfId="3644"/>
    <cellStyle name="Accent4 2 3 3 2" xfId="3645"/>
    <cellStyle name="Accent4 2 3 3 3" xfId="3646"/>
    <cellStyle name="Accent4 2 3 4" xfId="3647"/>
    <cellStyle name="Accent4 2 3 5" xfId="3648"/>
    <cellStyle name="Accent4 2 3 6" xfId="3649"/>
    <cellStyle name="Accent4 2 4" xfId="3650"/>
    <cellStyle name="Accent4 2 4 2" xfId="3651"/>
    <cellStyle name="Accent4 2 4 3" xfId="3652"/>
    <cellStyle name="Accent4 2 5" xfId="3653"/>
    <cellStyle name="Accent4 2 6" xfId="3654"/>
    <cellStyle name="Accent4 2 7" xfId="3655"/>
    <cellStyle name="Accent4 2 8" xfId="3656"/>
    <cellStyle name="Accent4 3" xfId="3657"/>
    <cellStyle name="Accent4 3 2" xfId="3658"/>
    <cellStyle name="Accent4 3 2 2" xfId="3659"/>
    <cellStyle name="Accent4 3 2 2 2" xfId="3660"/>
    <cellStyle name="Accent4 3 2 2 2 2" xfId="3661"/>
    <cellStyle name="Accent4 3 2 2 3" xfId="3662"/>
    <cellStyle name="Accent4 3 2 3" xfId="3663"/>
    <cellStyle name="Accent4 3 3" xfId="3664"/>
    <cellStyle name="Accent4 4" xfId="3665"/>
    <cellStyle name="Accent4 4 2" xfId="3666"/>
    <cellStyle name="Accent4 4 2 2" xfId="3667"/>
    <cellStyle name="Accent4 4 3" xfId="3668"/>
    <cellStyle name="Accent4 5" xfId="3669"/>
    <cellStyle name="Accent4 6" xfId="3670"/>
    <cellStyle name="Accent5 2" xfId="3671"/>
    <cellStyle name="Accent5 2 10" xfId="3672"/>
    <cellStyle name="Accent5 2 11" xfId="3673"/>
    <cellStyle name="Accent5 2 2" xfId="3674"/>
    <cellStyle name="Accent5 2 2 2" xfId="3675"/>
    <cellStyle name="Accent5 2 2 2 2" xfId="3676"/>
    <cellStyle name="Accent5 2 2 2 2 2" xfId="3677"/>
    <cellStyle name="Accent5 2 2 2 3" xfId="3678"/>
    <cellStyle name="Accent5 2 2 2 4" xfId="3679"/>
    <cellStyle name="Accent5 2 2 2 5" xfId="3680"/>
    <cellStyle name="Accent5 2 2 3" xfId="3681"/>
    <cellStyle name="Accent5 2 2 4" xfId="3682"/>
    <cellStyle name="Accent5 2 2 5" xfId="3683"/>
    <cellStyle name="Accent5 2 3" xfId="3684"/>
    <cellStyle name="Accent5 2 3 2" xfId="3685"/>
    <cellStyle name="Accent5 2 3 2 2" xfId="3686"/>
    <cellStyle name="Accent5 2 3 2 3" xfId="3687"/>
    <cellStyle name="Accent5 2 3 2 4" xfId="3688"/>
    <cellStyle name="Accent5 2 3 3" xfId="3689"/>
    <cellStyle name="Accent5 2 3 3 2" xfId="3690"/>
    <cellStyle name="Accent5 2 3 3 3" xfId="3691"/>
    <cellStyle name="Accent5 2 3 4" xfId="3692"/>
    <cellStyle name="Accent5 2 3 5" xfId="3693"/>
    <cellStyle name="Accent5 2 3 6" xfId="3694"/>
    <cellStyle name="Accent5 2 4" xfId="3695"/>
    <cellStyle name="Accent5 2 4 2" xfId="3696"/>
    <cellStyle name="Accent5 2 4 2 2" xfId="3697"/>
    <cellStyle name="Accent5 2 4 2 3" xfId="3698"/>
    <cellStyle name="Accent5 2 4 2 4" xfId="3699"/>
    <cellStyle name="Accent5 2 4 3" xfId="3700"/>
    <cellStyle name="Accent5 2 4 3 2" xfId="3701"/>
    <cellStyle name="Accent5 2 4 3 3" xfId="3702"/>
    <cellStyle name="Accent5 2 4 4" xfId="3703"/>
    <cellStyle name="Accent5 2 4 5" xfId="3704"/>
    <cellStyle name="Accent5 2 4 6" xfId="3705"/>
    <cellStyle name="Accent5 2 5" xfId="3706"/>
    <cellStyle name="Accent5 2 5 2" xfId="3707"/>
    <cellStyle name="Accent5 2 5 2 2" xfId="3708"/>
    <cellStyle name="Accent5 2 5 2 3" xfId="3709"/>
    <cellStyle name="Accent5 2 5 2 4" xfId="3710"/>
    <cellStyle name="Accent5 2 5 3" xfId="3711"/>
    <cellStyle name="Accent5 2 5 3 2" xfId="3712"/>
    <cellStyle name="Accent5 2 5 3 3" xfId="3713"/>
    <cellStyle name="Accent5 2 5 4" xfId="3714"/>
    <cellStyle name="Accent5 2 5 5" xfId="3715"/>
    <cellStyle name="Accent5 2 5 6" xfId="3716"/>
    <cellStyle name="Accent5 2 6" xfId="3717"/>
    <cellStyle name="Accent5 2 6 2" xfId="3718"/>
    <cellStyle name="Accent5 2 6 3" xfId="3719"/>
    <cellStyle name="Accent5 2 6 4" xfId="3720"/>
    <cellStyle name="Accent5 2 7" xfId="3721"/>
    <cellStyle name="Accent5 2 7 2" xfId="3722"/>
    <cellStyle name="Accent5 2 7 3" xfId="3723"/>
    <cellStyle name="Accent5 2 8" xfId="3724"/>
    <cellStyle name="Accent5 2 9" xfId="3725"/>
    <cellStyle name="Accent5 3" xfId="3726"/>
    <cellStyle name="Accent5 3 2" xfId="3727"/>
    <cellStyle name="Accent5 3 2 2" xfId="3728"/>
    <cellStyle name="Accent5 3 2 2 2" xfId="3729"/>
    <cellStyle name="Accent5 3 2 2 2 2" xfId="3730"/>
    <cellStyle name="Accent5 3 2 2 3" xfId="3731"/>
    <cellStyle name="Accent5 3 2 3" xfId="3732"/>
    <cellStyle name="Accent5 3 3" xfId="3733"/>
    <cellStyle name="Accent5 4" xfId="3734"/>
    <cellStyle name="Accent5 4 2" xfId="3735"/>
    <cellStyle name="Accent5 4 2 2" xfId="3736"/>
    <cellStyle name="Accent5 4 3" xfId="3737"/>
    <cellStyle name="Accent5 5" xfId="3738"/>
    <cellStyle name="Accent5 6" xfId="3739"/>
    <cellStyle name="Accent6 2" xfId="3740"/>
    <cellStyle name="Accent6 2 2" xfId="3741"/>
    <cellStyle name="Accent6 2 2 2" xfId="3742"/>
    <cellStyle name="Accent6 2 2 2 2" xfId="3743"/>
    <cellStyle name="Accent6 2 2 2 3" xfId="3744"/>
    <cellStyle name="Accent6 2 2 2 4" xfId="3745"/>
    <cellStyle name="Accent6 2 2 3" xfId="3746"/>
    <cellStyle name="Accent6 2 2 4" xfId="3747"/>
    <cellStyle name="Accent6 2 2 5" xfId="3748"/>
    <cellStyle name="Accent6 2 3" xfId="3749"/>
    <cellStyle name="Accent6 2 3 2" xfId="3750"/>
    <cellStyle name="Accent6 2 3 2 2" xfId="3751"/>
    <cellStyle name="Accent6 2 3 2 3" xfId="3752"/>
    <cellStyle name="Accent6 2 3 2 4" xfId="3753"/>
    <cellStyle name="Accent6 2 3 3" xfId="3754"/>
    <cellStyle name="Accent6 2 3 3 2" xfId="3755"/>
    <cellStyle name="Accent6 2 3 3 3" xfId="3756"/>
    <cellStyle name="Accent6 2 3 4" xfId="3757"/>
    <cellStyle name="Accent6 2 3 5" xfId="3758"/>
    <cellStyle name="Accent6 2 3 6" xfId="3759"/>
    <cellStyle name="Accent6 2 4" xfId="3760"/>
    <cellStyle name="Accent6 2 4 2" xfId="3761"/>
    <cellStyle name="Accent6 2 4 3" xfId="3762"/>
    <cellStyle name="Accent6 2 5" xfId="3763"/>
    <cellStyle name="Accent6 2 6" xfId="3764"/>
    <cellStyle name="Accent6 2 7" xfId="3765"/>
    <cellStyle name="Accent6 2 8" xfId="3766"/>
    <cellStyle name="Accent6 3" xfId="3767"/>
    <cellStyle name="Accent6 3 2" xfId="3768"/>
    <cellStyle name="Accent6 3 2 2" xfId="3769"/>
    <cellStyle name="Accent6 3 2 2 2" xfId="3770"/>
    <cellStyle name="Accent6 3 2 2 2 2" xfId="3771"/>
    <cellStyle name="Accent6 3 2 2 3" xfId="3772"/>
    <cellStyle name="Accent6 3 2 3" xfId="3773"/>
    <cellStyle name="Accent6 3 3" xfId="3774"/>
    <cellStyle name="Accent6 4" xfId="3775"/>
    <cellStyle name="Accent6 4 2" xfId="3776"/>
    <cellStyle name="Accent6 4 2 2" xfId="3777"/>
    <cellStyle name="Accent6 4 3" xfId="3778"/>
    <cellStyle name="Accent6 5" xfId="3779"/>
    <cellStyle name="Accent6 6" xfId="3780"/>
    <cellStyle name="Bad 2" xfId="3781"/>
    <cellStyle name="Bad 2 2" xfId="3782"/>
    <cellStyle name="Bad 2 2 2" xfId="3783"/>
    <cellStyle name="Bad 2 2 2 2" xfId="3784"/>
    <cellStyle name="Bad 2 2 2 3" xfId="3785"/>
    <cellStyle name="Bad 2 2 2 4" xfId="3786"/>
    <cellStyle name="Bad 2 2 3" xfId="3787"/>
    <cellStyle name="Bad 2 2 4" xfId="3788"/>
    <cellStyle name="Bad 2 2 5" xfId="3789"/>
    <cellStyle name="Bad 2 3" xfId="3790"/>
    <cellStyle name="Bad 2 3 2" xfId="3791"/>
    <cellStyle name="Bad 2 3 2 2" xfId="3792"/>
    <cellStyle name="Bad 2 3 2 3" xfId="3793"/>
    <cellStyle name="Bad 2 3 2 4" xfId="3794"/>
    <cellStyle name="Bad 2 3 3" xfId="3795"/>
    <cellStyle name="Bad 2 3 3 2" xfId="3796"/>
    <cellStyle name="Bad 2 3 3 3" xfId="3797"/>
    <cellStyle name="Bad 2 3 4" xfId="3798"/>
    <cellStyle name="Bad 2 3 5" xfId="3799"/>
    <cellStyle name="Bad 2 3 6" xfId="3800"/>
    <cellStyle name="Bad 2 4" xfId="3801"/>
    <cellStyle name="Bad 2 4 2" xfId="3802"/>
    <cellStyle name="Bad 2 4 3" xfId="3803"/>
    <cellStyle name="Bad 2 5" xfId="3804"/>
    <cellStyle name="Bad 2 6" xfId="3805"/>
    <cellStyle name="Bad 2 7" xfId="3806"/>
    <cellStyle name="Bad 2 8" xfId="3807"/>
    <cellStyle name="Bad 3" xfId="3808"/>
    <cellStyle name="Bad 3 2" xfId="3809"/>
    <cellStyle name="Bad 3 2 2" xfId="3810"/>
    <cellStyle name="Bad 3 2 2 2" xfId="3811"/>
    <cellStyle name="Bad 3 2 2 2 2" xfId="3812"/>
    <cellStyle name="Bad 3 2 2 3" xfId="3813"/>
    <cellStyle name="Bad 3 2 3" xfId="3814"/>
    <cellStyle name="Bad 3 3" xfId="3815"/>
    <cellStyle name="Bad 3 3 2" xfId="3816"/>
    <cellStyle name="Bad 3 4" xfId="3817"/>
    <cellStyle name="Bad 4" xfId="3818"/>
    <cellStyle name="Bad 4 2" xfId="3819"/>
    <cellStyle name="Bad 4 2 2" xfId="3820"/>
    <cellStyle name="Bad 4 3" xfId="3821"/>
    <cellStyle name="Bad 5" xfId="3822"/>
    <cellStyle name="Bad 6" xfId="3823"/>
    <cellStyle name="Calculation 2" xfId="3824"/>
    <cellStyle name="Calculation 2 10" xfId="3825"/>
    <cellStyle name="Calculation 2 11" xfId="3826"/>
    <cellStyle name="Calculation 2 2" xfId="3827"/>
    <cellStyle name="Calculation 2 2 2" xfId="3828"/>
    <cellStyle name="Calculation 2 2 2 2" xfId="3829"/>
    <cellStyle name="Calculation 2 2 2 2 2" xfId="3830"/>
    <cellStyle name="Calculation 2 2 2 3" xfId="3831"/>
    <cellStyle name="Calculation 2 2 2 4" xfId="3832"/>
    <cellStyle name="Calculation 2 2 2 5" xfId="3833"/>
    <cellStyle name="Calculation 2 2 3" xfId="3834"/>
    <cellStyle name="Calculation 2 2 4" xfId="3835"/>
    <cellStyle name="Calculation 2 2 5" xfId="3836"/>
    <cellStyle name="Calculation 2 3" xfId="3837"/>
    <cellStyle name="Calculation 2 3 2" xfId="3838"/>
    <cellStyle name="Calculation 2 3 2 2" xfId="3839"/>
    <cellStyle name="Calculation 2 3 2 3" xfId="3840"/>
    <cellStyle name="Calculation 2 3 2 4" xfId="3841"/>
    <cellStyle name="Calculation 2 3 3" xfId="3842"/>
    <cellStyle name="Calculation 2 3 3 2" xfId="3843"/>
    <cellStyle name="Calculation 2 3 3 3" xfId="3844"/>
    <cellStyle name="Calculation 2 3 4" xfId="3845"/>
    <cellStyle name="Calculation 2 3 5" xfId="3846"/>
    <cellStyle name="Calculation 2 3 6" xfId="3847"/>
    <cellStyle name="Calculation 2 4" xfId="3848"/>
    <cellStyle name="Calculation 2 4 2" xfId="3849"/>
    <cellStyle name="Calculation 2 4 2 2" xfId="3850"/>
    <cellStyle name="Calculation 2 4 2 3" xfId="3851"/>
    <cellStyle name="Calculation 2 4 2 4" xfId="3852"/>
    <cellStyle name="Calculation 2 4 3" xfId="3853"/>
    <cellStyle name="Calculation 2 4 3 2" xfId="3854"/>
    <cellStyle name="Calculation 2 4 3 3" xfId="3855"/>
    <cellStyle name="Calculation 2 4 4" xfId="3856"/>
    <cellStyle name="Calculation 2 4 5" xfId="3857"/>
    <cellStyle name="Calculation 2 4 6" xfId="3858"/>
    <cellStyle name="Calculation 2 5" xfId="3859"/>
    <cellStyle name="Calculation 2 5 2" xfId="3860"/>
    <cellStyle name="Calculation 2 5 2 2" xfId="3861"/>
    <cellStyle name="Calculation 2 5 2 3" xfId="3862"/>
    <cellStyle name="Calculation 2 5 2 4" xfId="3863"/>
    <cellStyle name="Calculation 2 5 3" xfId="3864"/>
    <cellStyle name="Calculation 2 5 3 2" xfId="3865"/>
    <cellStyle name="Calculation 2 5 3 3" xfId="3866"/>
    <cellStyle name="Calculation 2 5 4" xfId="3867"/>
    <cellStyle name="Calculation 2 5 5" xfId="3868"/>
    <cellStyle name="Calculation 2 5 6" xfId="3869"/>
    <cellStyle name="Calculation 2 6" xfId="3870"/>
    <cellStyle name="Calculation 2 6 2" xfId="3871"/>
    <cellStyle name="Calculation 2 6 3" xfId="3872"/>
    <cellStyle name="Calculation 2 6 4" xfId="3873"/>
    <cellStyle name="Calculation 2 7" xfId="3874"/>
    <cellStyle name="Calculation 2 7 2" xfId="3875"/>
    <cellStyle name="Calculation 2 7 3" xfId="3876"/>
    <cellStyle name="Calculation 2 8" xfId="3877"/>
    <cellStyle name="Calculation 2 9" xfId="3878"/>
    <cellStyle name="Calculation 3" xfId="3879"/>
    <cellStyle name="Calculation 3 2" xfId="3880"/>
    <cellStyle name="Calculation 3 2 2" xfId="3881"/>
    <cellStyle name="Calculation 3 2 2 2" xfId="3882"/>
    <cellStyle name="Calculation 3 2 2 2 2" xfId="3883"/>
    <cellStyle name="Calculation 3 2 2 3" xfId="3884"/>
    <cellStyle name="Calculation 3 2 3" xfId="3885"/>
    <cellStyle name="Calculation 3 3" xfId="3886"/>
    <cellStyle name="Calculation 4" xfId="3887"/>
    <cellStyle name="Calculation 4 2" xfId="3888"/>
    <cellStyle name="Calculation 4 2 2" xfId="3889"/>
    <cellStyle name="Calculation 4 3" xfId="3890"/>
    <cellStyle name="Calculation 5" xfId="3891"/>
    <cellStyle name="Calculation 6" xfId="3892"/>
    <cellStyle name="Check Cell 2" xfId="3893"/>
    <cellStyle name="Check Cell 2 10" xfId="3894"/>
    <cellStyle name="Check Cell 2 11" xfId="3895"/>
    <cellStyle name="Check Cell 2 2" xfId="3896"/>
    <cellStyle name="Check Cell 2 2 2" xfId="3897"/>
    <cellStyle name="Check Cell 2 2 2 2" xfId="3898"/>
    <cellStyle name="Check Cell 2 2 2 2 2" xfId="3899"/>
    <cellStyle name="Check Cell 2 2 2 3" xfId="3900"/>
    <cellStyle name="Check Cell 2 2 2 4" xfId="3901"/>
    <cellStyle name="Check Cell 2 2 2 5" xfId="3902"/>
    <cellStyle name="Check Cell 2 2 3" xfId="3903"/>
    <cellStyle name="Check Cell 2 2 4" xfId="3904"/>
    <cellStyle name="Check Cell 2 2 5" xfId="3905"/>
    <cellStyle name="Check Cell 2 3" xfId="3906"/>
    <cellStyle name="Check Cell 2 3 2" xfId="3907"/>
    <cellStyle name="Check Cell 2 3 2 2" xfId="3908"/>
    <cellStyle name="Check Cell 2 3 2 3" xfId="3909"/>
    <cellStyle name="Check Cell 2 3 2 4" xfId="3910"/>
    <cellStyle name="Check Cell 2 3 3" xfId="3911"/>
    <cellStyle name="Check Cell 2 3 3 2" xfId="3912"/>
    <cellStyle name="Check Cell 2 3 3 3" xfId="3913"/>
    <cellStyle name="Check Cell 2 3 4" xfId="3914"/>
    <cellStyle name="Check Cell 2 3 5" xfId="3915"/>
    <cellStyle name="Check Cell 2 3 6" xfId="3916"/>
    <cellStyle name="Check Cell 2 4" xfId="3917"/>
    <cellStyle name="Check Cell 2 4 2" xfId="3918"/>
    <cellStyle name="Check Cell 2 4 2 2" xfId="3919"/>
    <cellStyle name="Check Cell 2 4 2 3" xfId="3920"/>
    <cellStyle name="Check Cell 2 4 2 4" xfId="3921"/>
    <cellStyle name="Check Cell 2 4 3" xfId="3922"/>
    <cellStyle name="Check Cell 2 4 3 2" xfId="3923"/>
    <cellStyle name="Check Cell 2 4 3 3" xfId="3924"/>
    <cellStyle name="Check Cell 2 4 4" xfId="3925"/>
    <cellStyle name="Check Cell 2 4 5" xfId="3926"/>
    <cellStyle name="Check Cell 2 4 6" xfId="3927"/>
    <cellStyle name="Check Cell 2 5" xfId="3928"/>
    <cellStyle name="Check Cell 2 5 2" xfId="3929"/>
    <cellStyle name="Check Cell 2 5 2 2" xfId="3930"/>
    <cellStyle name="Check Cell 2 5 2 3" xfId="3931"/>
    <cellStyle name="Check Cell 2 5 2 4" xfId="3932"/>
    <cellStyle name="Check Cell 2 5 3" xfId="3933"/>
    <cellStyle name="Check Cell 2 5 3 2" xfId="3934"/>
    <cellStyle name="Check Cell 2 5 3 3" xfId="3935"/>
    <cellStyle name="Check Cell 2 5 4" xfId="3936"/>
    <cellStyle name="Check Cell 2 5 5" xfId="3937"/>
    <cellStyle name="Check Cell 2 5 6" xfId="3938"/>
    <cellStyle name="Check Cell 2 6" xfId="3939"/>
    <cellStyle name="Check Cell 2 6 2" xfId="3940"/>
    <cellStyle name="Check Cell 2 6 3" xfId="3941"/>
    <cellStyle name="Check Cell 2 6 4" xfId="3942"/>
    <cellStyle name="Check Cell 2 7" xfId="3943"/>
    <cellStyle name="Check Cell 2 7 2" xfId="3944"/>
    <cellStyle name="Check Cell 2 7 3" xfId="3945"/>
    <cellStyle name="Check Cell 2 8" xfId="3946"/>
    <cellStyle name="Check Cell 2 9" xfId="3947"/>
    <cellStyle name="Check Cell 3" xfId="3948"/>
    <cellStyle name="Check Cell 3 2" xfId="3949"/>
    <cellStyle name="Check Cell 3 2 2" xfId="3950"/>
    <cellStyle name="Check Cell 3 2 2 2" xfId="3951"/>
    <cellStyle name="Check Cell 3 2 2 2 2" xfId="3952"/>
    <cellStyle name="Check Cell 3 2 2 3" xfId="3953"/>
    <cellStyle name="Check Cell 3 2 3" xfId="3954"/>
    <cellStyle name="Check Cell 3 3" xfId="3955"/>
    <cellStyle name="Check Cell 4" xfId="3956"/>
    <cellStyle name="Check Cell 4 2" xfId="3957"/>
    <cellStyle name="Check Cell 4 2 2" xfId="3958"/>
    <cellStyle name="Check Cell 4 3" xfId="3959"/>
    <cellStyle name="Check Cell 5" xfId="3960"/>
    <cellStyle name="Check Cell 6" xfId="3961"/>
    <cellStyle name="Comma" xfId="1" builtinId="3"/>
    <cellStyle name="Comma 2" xfId="3962"/>
    <cellStyle name="Comma 2 2" xfId="3963"/>
    <cellStyle name="Comma 2 3" xfId="3964"/>
    <cellStyle name="Comma 3" xfId="3965"/>
    <cellStyle name="Comma 4" xfId="6"/>
    <cellStyle name="Comma 4 2" xfId="3966"/>
    <cellStyle name="Comma 5" xfId="3967"/>
    <cellStyle name="Comma 5 2" xfId="3968"/>
    <cellStyle name="Comma 5 2 2" xfId="3969"/>
    <cellStyle name="Comma 5 2 2 2" xfId="3970"/>
    <cellStyle name="Comma 5 2 3" xfId="3971"/>
    <cellStyle name="Comma 5 2 3 2" xfId="3972"/>
    <cellStyle name="Comma 5 2 4" xfId="3973"/>
    <cellStyle name="Comma 5 3" xfId="3974"/>
    <cellStyle name="Comma 5 3 2" xfId="3975"/>
    <cellStyle name="Comma 5 4" xfId="3976"/>
    <cellStyle name="Comma 5 4 2" xfId="3977"/>
    <cellStyle name="Comma 5 5" xfId="3978"/>
    <cellStyle name="Comma 6" xfId="3979"/>
    <cellStyle name="Comma 7" xfId="12415"/>
    <cellStyle name="Euro" xfId="3980"/>
    <cellStyle name="Euro 2" xfId="3981"/>
    <cellStyle name="Euro 2 2" xfId="3982"/>
    <cellStyle name="Euro 2 2 2" xfId="3983"/>
    <cellStyle name="Euro 2 2 3" xfId="3984"/>
    <cellStyle name="Euro 2 2 4" xfId="3985"/>
    <cellStyle name="Euro 2 3" xfId="3986"/>
    <cellStyle name="Euro 2 3 2" xfId="3987"/>
    <cellStyle name="Euro 2 3 3" xfId="3988"/>
    <cellStyle name="Euro 2 4" xfId="3989"/>
    <cellStyle name="Euro 2 4 2" xfId="3990"/>
    <cellStyle name="Euro 2 4 3" xfId="3991"/>
    <cellStyle name="Euro 2 5" xfId="3992"/>
    <cellStyle name="Euro 2 6" xfId="3993"/>
    <cellStyle name="Euro 2 7" xfId="3994"/>
    <cellStyle name="Euro 3" xfId="3995"/>
    <cellStyle name="Euro 3 2" xfId="3996"/>
    <cellStyle name="Euro 3 2 2" xfId="3997"/>
    <cellStyle name="Euro 3 2 3" xfId="3998"/>
    <cellStyle name="Euro 3 3" xfId="3999"/>
    <cellStyle name="Euro 3 4" xfId="4000"/>
    <cellStyle name="Euro 3 5" xfId="4001"/>
    <cellStyle name="Euro 4" xfId="4002"/>
    <cellStyle name="Euro 4 2" xfId="4003"/>
    <cellStyle name="Euro 4 3" xfId="4004"/>
    <cellStyle name="Euro 5" xfId="4005"/>
    <cellStyle name="Euro 6" xfId="4006"/>
    <cellStyle name="Euro 7" xfId="4007"/>
    <cellStyle name="Excel Built-in Normal" xfId="4008"/>
    <cellStyle name="Excel Built-in Normal 10" xfId="4009"/>
    <cellStyle name="Excel Built-in Normal 11" xfId="4010"/>
    <cellStyle name="Excel Built-in Normal 12" xfId="4011"/>
    <cellStyle name="Excel Built-in Normal 2" xfId="2"/>
    <cellStyle name="Excel Built-in Normal 2 10" xfId="4012"/>
    <cellStyle name="Excel Built-in Normal 2 2" xfId="4013"/>
    <cellStyle name="Excel Built-in Normal 2 2 2" xfId="4014"/>
    <cellStyle name="Excel Built-in Normal 2 2 2 2" xfId="4015"/>
    <cellStyle name="Excel Built-in Normal 2 2 2 3" xfId="4016"/>
    <cellStyle name="Excel Built-in Normal 2 2 2 4" xfId="4017"/>
    <cellStyle name="Excel Built-in Normal 2 2 3" xfId="4018"/>
    <cellStyle name="Excel Built-in Normal 2 2 3 2" xfId="4019"/>
    <cellStyle name="Excel Built-in Normal 2 2 3 3" xfId="4020"/>
    <cellStyle name="Excel Built-in Normal 2 2 4" xfId="4021"/>
    <cellStyle name="Excel Built-in Normal 2 2 5" xfId="4022"/>
    <cellStyle name="Excel Built-in Normal 2 2 6" xfId="4023"/>
    <cellStyle name="Excel Built-in Normal 2 3" xfId="4024"/>
    <cellStyle name="Excel Built-in Normal 2 3 2" xfId="4025"/>
    <cellStyle name="Excel Built-in Normal 2 3 3" xfId="4026"/>
    <cellStyle name="Excel Built-in Normal 2 3 4" xfId="4027"/>
    <cellStyle name="Excel Built-in Normal 2 4" xfId="4028"/>
    <cellStyle name="Excel Built-in Normal 2 4 2" xfId="4029"/>
    <cellStyle name="Excel Built-in Normal 2 4 3" xfId="4030"/>
    <cellStyle name="Excel Built-in Normal 2 5" xfId="4031"/>
    <cellStyle name="Excel Built-in Normal 2 6" xfId="4032"/>
    <cellStyle name="Excel Built-in Normal 2 7" xfId="4033"/>
    <cellStyle name="Excel Built-in Normal 2 8" xfId="4034"/>
    <cellStyle name="Excel Built-in Normal 2 9" xfId="4035"/>
    <cellStyle name="Excel Built-in Normal 3" xfId="4036"/>
    <cellStyle name="Excel Built-in Normal 3 2" xfId="4037"/>
    <cellStyle name="Excel Built-in Normal 3 2 2" xfId="4038"/>
    <cellStyle name="Excel Built-in Normal 3 2 3" xfId="4039"/>
    <cellStyle name="Excel Built-in Normal 3 2 4" xfId="4040"/>
    <cellStyle name="Excel Built-in Normal 3 3" xfId="4041"/>
    <cellStyle name="Excel Built-in Normal 3 3 2" xfId="4042"/>
    <cellStyle name="Excel Built-in Normal 3 3 3" xfId="4043"/>
    <cellStyle name="Excel Built-in Normal 3 4" xfId="4044"/>
    <cellStyle name="Excel Built-in Normal 3 5" xfId="4045"/>
    <cellStyle name="Excel Built-in Normal 3 6" xfId="4046"/>
    <cellStyle name="Excel Built-in Normal 3 7" xfId="4047"/>
    <cellStyle name="Excel Built-in Normal 4" xfId="4048"/>
    <cellStyle name="Excel Built-in Normal 4 2" xfId="4049"/>
    <cellStyle name="Excel Built-in Normal 4 2 2" xfId="4050"/>
    <cellStyle name="Excel Built-in Normal 4 2 3" xfId="4051"/>
    <cellStyle name="Excel Built-in Normal 4 2 4" xfId="4052"/>
    <cellStyle name="Excel Built-in Normal 4 3" xfId="4053"/>
    <cellStyle name="Excel Built-in Normal 4 3 2" xfId="4054"/>
    <cellStyle name="Excel Built-in Normal 4 3 3" xfId="4055"/>
    <cellStyle name="Excel Built-in Normal 4 4" xfId="4056"/>
    <cellStyle name="Excel Built-in Normal 4 5" xfId="4057"/>
    <cellStyle name="Excel Built-in Normal 4 6" xfId="4058"/>
    <cellStyle name="Excel Built-in Normal 5" xfId="4059"/>
    <cellStyle name="Excel Built-in Normal 5 2" xfId="4060"/>
    <cellStyle name="Excel Built-in Normal 5 3" xfId="4061"/>
    <cellStyle name="Excel Built-in Normal 5 4" xfId="4062"/>
    <cellStyle name="Excel Built-in Normal 6" xfId="4063"/>
    <cellStyle name="Excel Built-in Normal 6 2" xfId="4064"/>
    <cellStyle name="Excel Built-in Normal 6 3" xfId="4065"/>
    <cellStyle name="Excel Built-in Normal 7" xfId="4066"/>
    <cellStyle name="Excel Built-in Normal 8" xfId="4067"/>
    <cellStyle name="Excel Built-in Normal 9" xfId="4068"/>
    <cellStyle name="Excel_BuiltIn_Calculation" xfId="4069"/>
    <cellStyle name="Explanatory Text 2" xfId="4070"/>
    <cellStyle name="Explanatory Text 2 2" xfId="4071"/>
    <cellStyle name="Explanatory Text 2 2 2" xfId="4072"/>
    <cellStyle name="Explanatory Text 2 2 2 2" xfId="4073"/>
    <cellStyle name="Explanatory Text 2 2 2 3" xfId="4074"/>
    <cellStyle name="Explanatory Text 2 2 2 4" xfId="4075"/>
    <cellStyle name="Explanatory Text 2 2 3" xfId="4076"/>
    <cellStyle name="Explanatory Text 2 2 4" xfId="4077"/>
    <cellStyle name="Explanatory Text 2 2 5" xfId="4078"/>
    <cellStyle name="Explanatory Text 2 3" xfId="4079"/>
    <cellStyle name="Explanatory Text 2 3 2" xfId="4080"/>
    <cellStyle name="Explanatory Text 2 3 2 2" xfId="4081"/>
    <cellStyle name="Explanatory Text 2 3 2 3" xfId="4082"/>
    <cellStyle name="Explanatory Text 2 3 2 4" xfId="4083"/>
    <cellStyle name="Explanatory Text 2 3 3" xfId="4084"/>
    <cellStyle name="Explanatory Text 2 3 3 2" xfId="4085"/>
    <cellStyle name="Explanatory Text 2 3 3 3" xfId="4086"/>
    <cellStyle name="Explanatory Text 2 3 4" xfId="4087"/>
    <cellStyle name="Explanatory Text 2 3 5" xfId="4088"/>
    <cellStyle name="Explanatory Text 2 3 6" xfId="4089"/>
    <cellStyle name="Explanatory Text 2 4" xfId="4090"/>
    <cellStyle name="Explanatory Text 2 4 2" xfId="4091"/>
    <cellStyle name="Explanatory Text 2 4 3" xfId="4092"/>
    <cellStyle name="Explanatory Text 2 5" xfId="4093"/>
    <cellStyle name="Explanatory Text 2 6" xfId="4094"/>
    <cellStyle name="Explanatory Text 2 7" xfId="4095"/>
    <cellStyle name="Explanatory Text 2 8" xfId="4096"/>
    <cellStyle name="Explanatory Text 3" xfId="4097"/>
    <cellStyle name="Explanatory Text 3 2" xfId="4098"/>
    <cellStyle name="Explanatory Text 3 2 2" xfId="4099"/>
    <cellStyle name="Explanatory Text 3 2 2 2" xfId="4100"/>
    <cellStyle name="Explanatory Text 3 2 2 2 2" xfId="4101"/>
    <cellStyle name="Explanatory Text 3 2 2 3" xfId="4102"/>
    <cellStyle name="Explanatory Text 3 2 3" xfId="4103"/>
    <cellStyle name="Explanatory Text 3 3" xfId="4104"/>
    <cellStyle name="Explanatory Text 4" xfId="4105"/>
    <cellStyle name="Explanatory Text 4 2" xfId="4106"/>
    <cellStyle name="Explanatory Text 4 2 2" xfId="4107"/>
    <cellStyle name="Explanatory Text 4 3" xfId="4108"/>
    <cellStyle name="Explanatory Text 5" xfId="4109"/>
    <cellStyle name="Explanatory Text 6" xfId="4110"/>
    <cellStyle name="Fail" xfId="4111"/>
    <cellStyle name="Fail 2" xfId="4112"/>
    <cellStyle name="Fail 2 2" xfId="4113"/>
    <cellStyle name="Fail 2 2 2" xfId="4114"/>
    <cellStyle name="Fail 2 2 2 2" xfId="4115"/>
    <cellStyle name="Fail 2 2 3" xfId="4116"/>
    <cellStyle name="Fail 2 2 4" xfId="4117"/>
    <cellStyle name="Fail 2 2 5" xfId="4118"/>
    <cellStyle name="Fail 2 3" xfId="4119"/>
    <cellStyle name="Fail 2 3 2" xfId="4120"/>
    <cellStyle name="Fail 2 3 3" xfId="4121"/>
    <cellStyle name="Fail 2 4" xfId="4122"/>
    <cellStyle name="Fail 2 5" xfId="4123"/>
    <cellStyle name="Fail 2 6" xfId="4124"/>
    <cellStyle name="Fail 2 7" xfId="4125"/>
    <cellStyle name="Fail 3" xfId="4126"/>
    <cellStyle name="Fail 3 2" xfId="4127"/>
    <cellStyle name="Fail 3 3" xfId="4128"/>
    <cellStyle name="Fail 3 4" xfId="4129"/>
    <cellStyle name="Fail 4" xfId="4130"/>
    <cellStyle name="Fail 4 2" xfId="4131"/>
    <cellStyle name="Fail 4 3" xfId="4132"/>
    <cellStyle name="Fail 5" xfId="4133"/>
    <cellStyle name="Fail 6" xfId="4134"/>
    <cellStyle name="Fail 7" xfId="4135"/>
    <cellStyle name="Fail 8" xfId="4136"/>
    <cellStyle name="Followed Hyperlink 2" xfId="4137"/>
    <cellStyle name="Followed Hyperlink 2 2" xfId="4138"/>
    <cellStyle name="Good 2" xfId="4139"/>
    <cellStyle name="Good 2 2" xfId="4140"/>
    <cellStyle name="Good 2 2 2" xfId="4141"/>
    <cellStyle name="Good 2 2 2 2" xfId="4142"/>
    <cellStyle name="Good 2 2 2 2 2" xfId="4143"/>
    <cellStyle name="Good 2 2 2 3" xfId="4144"/>
    <cellStyle name="Good 2 2 2 4" xfId="4145"/>
    <cellStyle name="Good 2 2 2 5" xfId="4146"/>
    <cellStyle name="Good 2 2 3" xfId="4147"/>
    <cellStyle name="Good 2 2 4" xfId="4148"/>
    <cellStyle name="Good 2 2 5" xfId="4149"/>
    <cellStyle name="Good 2 2 6" xfId="4150"/>
    <cellStyle name="Good 2 3" xfId="4151"/>
    <cellStyle name="Good 2 3 2" xfId="4152"/>
    <cellStyle name="Good 2 3 2 2" xfId="4153"/>
    <cellStyle name="Good 2 3 2 3" xfId="4154"/>
    <cellStyle name="Good 2 3 2 4" xfId="4155"/>
    <cellStyle name="Good 2 3 3" xfId="4156"/>
    <cellStyle name="Good 2 3 3 2" xfId="4157"/>
    <cellStyle name="Good 2 3 3 3" xfId="4158"/>
    <cellStyle name="Good 2 3 4" xfId="4159"/>
    <cellStyle name="Good 2 3 5" xfId="4160"/>
    <cellStyle name="Good 2 3 6" xfId="4161"/>
    <cellStyle name="Good 2 4" xfId="4162"/>
    <cellStyle name="Good 2 4 2" xfId="4163"/>
    <cellStyle name="Good 2 4 3" xfId="4164"/>
    <cellStyle name="Good 2 5" xfId="4165"/>
    <cellStyle name="Good 2 6" xfId="4166"/>
    <cellStyle name="Good 2 7" xfId="4167"/>
    <cellStyle name="Good 2 8" xfId="4168"/>
    <cellStyle name="Good 3" xfId="4169"/>
    <cellStyle name="Good 3 2" xfId="4170"/>
    <cellStyle name="Good 3 2 2" xfId="4171"/>
    <cellStyle name="Good 3 2 2 2" xfId="4172"/>
    <cellStyle name="Good 3 2 2 2 2" xfId="4173"/>
    <cellStyle name="Good 3 2 2 3" xfId="4174"/>
    <cellStyle name="Good 3 2 3" xfId="4175"/>
    <cellStyle name="Good 3 3" xfId="4176"/>
    <cellStyle name="Good 4" xfId="4177"/>
    <cellStyle name="Good 4 2" xfId="4178"/>
    <cellStyle name="Good 4 2 2" xfId="4179"/>
    <cellStyle name="Good 4 3" xfId="4180"/>
    <cellStyle name="Good 5" xfId="4181"/>
    <cellStyle name="Good 6" xfId="4182"/>
    <cellStyle name="Heading 1 2" xfId="4183"/>
    <cellStyle name="Heading 1 2 2" xfId="4184"/>
    <cellStyle name="Heading 1 2 2 2" xfId="4185"/>
    <cellStyle name="Heading 1 2 2 2 2" xfId="4186"/>
    <cellStyle name="Heading 1 2 2 2 3" xfId="4187"/>
    <cellStyle name="Heading 1 2 2 2 4" xfId="4188"/>
    <cellStyle name="Heading 1 2 2 3" xfId="4189"/>
    <cellStyle name="Heading 1 2 2 4" xfId="4190"/>
    <cellStyle name="Heading 1 2 2 5" xfId="4191"/>
    <cellStyle name="Heading 1 2 3" xfId="4192"/>
    <cellStyle name="Heading 1 2 3 2" xfId="4193"/>
    <cellStyle name="Heading 1 2 3 2 2" xfId="4194"/>
    <cellStyle name="Heading 1 2 3 2 3" xfId="4195"/>
    <cellStyle name="Heading 1 2 3 2 4" xfId="4196"/>
    <cellStyle name="Heading 1 2 3 3" xfId="4197"/>
    <cellStyle name="Heading 1 2 3 3 2" xfId="4198"/>
    <cellStyle name="Heading 1 2 3 3 3" xfId="4199"/>
    <cellStyle name="Heading 1 2 3 4" xfId="4200"/>
    <cellStyle name="Heading 1 2 3 5" xfId="4201"/>
    <cellStyle name="Heading 1 2 3 6" xfId="4202"/>
    <cellStyle name="Heading 1 2 4" xfId="4203"/>
    <cellStyle name="Heading 1 2 4 2" xfId="4204"/>
    <cellStyle name="Heading 1 2 4 3" xfId="4205"/>
    <cellStyle name="Heading 1 2 5" xfId="4206"/>
    <cellStyle name="Heading 1 2 6" xfId="4207"/>
    <cellStyle name="Heading 1 2 7" xfId="4208"/>
    <cellStyle name="Heading 1 2 8" xfId="4209"/>
    <cellStyle name="Heading 1 3" xfId="4210"/>
    <cellStyle name="Heading 1 3 2" xfId="4211"/>
    <cellStyle name="Heading 1 3 2 2" xfId="4212"/>
    <cellStyle name="Heading 1 3 2 2 2" xfId="4213"/>
    <cellStyle name="Heading 1 3 2 2 2 2" xfId="4214"/>
    <cellStyle name="Heading 1 3 2 2 3" xfId="4215"/>
    <cellStyle name="Heading 1 3 2 3" xfId="4216"/>
    <cellStyle name="Heading 1 3 3" xfId="4217"/>
    <cellStyle name="Heading 1 4" xfId="4218"/>
    <cellStyle name="Heading 1 4 2" xfId="4219"/>
    <cellStyle name="Heading 1 4 2 2" xfId="4220"/>
    <cellStyle name="Heading 1 4 3" xfId="4221"/>
    <cellStyle name="Heading 1 5" xfId="4222"/>
    <cellStyle name="Heading 1 6" xfId="4223"/>
    <cellStyle name="Heading 2 2" xfId="4224"/>
    <cellStyle name="Heading 2 2 2" xfId="4225"/>
    <cellStyle name="Heading 2 2 2 2" xfId="4226"/>
    <cellStyle name="Heading 2 2 2 2 2" xfId="4227"/>
    <cellStyle name="Heading 2 2 2 2 3" xfId="4228"/>
    <cellStyle name="Heading 2 2 2 2 4" xfId="4229"/>
    <cellStyle name="Heading 2 2 2 3" xfId="4230"/>
    <cellStyle name="Heading 2 2 2 4" xfId="4231"/>
    <cellStyle name="Heading 2 2 2 5" xfId="4232"/>
    <cellStyle name="Heading 2 2 3" xfId="4233"/>
    <cellStyle name="Heading 2 2 3 2" xfId="4234"/>
    <cellStyle name="Heading 2 2 3 2 2" xfId="4235"/>
    <cellStyle name="Heading 2 2 3 2 3" xfId="4236"/>
    <cellStyle name="Heading 2 2 3 2 4" xfId="4237"/>
    <cellStyle name="Heading 2 2 3 3" xfId="4238"/>
    <cellStyle name="Heading 2 2 3 3 2" xfId="4239"/>
    <cellStyle name="Heading 2 2 3 3 3" xfId="4240"/>
    <cellStyle name="Heading 2 2 3 4" xfId="4241"/>
    <cellStyle name="Heading 2 2 3 5" xfId="4242"/>
    <cellStyle name="Heading 2 2 3 6" xfId="4243"/>
    <cellStyle name="Heading 2 2 4" xfId="4244"/>
    <cellStyle name="Heading 2 2 4 2" xfId="4245"/>
    <cellStyle name="Heading 2 2 4 3" xfId="4246"/>
    <cellStyle name="Heading 2 2 5" xfId="4247"/>
    <cellStyle name="Heading 2 2 6" xfId="4248"/>
    <cellStyle name="Heading 2 2 7" xfId="4249"/>
    <cellStyle name="Heading 2 2 8" xfId="4250"/>
    <cellStyle name="Heading 2 3" xfId="4251"/>
    <cellStyle name="Heading 2 3 2" xfId="4252"/>
    <cellStyle name="Heading 2 3 2 2" xfId="4253"/>
    <cellStyle name="Heading 2 3 2 2 2" xfId="4254"/>
    <cellStyle name="Heading 2 3 2 2 2 2" xfId="4255"/>
    <cellStyle name="Heading 2 3 2 2 3" xfId="4256"/>
    <cellStyle name="Heading 2 3 2 3" xfId="4257"/>
    <cellStyle name="Heading 2 3 3" xfId="4258"/>
    <cellStyle name="Heading 2 4" xfId="4259"/>
    <cellStyle name="Heading 2 4 2" xfId="4260"/>
    <cellStyle name="Heading 2 4 2 2" xfId="4261"/>
    <cellStyle name="Heading 2 4 3" xfId="4262"/>
    <cellStyle name="Heading 2 5" xfId="4263"/>
    <cellStyle name="Heading 2 6" xfId="4264"/>
    <cellStyle name="Heading 3 2" xfId="4265"/>
    <cellStyle name="Heading 3 2 2" xfId="4266"/>
    <cellStyle name="Heading 3 2 2 2" xfId="4267"/>
    <cellStyle name="Heading 3 2 2 2 2" xfId="4268"/>
    <cellStyle name="Heading 3 2 2 2 3" xfId="4269"/>
    <cellStyle name="Heading 3 2 2 2 4" xfId="4270"/>
    <cellStyle name="Heading 3 2 2 3" xfId="4271"/>
    <cellStyle name="Heading 3 2 2 4" xfId="4272"/>
    <cellStyle name="Heading 3 2 2 5" xfId="4273"/>
    <cellStyle name="Heading 3 2 3" xfId="4274"/>
    <cellStyle name="Heading 3 2 3 2" xfId="4275"/>
    <cellStyle name="Heading 3 2 3 2 2" xfId="4276"/>
    <cellStyle name="Heading 3 2 3 2 3" xfId="4277"/>
    <cellStyle name="Heading 3 2 3 2 4" xfId="4278"/>
    <cellStyle name="Heading 3 2 3 3" xfId="4279"/>
    <cellStyle name="Heading 3 2 3 3 2" xfId="4280"/>
    <cellStyle name="Heading 3 2 3 3 3" xfId="4281"/>
    <cellStyle name="Heading 3 2 3 4" xfId="4282"/>
    <cellStyle name="Heading 3 2 3 5" xfId="4283"/>
    <cellStyle name="Heading 3 2 3 6" xfId="4284"/>
    <cellStyle name="Heading 3 2 4" xfId="4285"/>
    <cellStyle name="Heading 3 2 4 2" xfId="4286"/>
    <cellStyle name="Heading 3 2 4 3" xfId="4287"/>
    <cellStyle name="Heading 3 2 5" xfId="4288"/>
    <cellStyle name="Heading 3 2 6" xfId="4289"/>
    <cellStyle name="Heading 3 2 7" xfId="4290"/>
    <cellStyle name="Heading 3 2 8" xfId="4291"/>
    <cellStyle name="Heading 3 3" xfId="4292"/>
    <cellStyle name="Heading 3 3 2" xfId="4293"/>
    <cellStyle name="Heading 3 3 2 2" xfId="4294"/>
    <cellStyle name="Heading 3 3 2 2 2" xfId="4295"/>
    <cellStyle name="Heading 3 3 2 2 2 2" xfId="4296"/>
    <cellStyle name="Heading 3 3 2 2 3" xfId="4297"/>
    <cellStyle name="Heading 3 3 2 3" xfId="4298"/>
    <cellStyle name="Heading 3 3 3" xfId="4299"/>
    <cellStyle name="Heading 3 4" xfId="4300"/>
    <cellStyle name="Heading 3 4 2" xfId="4301"/>
    <cellStyle name="Heading 3 4 2 2" xfId="4302"/>
    <cellStyle name="Heading 3 4 3" xfId="4303"/>
    <cellStyle name="Heading 3 5" xfId="4304"/>
    <cellStyle name="Heading 3 6" xfId="4305"/>
    <cellStyle name="Heading 4 2" xfId="4306"/>
    <cellStyle name="Heading 4 2 2" xfId="4307"/>
    <cellStyle name="Heading 4 2 2 2" xfId="4308"/>
    <cellStyle name="Heading 4 2 2 2 2" xfId="4309"/>
    <cellStyle name="Heading 4 2 2 2 3" xfId="4310"/>
    <cellStyle name="Heading 4 2 2 2 4" xfId="4311"/>
    <cellStyle name="Heading 4 2 2 3" xfId="4312"/>
    <cellStyle name="Heading 4 2 2 4" xfId="4313"/>
    <cellStyle name="Heading 4 2 2 5" xfId="4314"/>
    <cellStyle name="Heading 4 2 3" xfId="4315"/>
    <cellStyle name="Heading 4 2 3 2" xfId="4316"/>
    <cellStyle name="Heading 4 2 3 2 2" xfId="4317"/>
    <cellStyle name="Heading 4 2 3 2 3" xfId="4318"/>
    <cellStyle name="Heading 4 2 3 2 4" xfId="4319"/>
    <cellStyle name="Heading 4 2 3 3" xfId="4320"/>
    <cellStyle name="Heading 4 2 3 3 2" xfId="4321"/>
    <cellStyle name="Heading 4 2 3 3 3" xfId="4322"/>
    <cellStyle name="Heading 4 2 3 4" xfId="4323"/>
    <cellStyle name="Heading 4 2 3 5" xfId="4324"/>
    <cellStyle name="Heading 4 2 3 6" xfId="4325"/>
    <cellStyle name="Heading 4 2 4" xfId="4326"/>
    <cellStyle name="Heading 4 2 4 2" xfId="4327"/>
    <cellStyle name="Heading 4 2 4 3" xfId="4328"/>
    <cellStyle name="Heading 4 2 5" xfId="4329"/>
    <cellStyle name="Heading 4 2 6" xfId="4330"/>
    <cellStyle name="Heading 4 2 7" xfId="4331"/>
    <cellStyle name="Heading 4 2 8" xfId="4332"/>
    <cellStyle name="Heading 4 3" xfId="4333"/>
    <cellStyle name="Heading 4 3 2" xfId="4334"/>
    <cellStyle name="Heading 4 3 2 2" xfId="4335"/>
    <cellStyle name="Heading 4 3 2 2 2" xfId="4336"/>
    <cellStyle name="Heading 4 3 2 2 2 2" xfId="4337"/>
    <cellStyle name="Heading 4 3 2 2 3" xfId="4338"/>
    <cellStyle name="Heading 4 3 2 3" xfId="4339"/>
    <cellStyle name="Heading 4 3 3" xfId="4340"/>
    <cellStyle name="Heading 4 4" xfId="4341"/>
    <cellStyle name="Heading 4 4 2" xfId="4342"/>
    <cellStyle name="Heading 4 4 2 2" xfId="4343"/>
    <cellStyle name="Heading 4 4 3" xfId="4344"/>
    <cellStyle name="Heading 4 5" xfId="4345"/>
    <cellStyle name="Heading 4 6" xfId="4346"/>
    <cellStyle name="Hyperlink" xfId="12419" builtinId="8"/>
    <cellStyle name="Hyperlink 10" xfId="4347"/>
    <cellStyle name="Hyperlink 11" xfId="4348"/>
    <cellStyle name="Hyperlink 12" xfId="4349"/>
    <cellStyle name="Hyperlink 13" xfId="4350"/>
    <cellStyle name="Hyperlink 14" xfId="12416"/>
    <cellStyle name="Hyperlink 15" xfId="12417"/>
    <cellStyle name="Hyperlink 2" xfId="4351"/>
    <cellStyle name="Hyperlink 2 2" xfId="4352"/>
    <cellStyle name="Hyperlink 2 2 2" xfId="4353"/>
    <cellStyle name="Hyperlink 2 2 2 2" xfId="4354"/>
    <cellStyle name="Hyperlink 2 2 2 2 2" xfId="4355"/>
    <cellStyle name="Hyperlink 2 2 2 3" xfId="4356"/>
    <cellStyle name="Hyperlink 2 2 2 4" xfId="4357"/>
    <cellStyle name="Hyperlink 2 2 2 5" xfId="4358"/>
    <cellStyle name="Hyperlink 2 2 3" xfId="4359"/>
    <cellStyle name="Hyperlink 2 2 3 2" xfId="4360"/>
    <cellStyle name="Hyperlink 2 2 3 3" xfId="4361"/>
    <cellStyle name="Hyperlink 2 2 3 4" xfId="4362"/>
    <cellStyle name="Hyperlink 2 2 3 5" xfId="4363"/>
    <cellStyle name="Hyperlink 2 2 4" xfId="4364"/>
    <cellStyle name="Hyperlink 2 2 5" xfId="4365"/>
    <cellStyle name="Hyperlink 2 2 6" xfId="4366"/>
    <cellStyle name="Hyperlink 2 2 7" xfId="4367"/>
    <cellStyle name="Hyperlink 2 3" xfId="4368"/>
    <cellStyle name="Hyperlink 2 3 2" xfId="4369"/>
    <cellStyle name="Hyperlink 2 3 2 2" xfId="4370"/>
    <cellStyle name="Hyperlink 2 3 2 3" xfId="4371"/>
    <cellStyle name="Hyperlink 2 3 3" xfId="4372"/>
    <cellStyle name="Hyperlink 2 3 4" xfId="4373"/>
    <cellStyle name="Hyperlink 2 4" xfId="4374"/>
    <cellStyle name="Hyperlink 2 4 2" xfId="4375"/>
    <cellStyle name="Hyperlink 2 4 3" xfId="4376"/>
    <cellStyle name="Hyperlink 2 4 4" xfId="4377"/>
    <cellStyle name="Hyperlink 2 4 5" xfId="4378"/>
    <cellStyle name="Hyperlink 2 5" xfId="4379"/>
    <cellStyle name="Hyperlink 2 6" xfId="4380"/>
    <cellStyle name="Hyperlink 2 7" xfId="4381"/>
    <cellStyle name="Hyperlink 2 8" xfId="4382"/>
    <cellStyle name="Hyperlink 2_(01-03) C-SCADA_UserManagement_ST_Testcase" xfId="4383"/>
    <cellStyle name="Hyperlink 3" xfId="4384"/>
    <cellStyle name="Hyperlink 3 2" xfId="4385"/>
    <cellStyle name="Hyperlink 3 2 2" xfId="4386"/>
    <cellStyle name="Hyperlink 3 2 2 2" xfId="4387"/>
    <cellStyle name="Hyperlink 3 2 2 2 2" xfId="4388"/>
    <cellStyle name="Hyperlink 3 2 2 3" xfId="4389"/>
    <cellStyle name="Hyperlink 3 2 2 4" xfId="4390"/>
    <cellStyle name="Hyperlink 3 2 2 5" xfId="4391"/>
    <cellStyle name="Hyperlink 3 2 3" xfId="4392"/>
    <cellStyle name="Hyperlink 3 2 3 2" xfId="4393"/>
    <cellStyle name="Hyperlink 3 2 3 3" xfId="4394"/>
    <cellStyle name="Hyperlink 3 2 4" xfId="4395"/>
    <cellStyle name="Hyperlink 3 2 5" xfId="4396"/>
    <cellStyle name="Hyperlink 3 2 6" xfId="4397"/>
    <cellStyle name="Hyperlink 3 2 7" xfId="4398"/>
    <cellStyle name="Hyperlink 3 3" xfId="4399"/>
    <cellStyle name="Hyperlink 3 3 2" xfId="4400"/>
    <cellStyle name="Hyperlink 3 3 3" xfId="4401"/>
    <cellStyle name="Hyperlink 3 3 4" xfId="4402"/>
    <cellStyle name="Hyperlink 3 4" xfId="4403"/>
    <cellStyle name="Hyperlink 3 4 2" xfId="4404"/>
    <cellStyle name="Hyperlink 3 4 3" xfId="4405"/>
    <cellStyle name="Hyperlink 3 4 4" xfId="4406"/>
    <cellStyle name="Hyperlink 3 4 5" xfId="4407"/>
    <cellStyle name="Hyperlink 3 5" xfId="4408"/>
    <cellStyle name="Hyperlink 3 6" xfId="4409"/>
    <cellStyle name="Hyperlink 3 7" xfId="4410"/>
    <cellStyle name="Hyperlink 3 8" xfId="4411"/>
    <cellStyle name="Hyperlink 4" xfId="4412"/>
    <cellStyle name="Hyperlink 4 2" xfId="4413"/>
    <cellStyle name="Hyperlink 4 2 2" xfId="4414"/>
    <cellStyle name="Hyperlink 4 2 2 2" xfId="4415"/>
    <cellStyle name="Hyperlink 4 2 2 2 2" xfId="4416"/>
    <cellStyle name="Hyperlink 4 2 2 3" xfId="4417"/>
    <cellStyle name="Hyperlink 4 2 2 4" xfId="4418"/>
    <cellStyle name="Hyperlink 4 2 3" xfId="4419"/>
    <cellStyle name="Hyperlink 4 2 3 2" xfId="4420"/>
    <cellStyle name="Hyperlink 4 2 4" xfId="4421"/>
    <cellStyle name="Hyperlink 4 2 5" xfId="4422"/>
    <cellStyle name="Hyperlink 4 3" xfId="4423"/>
    <cellStyle name="Hyperlink 4 3 2" xfId="4424"/>
    <cellStyle name="Hyperlink 4 3 3" xfId="4425"/>
    <cellStyle name="Hyperlink 4 3 4" xfId="4426"/>
    <cellStyle name="Hyperlink 4 3 5" xfId="4427"/>
    <cellStyle name="Hyperlink 4 4" xfId="4428"/>
    <cellStyle name="Hyperlink 4 4 2" xfId="4429"/>
    <cellStyle name="Hyperlink 4 5" xfId="4430"/>
    <cellStyle name="Hyperlink 4 6" xfId="4431"/>
    <cellStyle name="Hyperlink 4 7" xfId="4432"/>
    <cellStyle name="Hyperlink 5" xfId="4433"/>
    <cellStyle name="Hyperlink 5 2" xfId="4434"/>
    <cellStyle name="Hyperlink 5 2 2" xfId="4435"/>
    <cellStyle name="Hyperlink 5 2 2 2" xfId="4436"/>
    <cellStyle name="Hyperlink 5 2 3" xfId="4437"/>
    <cellStyle name="Hyperlink 5 2 4" xfId="4438"/>
    <cellStyle name="Hyperlink 5 2 5" xfId="4439"/>
    <cellStyle name="Hyperlink 5 3" xfId="4440"/>
    <cellStyle name="Hyperlink 5 3 2" xfId="4441"/>
    <cellStyle name="Hyperlink 5 3 3" xfId="4442"/>
    <cellStyle name="Hyperlink 5 3 4" xfId="4443"/>
    <cellStyle name="Hyperlink 5 3 5" xfId="4444"/>
    <cellStyle name="Hyperlink 5 4" xfId="4445"/>
    <cellStyle name="Hyperlink 5 4 2" xfId="4446"/>
    <cellStyle name="Hyperlink 5 5" xfId="4447"/>
    <cellStyle name="Hyperlink 5 6" xfId="4448"/>
    <cellStyle name="Hyperlink 5 7" xfId="4449"/>
    <cellStyle name="Hyperlink 6" xfId="4450"/>
    <cellStyle name="Hyperlink 6 2" xfId="4451"/>
    <cellStyle name="Hyperlink 6 2 2" xfId="4452"/>
    <cellStyle name="Hyperlink 6 2 3" xfId="4453"/>
    <cellStyle name="Hyperlink 6 3" xfId="4454"/>
    <cellStyle name="Hyperlink 6 4" xfId="4455"/>
    <cellStyle name="Hyperlink 7" xfId="4456"/>
    <cellStyle name="Hyperlink 7 2" xfId="4457"/>
    <cellStyle name="Hyperlink 7 3" xfId="4458"/>
    <cellStyle name="Hyperlink 7 4" xfId="4459"/>
    <cellStyle name="Hyperlink 8" xfId="4460"/>
    <cellStyle name="Hyperlink 8 2" xfId="4461"/>
    <cellStyle name="Hyperlink 8 3" xfId="4462"/>
    <cellStyle name="Hyperlink 9" xfId="4463"/>
    <cellStyle name="Input 2" xfId="4464"/>
    <cellStyle name="Input 2 10" xfId="4465"/>
    <cellStyle name="Input 2 11" xfId="4466"/>
    <cellStyle name="Input 2 2" xfId="4467"/>
    <cellStyle name="Input 2 2 2" xfId="4468"/>
    <cellStyle name="Input 2 2 2 2" xfId="4469"/>
    <cellStyle name="Input 2 2 2 2 2" xfId="4470"/>
    <cellStyle name="Input 2 2 2 3" xfId="4471"/>
    <cellStyle name="Input 2 2 2 4" xfId="4472"/>
    <cellStyle name="Input 2 2 2 5" xfId="4473"/>
    <cellStyle name="Input 2 2 3" xfId="4474"/>
    <cellStyle name="Input 2 2 3 2" xfId="4475"/>
    <cellStyle name="Input 2 2 4" xfId="4476"/>
    <cellStyle name="Input 2 2 5" xfId="4477"/>
    <cellStyle name="Input 2 2 6" xfId="4478"/>
    <cellStyle name="Input 2 3" xfId="4479"/>
    <cellStyle name="Input 2 3 2" xfId="4480"/>
    <cellStyle name="Input 2 3 2 2" xfId="4481"/>
    <cellStyle name="Input 2 3 2 3" xfId="4482"/>
    <cellStyle name="Input 2 3 2 4" xfId="4483"/>
    <cellStyle name="Input 2 3 3" xfId="4484"/>
    <cellStyle name="Input 2 3 3 2" xfId="4485"/>
    <cellStyle name="Input 2 3 3 3" xfId="4486"/>
    <cellStyle name="Input 2 3 4" xfId="4487"/>
    <cellStyle name="Input 2 3 5" xfId="4488"/>
    <cellStyle name="Input 2 3 6" xfId="4489"/>
    <cellStyle name="Input 2 4" xfId="4490"/>
    <cellStyle name="Input 2 4 2" xfId="4491"/>
    <cellStyle name="Input 2 4 2 2" xfId="4492"/>
    <cellStyle name="Input 2 4 2 3" xfId="4493"/>
    <cellStyle name="Input 2 4 2 4" xfId="4494"/>
    <cellStyle name="Input 2 4 3" xfId="4495"/>
    <cellStyle name="Input 2 4 3 2" xfId="4496"/>
    <cellStyle name="Input 2 4 3 3" xfId="4497"/>
    <cellStyle name="Input 2 4 4" xfId="4498"/>
    <cellStyle name="Input 2 4 5" xfId="4499"/>
    <cellStyle name="Input 2 4 6" xfId="4500"/>
    <cellStyle name="Input 2 5" xfId="4501"/>
    <cellStyle name="Input 2 5 2" xfId="4502"/>
    <cellStyle name="Input 2 5 2 2" xfId="4503"/>
    <cellStyle name="Input 2 5 2 3" xfId="4504"/>
    <cellStyle name="Input 2 5 2 4" xfId="4505"/>
    <cellStyle name="Input 2 5 3" xfId="4506"/>
    <cellStyle name="Input 2 5 3 2" xfId="4507"/>
    <cellStyle name="Input 2 5 3 3" xfId="4508"/>
    <cellStyle name="Input 2 5 4" xfId="4509"/>
    <cellStyle name="Input 2 5 5" xfId="4510"/>
    <cellStyle name="Input 2 5 6" xfId="4511"/>
    <cellStyle name="Input 2 6" xfId="4512"/>
    <cellStyle name="Input 2 6 2" xfId="4513"/>
    <cellStyle name="Input 2 6 3" xfId="4514"/>
    <cellStyle name="Input 2 6 4" xfId="4515"/>
    <cellStyle name="Input 2 7" xfId="4516"/>
    <cellStyle name="Input 2 7 2" xfId="4517"/>
    <cellStyle name="Input 2 7 3" xfId="4518"/>
    <cellStyle name="Input 2 7 4" xfId="4519"/>
    <cellStyle name="Input 2 7 5" xfId="4520"/>
    <cellStyle name="Input 2 8" xfId="4521"/>
    <cellStyle name="Input 2 9" xfId="4522"/>
    <cellStyle name="Input 3" xfId="4523"/>
    <cellStyle name="Input 3 2" xfId="4524"/>
    <cellStyle name="Input 3 2 2" xfId="4525"/>
    <cellStyle name="Input 3 2 2 2" xfId="4526"/>
    <cellStyle name="Input 3 2 2 2 2" xfId="4527"/>
    <cellStyle name="Input 3 2 2 3" xfId="4528"/>
    <cellStyle name="Input 3 2 3" xfId="4529"/>
    <cellStyle name="Input 3 3" xfId="4530"/>
    <cellStyle name="Input 4" xfId="4531"/>
    <cellStyle name="Input 4 2" xfId="4532"/>
    <cellStyle name="Input 4 2 2" xfId="4533"/>
    <cellStyle name="Input 4 3" xfId="4534"/>
    <cellStyle name="Input 5" xfId="4535"/>
    <cellStyle name="Input 6" xfId="4536"/>
    <cellStyle name="Linked Cell 2" xfId="4537"/>
    <cellStyle name="Linked Cell 2 2" xfId="4538"/>
    <cellStyle name="Linked Cell 2 2 2" xfId="4539"/>
    <cellStyle name="Linked Cell 2 2 2 2" xfId="4540"/>
    <cellStyle name="Linked Cell 2 2 2 3" xfId="4541"/>
    <cellStyle name="Linked Cell 2 2 2 4" xfId="4542"/>
    <cellStyle name="Linked Cell 2 2 3" xfId="4543"/>
    <cellStyle name="Linked Cell 2 2 4" xfId="4544"/>
    <cellStyle name="Linked Cell 2 2 5" xfId="4545"/>
    <cellStyle name="Linked Cell 2 3" xfId="4546"/>
    <cellStyle name="Linked Cell 2 3 2" xfId="4547"/>
    <cellStyle name="Linked Cell 2 3 2 2" xfId="4548"/>
    <cellStyle name="Linked Cell 2 3 2 3" xfId="4549"/>
    <cellStyle name="Linked Cell 2 3 2 4" xfId="4550"/>
    <cellStyle name="Linked Cell 2 3 3" xfId="4551"/>
    <cellStyle name="Linked Cell 2 3 3 2" xfId="4552"/>
    <cellStyle name="Linked Cell 2 3 3 3" xfId="4553"/>
    <cellStyle name="Linked Cell 2 3 4" xfId="4554"/>
    <cellStyle name="Linked Cell 2 3 5" xfId="4555"/>
    <cellStyle name="Linked Cell 2 3 6" xfId="4556"/>
    <cellStyle name="Linked Cell 2 4" xfId="4557"/>
    <cellStyle name="Linked Cell 2 4 2" xfId="4558"/>
    <cellStyle name="Linked Cell 2 4 3" xfId="4559"/>
    <cellStyle name="Linked Cell 2 5" xfId="4560"/>
    <cellStyle name="Linked Cell 2 6" xfId="4561"/>
    <cellStyle name="Linked Cell 2 7" xfId="4562"/>
    <cellStyle name="Linked Cell 2 8" xfId="4563"/>
    <cellStyle name="Linked Cell 3" xfId="4564"/>
    <cellStyle name="Linked Cell 3 2" xfId="4565"/>
    <cellStyle name="Linked Cell 3 2 2" xfId="4566"/>
    <cellStyle name="Linked Cell 3 2 2 2" xfId="4567"/>
    <cellStyle name="Linked Cell 3 2 2 2 2" xfId="4568"/>
    <cellStyle name="Linked Cell 3 2 2 3" xfId="4569"/>
    <cellStyle name="Linked Cell 3 2 3" xfId="4570"/>
    <cellStyle name="Linked Cell 3 3" xfId="4571"/>
    <cellStyle name="Linked Cell 4" xfId="4572"/>
    <cellStyle name="Linked Cell 4 2" xfId="4573"/>
    <cellStyle name="Linked Cell 4 2 2" xfId="4574"/>
    <cellStyle name="Linked Cell 4 3" xfId="4575"/>
    <cellStyle name="Linked Cell 5" xfId="4576"/>
    <cellStyle name="Linked Cell 6" xfId="4577"/>
    <cellStyle name="Neutral 2" xfId="4578"/>
    <cellStyle name="Neutral 2 2" xfId="4579"/>
    <cellStyle name="Neutral 2 2 2" xfId="4580"/>
    <cellStyle name="Neutral 2 2 2 2" xfId="4581"/>
    <cellStyle name="Neutral 2 2 2 2 2" xfId="4582"/>
    <cellStyle name="Neutral 2 2 2 3" xfId="4583"/>
    <cellStyle name="Neutral 2 2 2 4" xfId="4584"/>
    <cellStyle name="Neutral 2 2 2 5" xfId="4585"/>
    <cellStyle name="Neutral 2 2 3" xfId="4586"/>
    <cellStyle name="Neutral 2 2 4" xfId="4587"/>
    <cellStyle name="Neutral 2 2 5" xfId="4588"/>
    <cellStyle name="Neutral 2 2 6" xfId="4589"/>
    <cellStyle name="Neutral 2 3" xfId="4590"/>
    <cellStyle name="Neutral 2 3 2" xfId="4591"/>
    <cellStyle name="Neutral 2 3 2 2" xfId="4592"/>
    <cellStyle name="Neutral 2 3 2 3" xfId="4593"/>
    <cellStyle name="Neutral 2 3 2 4" xfId="4594"/>
    <cellStyle name="Neutral 2 3 3" xfId="4595"/>
    <cellStyle name="Neutral 2 3 3 2" xfId="4596"/>
    <cellStyle name="Neutral 2 3 3 3" xfId="4597"/>
    <cellStyle name="Neutral 2 3 4" xfId="4598"/>
    <cellStyle name="Neutral 2 3 5" xfId="4599"/>
    <cellStyle name="Neutral 2 3 6" xfId="4600"/>
    <cellStyle name="Neutral 2 4" xfId="4601"/>
    <cellStyle name="Neutral 2 4 2" xfId="4602"/>
    <cellStyle name="Neutral 2 4 3" xfId="4603"/>
    <cellStyle name="Neutral 2 5" xfId="4604"/>
    <cellStyle name="Neutral 2 6" xfId="4605"/>
    <cellStyle name="Neutral 2 7" xfId="4606"/>
    <cellStyle name="Neutral 2 8" xfId="4607"/>
    <cellStyle name="Neutral 3" xfId="4608"/>
    <cellStyle name="Neutral 3 2" xfId="4609"/>
    <cellStyle name="Neutral 3 2 2" xfId="4610"/>
    <cellStyle name="Neutral 3 2 2 2" xfId="4611"/>
    <cellStyle name="Neutral 3 2 2 2 2" xfId="4612"/>
    <cellStyle name="Neutral 3 2 2 3" xfId="4613"/>
    <cellStyle name="Neutral 3 2 3" xfId="4614"/>
    <cellStyle name="Neutral 3 3" xfId="4615"/>
    <cellStyle name="Neutral 4" xfId="4616"/>
    <cellStyle name="Neutral 4 2" xfId="4617"/>
    <cellStyle name="Neutral 4 2 2" xfId="4618"/>
    <cellStyle name="Neutral 4 3" xfId="4619"/>
    <cellStyle name="Neutral 5" xfId="4620"/>
    <cellStyle name="Neutral 6" xfId="4621"/>
    <cellStyle name="Normal" xfId="0" builtinId="0"/>
    <cellStyle name="Normal 10" xfId="4622"/>
    <cellStyle name="Normal 10 10" xfId="4623"/>
    <cellStyle name="Normal 10 11" xfId="4624"/>
    <cellStyle name="Normal 10 12" xfId="4625"/>
    <cellStyle name="Normal 10 12 2" xfId="4626"/>
    <cellStyle name="Normal 10 12 2 2" xfId="4627"/>
    <cellStyle name="Normal 10 12 3" xfId="4628"/>
    <cellStyle name="Normal 10 12 3 2" xfId="4629"/>
    <cellStyle name="Normal 10 12 4" xfId="4630"/>
    <cellStyle name="Normal 10 13" xfId="4631"/>
    <cellStyle name="Normal 10 13 2" xfId="4632"/>
    <cellStyle name="Normal 10 14" xfId="4633"/>
    <cellStyle name="Normal 10 14 2" xfId="4634"/>
    <cellStyle name="Normal 10 15" xfId="4635"/>
    <cellStyle name="Normal 10 2" xfId="4636"/>
    <cellStyle name="Normal 10 2 10" xfId="4637"/>
    <cellStyle name="Normal 10 2 2" xfId="4638"/>
    <cellStyle name="Normal 10 2 2 2" xfId="4639"/>
    <cellStyle name="Normal 10 2 2 3" xfId="4640"/>
    <cellStyle name="Normal 10 2 2 4" xfId="4641"/>
    <cellStyle name="Normal 10 2 2 4 2" xfId="4642"/>
    <cellStyle name="Normal 10 2 2 4 2 2" xfId="4643"/>
    <cellStyle name="Normal 10 2 2 4 2 2 2" xfId="4644"/>
    <cellStyle name="Normal 10 2 2 4 2 3" xfId="4645"/>
    <cellStyle name="Normal 10 2 2 4 2 3 2" xfId="4646"/>
    <cellStyle name="Normal 10 2 2 4 2 4" xfId="4647"/>
    <cellStyle name="Normal 10 2 2 4 3" xfId="4648"/>
    <cellStyle name="Normal 10 2 2 4 3 2" xfId="4649"/>
    <cellStyle name="Normal 10 2 2 4 4" xfId="4650"/>
    <cellStyle name="Normal 10 2 2 4 4 2" xfId="4651"/>
    <cellStyle name="Normal 10 2 2 4 5" xfId="4652"/>
    <cellStyle name="Normal 10 2 2 5" xfId="4653"/>
    <cellStyle name="Normal 10 2 2 5 2" xfId="4654"/>
    <cellStyle name="Normal 10 2 2 5 2 2" xfId="4655"/>
    <cellStyle name="Normal 10 2 2 5 2 2 2" xfId="4656"/>
    <cellStyle name="Normal 10 2 2 5 2 3" xfId="4657"/>
    <cellStyle name="Normal 10 2 2 5 2 3 2" xfId="4658"/>
    <cellStyle name="Normal 10 2 2 5 2 4" xfId="4659"/>
    <cellStyle name="Normal 10 2 2 5 3" xfId="4660"/>
    <cellStyle name="Normal 10 2 2 5 3 2" xfId="4661"/>
    <cellStyle name="Normal 10 2 2 5 3 2 2" xfId="4662"/>
    <cellStyle name="Normal 10 2 2 5 3 3" xfId="4663"/>
    <cellStyle name="Normal 10 2 2 5 3 3 2" xfId="4664"/>
    <cellStyle name="Normal 10 2 2 5 3 4" xfId="4665"/>
    <cellStyle name="Normal 10 2 2 5 4" xfId="4666"/>
    <cellStyle name="Normal 10 2 2 5 4 2" xfId="4667"/>
    <cellStyle name="Normal 10 2 2 5 5" xfId="4668"/>
    <cellStyle name="Normal 10 2 2 5 5 2" xfId="4669"/>
    <cellStyle name="Normal 10 2 2 5 6" xfId="4670"/>
    <cellStyle name="Normal 10 2 2 6" xfId="4671"/>
    <cellStyle name="Normal 10 2 2 6 2" xfId="4672"/>
    <cellStyle name="Normal 10 2 2 6 2 2" xfId="4673"/>
    <cellStyle name="Normal 10 2 2 6 3" xfId="4674"/>
    <cellStyle name="Normal 10 2 2 6 3 2" xfId="4675"/>
    <cellStyle name="Normal 10 2 2 6 4" xfId="4676"/>
    <cellStyle name="Normal 10 2 2 7" xfId="4677"/>
    <cellStyle name="Normal 10 2 2 7 2" xfId="4678"/>
    <cellStyle name="Normal 10 2 2 8" xfId="4679"/>
    <cellStyle name="Normal 10 2 2 8 2" xfId="4680"/>
    <cellStyle name="Normal 10 2 2 9" xfId="4681"/>
    <cellStyle name="Normal 10 2 3" xfId="4682"/>
    <cellStyle name="Normal 10 2 3 2" xfId="4683"/>
    <cellStyle name="Normal 10 2 3 2 2" xfId="4684"/>
    <cellStyle name="Normal 10 2 3 2 2 2" xfId="4685"/>
    <cellStyle name="Normal 10 2 3 2 2 2 2" xfId="4686"/>
    <cellStyle name="Normal 10 2 3 2 2 3" xfId="4687"/>
    <cellStyle name="Normal 10 2 3 2 2 3 2" xfId="4688"/>
    <cellStyle name="Normal 10 2 3 2 2 4" xfId="4689"/>
    <cellStyle name="Normal 10 2 3 2 3" xfId="4690"/>
    <cellStyle name="Normal 10 2 3 2 3 2" xfId="4691"/>
    <cellStyle name="Normal 10 2 3 2 4" xfId="4692"/>
    <cellStyle name="Normal 10 2 3 2 4 2" xfId="4693"/>
    <cellStyle name="Normal 10 2 3 2 5" xfId="4694"/>
    <cellStyle name="Normal 10 2 3 3" xfId="4695"/>
    <cellStyle name="Normal 10 2 3 3 2" xfId="4696"/>
    <cellStyle name="Normal 10 2 3 3 2 2" xfId="4697"/>
    <cellStyle name="Normal 10 2 3 3 2 2 2" xfId="4698"/>
    <cellStyle name="Normal 10 2 3 3 2 3" xfId="4699"/>
    <cellStyle name="Normal 10 2 3 3 2 3 2" xfId="4700"/>
    <cellStyle name="Normal 10 2 3 3 2 4" xfId="4701"/>
    <cellStyle name="Normal 10 2 3 3 3" xfId="4702"/>
    <cellStyle name="Normal 10 2 3 3 3 2" xfId="4703"/>
    <cellStyle name="Normal 10 2 3 3 3 2 2" xfId="4704"/>
    <cellStyle name="Normal 10 2 3 3 3 3" xfId="4705"/>
    <cellStyle name="Normal 10 2 3 3 3 3 2" xfId="4706"/>
    <cellStyle name="Normal 10 2 3 3 3 4" xfId="4707"/>
    <cellStyle name="Normal 10 2 3 3 4" xfId="4708"/>
    <cellStyle name="Normal 10 2 3 3 4 2" xfId="4709"/>
    <cellStyle name="Normal 10 2 3 3 5" xfId="4710"/>
    <cellStyle name="Normal 10 2 3 3 5 2" xfId="4711"/>
    <cellStyle name="Normal 10 2 3 3 6" xfId="4712"/>
    <cellStyle name="Normal 10 2 3 4" xfId="4713"/>
    <cellStyle name="Normal 10 2 3 4 2" xfId="4714"/>
    <cellStyle name="Normal 10 2 3 4 2 2" xfId="4715"/>
    <cellStyle name="Normal 10 2 3 4 3" xfId="4716"/>
    <cellStyle name="Normal 10 2 3 4 3 2" xfId="4717"/>
    <cellStyle name="Normal 10 2 3 4 4" xfId="4718"/>
    <cellStyle name="Normal 10 2 3 5" xfId="4719"/>
    <cellStyle name="Normal 10 2 3 5 2" xfId="4720"/>
    <cellStyle name="Normal 10 2 3 6" xfId="4721"/>
    <cellStyle name="Normal 10 2 3 6 2" xfId="4722"/>
    <cellStyle name="Normal 10 2 3 7" xfId="4723"/>
    <cellStyle name="Normal 10 2 4" xfId="4724"/>
    <cellStyle name="Normal 10 2 4 2" xfId="4725"/>
    <cellStyle name="Normal 10 2 4 2 2" xfId="4726"/>
    <cellStyle name="Normal 10 2 4 2 2 2" xfId="4727"/>
    <cellStyle name="Normal 10 2 4 2 2 2 2" xfId="4728"/>
    <cellStyle name="Normal 10 2 4 2 2 3" xfId="4729"/>
    <cellStyle name="Normal 10 2 4 2 2 3 2" xfId="4730"/>
    <cellStyle name="Normal 10 2 4 2 2 4" xfId="4731"/>
    <cellStyle name="Normal 10 2 4 2 3" xfId="4732"/>
    <cellStyle name="Normal 10 2 4 2 3 2" xfId="4733"/>
    <cellStyle name="Normal 10 2 4 2 4" xfId="4734"/>
    <cellStyle name="Normal 10 2 4 2 4 2" xfId="4735"/>
    <cellStyle name="Normal 10 2 4 2 5" xfId="4736"/>
    <cellStyle name="Normal 10 2 4 3" xfId="4737"/>
    <cellStyle name="Normal 10 2 4 3 2" xfId="4738"/>
    <cellStyle name="Normal 10 2 4 3 2 2" xfId="4739"/>
    <cellStyle name="Normal 10 2 4 3 2 2 2" xfId="4740"/>
    <cellStyle name="Normal 10 2 4 3 2 3" xfId="4741"/>
    <cellStyle name="Normal 10 2 4 3 2 3 2" xfId="4742"/>
    <cellStyle name="Normal 10 2 4 3 2 4" xfId="4743"/>
    <cellStyle name="Normal 10 2 4 3 3" xfId="4744"/>
    <cellStyle name="Normal 10 2 4 3 3 2" xfId="4745"/>
    <cellStyle name="Normal 10 2 4 3 3 2 2" xfId="4746"/>
    <cellStyle name="Normal 10 2 4 3 3 3" xfId="4747"/>
    <cellStyle name="Normal 10 2 4 3 3 3 2" xfId="4748"/>
    <cellStyle name="Normal 10 2 4 3 3 4" xfId="4749"/>
    <cellStyle name="Normal 10 2 4 3 4" xfId="4750"/>
    <cellStyle name="Normal 10 2 4 3 4 2" xfId="4751"/>
    <cellStyle name="Normal 10 2 4 3 5" xfId="4752"/>
    <cellStyle name="Normal 10 2 4 3 5 2" xfId="4753"/>
    <cellStyle name="Normal 10 2 4 3 6" xfId="4754"/>
    <cellStyle name="Normal 10 2 4 4" xfId="4755"/>
    <cellStyle name="Normal 10 2 4 4 2" xfId="4756"/>
    <cellStyle name="Normal 10 2 4 4 2 2" xfId="4757"/>
    <cellStyle name="Normal 10 2 4 4 3" xfId="4758"/>
    <cellStyle name="Normal 10 2 4 4 3 2" xfId="4759"/>
    <cellStyle name="Normal 10 2 4 4 4" xfId="4760"/>
    <cellStyle name="Normal 10 2 4 5" xfId="4761"/>
    <cellStyle name="Normal 10 2 4 5 2" xfId="4762"/>
    <cellStyle name="Normal 10 2 4 6" xfId="4763"/>
    <cellStyle name="Normal 10 2 4 6 2" xfId="4764"/>
    <cellStyle name="Normal 10 2 4 7" xfId="4765"/>
    <cellStyle name="Normal 10 2 5" xfId="4766"/>
    <cellStyle name="Normal 10 2 5 2" xfId="4767"/>
    <cellStyle name="Normal 10 2 5 2 2" xfId="4768"/>
    <cellStyle name="Normal 10 2 5 2 2 2" xfId="4769"/>
    <cellStyle name="Normal 10 2 5 2 2 2 2" xfId="4770"/>
    <cellStyle name="Normal 10 2 5 2 2 3" xfId="4771"/>
    <cellStyle name="Normal 10 2 5 2 2 3 2" xfId="4772"/>
    <cellStyle name="Normal 10 2 5 2 2 4" xfId="4773"/>
    <cellStyle name="Normal 10 2 5 2 3" xfId="4774"/>
    <cellStyle name="Normal 10 2 5 2 3 2" xfId="4775"/>
    <cellStyle name="Normal 10 2 5 2 4" xfId="4776"/>
    <cellStyle name="Normal 10 2 5 2 4 2" xfId="4777"/>
    <cellStyle name="Normal 10 2 5 2 5" xfId="4778"/>
    <cellStyle name="Normal 10 2 5 3" xfId="4779"/>
    <cellStyle name="Normal 10 2 5 3 2" xfId="4780"/>
    <cellStyle name="Normal 10 2 5 3 2 2" xfId="4781"/>
    <cellStyle name="Normal 10 2 5 3 2 2 2" xfId="4782"/>
    <cellStyle name="Normal 10 2 5 3 2 3" xfId="4783"/>
    <cellStyle name="Normal 10 2 5 3 2 3 2" xfId="4784"/>
    <cellStyle name="Normal 10 2 5 3 2 4" xfId="4785"/>
    <cellStyle name="Normal 10 2 5 3 3" xfId="4786"/>
    <cellStyle name="Normal 10 2 5 3 3 2" xfId="4787"/>
    <cellStyle name="Normal 10 2 5 3 3 2 2" xfId="4788"/>
    <cellStyle name="Normal 10 2 5 3 3 3" xfId="4789"/>
    <cellStyle name="Normal 10 2 5 3 3 3 2" xfId="4790"/>
    <cellStyle name="Normal 10 2 5 3 3 4" xfId="4791"/>
    <cellStyle name="Normal 10 2 5 3 4" xfId="4792"/>
    <cellStyle name="Normal 10 2 5 3 4 2" xfId="4793"/>
    <cellStyle name="Normal 10 2 5 3 5" xfId="4794"/>
    <cellStyle name="Normal 10 2 5 3 5 2" xfId="4795"/>
    <cellStyle name="Normal 10 2 5 3 6" xfId="4796"/>
    <cellStyle name="Normal 10 2 5 4" xfId="4797"/>
    <cellStyle name="Normal 10 2 5 4 2" xfId="4798"/>
    <cellStyle name="Normal 10 2 5 4 2 2" xfId="4799"/>
    <cellStyle name="Normal 10 2 5 4 3" xfId="4800"/>
    <cellStyle name="Normal 10 2 5 4 3 2" xfId="4801"/>
    <cellStyle name="Normal 10 2 5 4 4" xfId="4802"/>
    <cellStyle name="Normal 10 2 5 5" xfId="4803"/>
    <cellStyle name="Normal 10 2 5 5 2" xfId="4804"/>
    <cellStyle name="Normal 10 2 5 6" xfId="4805"/>
    <cellStyle name="Normal 10 2 5 6 2" xfId="4806"/>
    <cellStyle name="Normal 10 2 5 7" xfId="4807"/>
    <cellStyle name="Normal 10 2 6" xfId="4808"/>
    <cellStyle name="Normal 10 2 6 2" xfId="4809"/>
    <cellStyle name="Normal 10 2 6 2 2" xfId="4810"/>
    <cellStyle name="Normal 10 2 6 2 2 2" xfId="4811"/>
    <cellStyle name="Normal 10 2 6 2 3" xfId="4812"/>
    <cellStyle name="Normal 10 2 6 2 3 2" xfId="4813"/>
    <cellStyle name="Normal 10 2 6 2 4" xfId="4814"/>
    <cellStyle name="Normal 10 2 6 3" xfId="4815"/>
    <cellStyle name="Normal 10 2 6 3 2" xfId="4816"/>
    <cellStyle name="Normal 10 2 6 4" xfId="4817"/>
    <cellStyle name="Normal 10 2 6 4 2" xfId="4818"/>
    <cellStyle name="Normal 10 2 6 5" xfId="4819"/>
    <cellStyle name="Normal 10 2 7" xfId="4820"/>
    <cellStyle name="Normal 10 2 7 2" xfId="4821"/>
    <cellStyle name="Normal 10 2 7 2 2" xfId="4822"/>
    <cellStyle name="Normal 10 2 7 3" xfId="4823"/>
    <cellStyle name="Normal 10 2 7 3 2" xfId="4824"/>
    <cellStyle name="Normal 10 2 7 4" xfId="4825"/>
    <cellStyle name="Normal 10 2 8" xfId="4826"/>
    <cellStyle name="Normal 10 2 8 2" xfId="4827"/>
    <cellStyle name="Normal 10 2 9" xfId="4828"/>
    <cellStyle name="Normal 10 2 9 2" xfId="4829"/>
    <cellStyle name="Normal 10 3" xfId="4830"/>
    <cellStyle name="Normal 10 3 10" xfId="4831"/>
    <cellStyle name="Normal 10 3 2" xfId="4832"/>
    <cellStyle name="Normal 10 3 2 2" xfId="4833"/>
    <cellStyle name="Normal 10 3 2 2 2" xfId="4834"/>
    <cellStyle name="Normal 10 3 2 2 2 2" xfId="4835"/>
    <cellStyle name="Normal 10 3 2 2 2 2 2" xfId="4836"/>
    <cellStyle name="Normal 10 3 2 2 2 3" xfId="4837"/>
    <cellStyle name="Normal 10 3 2 2 2 3 2" xfId="4838"/>
    <cellStyle name="Normal 10 3 2 2 2 4" xfId="4839"/>
    <cellStyle name="Normal 10 3 2 2 3" xfId="4840"/>
    <cellStyle name="Normal 10 3 2 2 3 2" xfId="4841"/>
    <cellStyle name="Normal 10 3 2 2 4" xfId="4842"/>
    <cellStyle name="Normal 10 3 2 2 4 2" xfId="4843"/>
    <cellStyle name="Normal 10 3 2 2 5" xfId="4844"/>
    <cellStyle name="Normal 10 3 2 3" xfId="4845"/>
    <cellStyle name="Normal 10 3 2 3 2" xfId="4846"/>
    <cellStyle name="Normal 10 3 2 3 2 2" xfId="4847"/>
    <cellStyle name="Normal 10 3 2 3 2 2 2" xfId="4848"/>
    <cellStyle name="Normal 10 3 2 3 2 3" xfId="4849"/>
    <cellStyle name="Normal 10 3 2 3 2 3 2" xfId="4850"/>
    <cellStyle name="Normal 10 3 2 3 2 4" xfId="4851"/>
    <cellStyle name="Normal 10 3 2 3 3" xfId="4852"/>
    <cellStyle name="Normal 10 3 2 3 3 2" xfId="4853"/>
    <cellStyle name="Normal 10 3 2 3 3 2 2" xfId="4854"/>
    <cellStyle name="Normal 10 3 2 3 3 3" xfId="4855"/>
    <cellStyle name="Normal 10 3 2 3 3 3 2" xfId="4856"/>
    <cellStyle name="Normal 10 3 2 3 3 4" xfId="4857"/>
    <cellStyle name="Normal 10 3 2 3 4" xfId="4858"/>
    <cellStyle name="Normal 10 3 2 3 4 2" xfId="4859"/>
    <cellStyle name="Normal 10 3 2 3 5" xfId="4860"/>
    <cellStyle name="Normal 10 3 2 3 5 2" xfId="4861"/>
    <cellStyle name="Normal 10 3 2 3 6" xfId="4862"/>
    <cellStyle name="Normal 10 3 2 4" xfId="4863"/>
    <cellStyle name="Normal 10 3 2 4 2" xfId="4864"/>
    <cellStyle name="Normal 10 3 2 4 2 2" xfId="4865"/>
    <cellStyle name="Normal 10 3 2 4 3" xfId="4866"/>
    <cellStyle name="Normal 10 3 2 4 3 2" xfId="4867"/>
    <cellStyle name="Normal 10 3 2 4 4" xfId="4868"/>
    <cellStyle name="Normal 10 3 2 5" xfId="4869"/>
    <cellStyle name="Normal 10 3 2 5 2" xfId="4870"/>
    <cellStyle name="Normal 10 3 2 6" xfId="4871"/>
    <cellStyle name="Normal 10 3 2 6 2" xfId="4872"/>
    <cellStyle name="Normal 10 3 2 7" xfId="4873"/>
    <cellStyle name="Normal 10 3 3" xfId="4874"/>
    <cellStyle name="Normal 10 3 3 2" xfId="4875"/>
    <cellStyle name="Normal 10 3 3 2 2" xfId="4876"/>
    <cellStyle name="Normal 10 3 3 2 2 2" xfId="4877"/>
    <cellStyle name="Normal 10 3 3 2 2 2 2" xfId="4878"/>
    <cellStyle name="Normal 10 3 3 2 2 3" xfId="4879"/>
    <cellStyle name="Normal 10 3 3 2 2 3 2" xfId="4880"/>
    <cellStyle name="Normal 10 3 3 2 2 4" xfId="4881"/>
    <cellStyle name="Normal 10 3 3 2 3" xfId="4882"/>
    <cellStyle name="Normal 10 3 3 2 3 2" xfId="4883"/>
    <cellStyle name="Normal 10 3 3 2 4" xfId="4884"/>
    <cellStyle name="Normal 10 3 3 2 4 2" xfId="4885"/>
    <cellStyle name="Normal 10 3 3 2 5" xfId="4886"/>
    <cellStyle name="Normal 10 3 3 3" xfId="4887"/>
    <cellStyle name="Normal 10 3 3 3 2" xfId="4888"/>
    <cellStyle name="Normal 10 3 3 3 2 2" xfId="4889"/>
    <cellStyle name="Normal 10 3 3 3 2 2 2" xfId="4890"/>
    <cellStyle name="Normal 10 3 3 3 2 3" xfId="4891"/>
    <cellStyle name="Normal 10 3 3 3 2 3 2" xfId="4892"/>
    <cellStyle name="Normal 10 3 3 3 2 4" xfId="4893"/>
    <cellStyle name="Normal 10 3 3 3 3" xfId="4894"/>
    <cellStyle name="Normal 10 3 3 3 3 2" xfId="4895"/>
    <cellStyle name="Normal 10 3 3 3 3 2 2" xfId="4896"/>
    <cellStyle name="Normal 10 3 3 3 3 3" xfId="4897"/>
    <cellStyle name="Normal 10 3 3 3 3 3 2" xfId="4898"/>
    <cellStyle name="Normal 10 3 3 3 3 4" xfId="4899"/>
    <cellStyle name="Normal 10 3 3 3 4" xfId="4900"/>
    <cellStyle name="Normal 10 3 3 3 4 2" xfId="4901"/>
    <cellStyle name="Normal 10 3 3 3 5" xfId="4902"/>
    <cellStyle name="Normal 10 3 3 3 5 2" xfId="4903"/>
    <cellStyle name="Normal 10 3 3 3 6" xfId="4904"/>
    <cellStyle name="Normal 10 3 3 4" xfId="4905"/>
    <cellStyle name="Normal 10 3 3 4 2" xfId="4906"/>
    <cellStyle name="Normal 10 3 3 4 2 2" xfId="4907"/>
    <cellStyle name="Normal 10 3 3 4 3" xfId="4908"/>
    <cellStyle name="Normal 10 3 3 4 3 2" xfId="4909"/>
    <cellStyle name="Normal 10 3 3 4 4" xfId="4910"/>
    <cellStyle name="Normal 10 3 3 5" xfId="4911"/>
    <cellStyle name="Normal 10 3 3 5 2" xfId="4912"/>
    <cellStyle name="Normal 10 3 3 6" xfId="4913"/>
    <cellStyle name="Normal 10 3 3 6 2" xfId="4914"/>
    <cellStyle name="Normal 10 3 3 7" xfId="4915"/>
    <cellStyle name="Normal 10 3 4" xfId="4916"/>
    <cellStyle name="Normal 10 3 4 2" xfId="4917"/>
    <cellStyle name="Normal 10 3 4 2 2" xfId="4918"/>
    <cellStyle name="Normal 10 3 4 2 2 2" xfId="4919"/>
    <cellStyle name="Normal 10 3 4 2 2 2 2" xfId="4920"/>
    <cellStyle name="Normal 10 3 4 2 2 3" xfId="4921"/>
    <cellStyle name="Normal 10 3 4 2 2 3 2" xfId="4922"/>
    <cellStyle name="Normal 10 3 4 2 2 4" xfId="4923"/>
    <cellStyle name="Normal 10 3 4 2 3" xfId="4924"/>
    <cellStyle name="Normal 10 3 4 2 3 2" xfId="4925"/>
    <cellStyle name="Normal 10 3 4 2 4" xfId="4926"/>
    <cellStyle name="Normal 10 3 4 2 4 2" xfId="4927"/>
    <cellStyle name="Normal 10 3 4 2 5" xfId="4928"/>
    <cellStyle name="Normal 10 3 4 3" xfId="4929"/>
    <cellStyle name="Normal 10 3 4 3 2" xfId="4930"/>
    <cellStyle name="Normal 10 3 4 3 2 2" xfId="4931"/>
    <cellStyle name="Normal 10 3 4 3 2 2 2" xfId="4932"/>
    <cellStyle name="Normal 10 3 4 3 2 3" xfId="4933"/>
    <cellStyle name="Normal 10 3 4 3 2 3 2" xfId="4934"/>
    <cellStyle name="Normal 10 3 4 3 2 4" xfId="4935"/>
    <cellStyle name="Normal 10 3 4 3 3" xfId="4936"/>
    <cellStyle name="Normal 10 3 4 3 3 2" xfId="4937"/>
    <cellStyle name="Normal 10 3 4 3 3 2 2" xfId="4938"/>
    <cellStyle name="Normal 10 3 4 3 3 3" xfId="4939"/>
    <cellStyle name="Normal 10 3 4 3 3 3 2" xfId="4940"/>
    <cellStyle name="Normal 10 3 4 3 3 4" xfId="4941"/>
    <cellStyle name="Normal 10 3 4 3 4" xfId="4942"/>
    <cellStyle name="Normal 10 3 4 3 4 2" xfId="4943"/>
    <cellStyle name="Normal 10 3 4 3 5" xfId="4944"/>
    <cellStyle name="Normal 10 3 4 3 5 2" xfId="4945"/>
    <cellStyle name="Normal 10 3 4 3 6" xfId="4946"/>
    <cellStyle name="Normal 10 3 4 4" xfId="4947"/>
    <cellStyle name="Normal 10 3 4 4 2" xfId="4948"/>
    <cellStyle name="Normal 10 3 4 4 2 2" xfId="4949"/>
    <cellStyle name="Normal 10 3 4 4 3" xfId="4950"/>
    <cellStyle name="Normal 10 3 4 4 3 2" xfId="4951"/>
    <cellStyle name="Normal 10 3 4 4 4" xfId="4952"/>
    <cellStyle name="Normal 10 3 4 5" xfId="4953"/>
    <cellStyle name="Normal 10 3 4 5 2" xfId="4954"/>
    <cellStyle name="Normal 10 3 4 6" xfId="4955"/>
    <cellStyle name="Normal 10 3 4 6 2" xfId="4956"/>
    <cellStyle name="Normal 10 3 4 7" xfId="4957"/>
    <cellStyle name="Normal 10 3 5" xfId="4958"/>
    <cellStyle name="Normal 10 3 5 2" xfId="4959"/>
    <cellStyle name="Normal 10 3 5 2 2" xfId="4960"/>
    <cellStyle name="Normal 10 3 5 2 2 2" xfId="4961"/>
    <cellStyle name="Normal 10 3 5 2 2 2 2" xfId="4962"/>
    <cellStyle name="Normal 10 3 5 2 2 3" xfId="4963"/>
    <cellStyle name="Normal 10 3 5 2 2 3 2" xfId="4964"/>
    <cellStyle name="Normal 10 3 5 2 2 4" xfId="4965"/>
    <cellStyle name="Normal 10 3 5 2 3" xfId="4966"/>
    <cellStyle name="Normal 10 3 5 2 3 2" xfId="4967"/>
    <cellStyle name="Normal 10 3 5 2 4" xfId="4968"/>
    <cellStyle name="Normal 10 3 5 2 4 2" xfId="4969"/>
    <cellStyle name="Normal 10 3 5 2 5" xfId="4970"/>
    <cellStyle name="Normal 10 3 5 3" xfId="4971"/>
    <cellStyle name="Normal 10 3 5 3 2" xfId="4972"/>
    <cellStyle name="Normal 10 3 5 3 2 2" xfId="4973"/>
    <cellStyle name="Normal 10 3 5 3 2 2 2" xfId="4974"/>
    <cellStyle name="Normal 10 3 5 3 2 3" xfId="4975"/>
    <cellStyle name="Normal 10 3 5 3 2 3 2" xfId="4976"/>
    <cellStyle name="Normal 10 3 5 3 2 4" xfId="4977"/>
    <cellStyle name="Normal 10 3 5 3 3" xfId="4978"/>
    <cellStyle name="Normal 10 3 5 3 3 2" xfId="4979"/>
    <cellStyle name="Normal 10 3 5 3 3 2 2" xfId="4980"/>
    <cellStyle name="Normal 10 3 5 3 3 3" xfId="4981"/>
    <cellStyle name="Normal 10 3 5 3 3 3 2" xfId="4982"/>
    <cellStyle name="Normal 10 3 5 3 3 4" xfId="4983"/>
    <cellStyle name="Normal 10 3 5 3 4" xfId="4984"/>
    <cellStyle name="Normal 10 3 5 3 4 2" xfId="4985"/>
    <cellStyle name="Normal 10 3 5 3 5" xfId="4986"/>
    <cellStyle name="Normal 10 3 5 3 5 2" xfId="4987"/>
    <cellStyle name="Normal 10 3 5 3 6" xfId="4988"/>
    <cellStyle name="Normal 10 3 5 4" xfId="4989"/>
    <cellStyle name="Normal 10 3 5 4 2" xfId="4990"/>
    <cellStyle name="Normal 10 3 5 4 2 2" xfId="4991"/>
    <cellStyle name="Normal 10 3 5 4 3" xfId="4992"/>
    <cellStyle name="Normal 10 3 5 4 3 2" xfId="4993"/>
    <cellStyle name="Normal 10 3 5 4 4" xfId="4994"/>
    <cellStyle name="Normal 10 3 5 5" xfId="4995"/>
    <cellStyle name="Normal 10 3 5 5 2" xfId="4996"/>
    <cellStyle name="Normal 10 3 5 6" xfId="4997"/>
    <cellStyle name="Normal 10 3 5 6 2" xfId="4998"/>
    <cellStyle name="Normal 10 3 5 7" xfId="4999"/>
    <cellStyle name="Normal 10 3 6" xfId="5000"/>
    <cellStyle name="Normal 10 3 6 2" xfId="5001"/>
    <cellStyle name="Normal 10 3 6 2 2" xfId="5002"/>
    <cellStyle name="Normal 10 3 6 2 2 2" xfId="5003"/>
    <cellStyle name="Normal 10 3 6 2 3" xfId="5004"/>
    <cellStyle name="Normal 10 3 6 2 3 2" xfId="5005"/>
    <cellStyle name="Normal 10 3 6 2 4" xfId="5006"/>
    <cellStyle name="Normal 10 3 6 3" xfId="5007"/>
    <cellStyle name="Normal 10 3 6 3 2" xfId="5008"/>
    <cellStyle name="Normal 10 3 6 4" xfId="5009"/>
    <cellStyle name="Normal 10 3 6 4 2" xfId="5010"/>
    <cellStyle name="Normal 10 3 6 5" xfId="5011"/>
    <cellStyle name="Normal 10 3 7" xfId="5012"/>
    <cellStyle name="Normal 10 3 7 2" xfId="5013"/>
    <cellStyle name="Normal 10 3 7 2 2" xfId="5014"/>
    <cellStyle name="Normal 10 3 7 3" xfId="5015"/>
    <cellStyle name="Normal 10 3 7 3 2" xfId="5016"/>
    <cellStyle name="Normal 10 3 7 4" xfId="5017"/>
    <cellStyle name="Normal 10 3 8" xfId="5018"/>
    <cellStyle name="Normal 10 3 8 2" xfId="5019"/>
    <cellStyle name="Normal 10 3 9" xfId="5020"/>
    <cellStyle name="Normal 10 3 9 2" xfId="5021"/>
    <cellStyle name="Normal 10 4" xfId="5022"/>
    <cellStyle name="Normal 10 4 10" xfId="5023"/>
    <cellStyle name="Normal 10 4 2" xfId="5024"/>
    <cellStyle name="Normal 10 4 2 2" xfId="5025"/>
    <cellStyle name="Normal 10 4 2 2 2" xfId="5026"/>
    <cellStyle name="Normal 10 4 2 2 2 2" xfId="5027"/>
    <cellStyle name="Normal 10 4 2 2 2 2 2" xfId="5028"/>
    <cellStyle name="Normal 10 4 2 2 2 3" xfId="5029"/>
    <cellStyle name="Normal 10 4 2 2 2 3 2" xfId="5030"/>
    <cellStyle name="Normal 10 4 2 2 2 4" xfId="5031"/>
    <cellStyle name="Normal 10 4 2 2 3" xfId="5032"/>
    <cellStyle name="Normal 10 4 2 2 3 2" xfId="5033"/>
    <cellStyle name="Normal 10 4 2 2 4" xfId="5034"/>
    <cellStyle name="Normal 10 4 2 2 4 2" xfId="5035"/>
    <cellStyle name="Normal 10 4 2 2 5" xfId="5036"/>
    <cellStyle name="Normal 10 4 2 3" xfId="5037"/>
    <cellStyle name="Normal 10 4 2 3 2" xfId="5038"/>
    <cellStyle name="Normal 10 4 2 3 2 2" xfId="5039"/>
    <cellStyle name="Normal 10 4 2 3 2 2 2" xfId="5040"/>
    <cellStyle name="Normal 10 4 2 3 2 3" xfId="5041"/>
    <cellStyle name="Normal 10 4 2 3 2 3 2" xfId="5042"/>
    <cellStyle name="Normal 10 4 2 3 2 4" xfId="5043"/>
    <cellStyle name="Normal 10 4 2 3 3" xfId="5044"/>
    <cellStyle name="Normal 10 4 2 3 3 2" xfId="5045"/>
    <cellStyle name="Normal 10 4 2 3 3 2 2" xfId="5046"/>
    <cellStyle name="Normal 10 4 2 3 3 3" xfId="5047"/>
    <cellStyle name="Normal 10 4 2 3 3 3 2" xfId="5048"/>
    <cellStyle name="Normal 10 4 2 3 3 4" xfId="5049"/>
    <cellStyle name="Normal 10 4 2 3 4" xfId="5050"/>
    <cellStyle name="Normal 10 4 2 3 4 2" xfId="5051"/>
    <cellStyle name="Normal 10 4 2 3 5" xfId="5052"/>
    <cellStyle name="Normal 10 4 2 3 5 2" xfId="5053"/>
    <cellStyle name="Normal 10 4 2 3 6" xfId="5054"/>
    <cellStyle name="Normal 10 4 2 4" xfId="5055"/>
    <cellStyle name="Normal 10 4 2 4 2" xfId="5056"/>
    <cellStyle name="Normal 10 4 2 4 2 2" xfId="5057"/>
    <cellStyle name="Normal 10 4 2 4 3" xfId="5058"/>
    <cellStyle name="Normal 10 4 2 4 3 2" xfId="5059"/>
    <cellStyle name="Normal 10 4 2 4 4" xfId="5060"/>
    <cellStyle name="Normal 10 4 2 5" xfId="5061"/>
    <cellStyle name="Normal 10 4 2 5 2" xfId="5062"/>
    <cellStyle name="Normal 10 4 2 6" xfId="5063"/>
    <cellStyle name="Normal 10 4 2 6 2" xfId="5064"/>
    <cellStyle name="Normal 10 4 2 7" xfId="5065"/>
    <cellStyle name="Normal 10 4 3" xfId="5066"/>
    <cellStyle name="Normal 10 4 3 2" xfId="5067"/>
    <cellStyle name="Normal 10 4 3 2 2" xfId="5068"/>
    <cellStyle name="Normal 10 4 3 2 2 2" xfId="5069"/>
    <cellStyle name="Normal 10 4 3 2 2 2 2" xfId="5070"/>
    <cellStyle name="Normal 10 4 3 2 2 3" xfId="5071"/>
    <cellStyle name="Normal 10 4 3 2 2 3 2" xfId="5072"/>
    <cellStyle name="Normal 10 4 3 2 2 4" xfId="5073"/>
    <cellStyle name="Normal 10 4 3 2 3" xfId="5074"/>
    <cellStyle name="Normal 10 4 3 2 3 2" xfId="5075"/>
    <cellStyle name="Normal 10 4 3 2 4" xfId="5076"/>
    <cellStyle name="Normal 10 4 3 2 4 2" xfId="5077"/>
    <cellStyle name="Normal 10 4 3 2 5" xfId="5078"/>
    <cellStyle name="Normal 10 4 3 3" xfId="5079"/>
    <cellStyle name="Normal 10 4 3 3 2" xfId="5080"/>
    <cellStyle name="Normal 10 4 3 3 2 2" xfId="5081"/>
    <cellStyle name="Normal 10 4 3 3 2 2 2" xfId="5082"/>
    <cellStyle name="Normal 10 4 3 3 2 3" xfId="5083"/>
    <cellStyle name="Normal 10 4 3 3 2 3 2" xfId="5084"/>
    <cellStyle name="Normal 10 4 3 3 2 4" xfId="5085"/>
    <cellStyle name="Normal 10 4 3 3 3" xfId="5086"/>
    <cellStyle name="Normal 10 4 3 3 3 2" xfId="5087"/>
    <cellStyle name="Normal 10 4 3 3 3 2 2" xfId="5088"/>
    <cellStyle name="Normal 10 4 3 3 3 3" xfId="5089"/>
    <cellStyle name="Normal 10 4 3 3 3 3 2" xfId="5090"/>
    <cellStyle name="Normal 10 4 3 3 3 4" xfId="5091"/>
    <cellStyle name="Normal 10 4 3 3 4" xfId="5092"/>
    <cellStyle name="Normal 10 4 3 3 4 2" xfId="5093"/>
    <cellStyle name="Normal 10 4 3 3 5" xfId="5094"/>
    <cellStyle name="Normal 10 4 3 3 5 2" xfId="5095"/>
    <cellStyle name="Normal 10 4 3 3 6" xfId="5096"/>
    <cellStyle name="Normal 10 4 3 4" xfId="5097"/>
    <cellStyle name="Normal 10 4 3 4 2" xfId="5098"/>
    <cellStyle name="Normal 10 4 3 4 2 2" xfId="5099"/>
    <cellStyle name="Normal 10 4 3 4 3" xfId="5100"/>
    <cellStyle name="Normal 10 4 3 4 3 2" xfId="5101"/>
    <cellStyle name="Normal 10 4 3 4 4" xfId="5102"/>
    <cellStyle name="Normal 10 4 3 5" xfId="5103"/>
    <cellStyle name="Normal 10 4 3 5 2" xfId="5104"/>
    <cellStyle name="Normal 10 4 3 6" xfId="5105"/>
    <cellStyle name="Normal 10 4 3 6 2" xfId="5106"/>
    <cellStyle name="Normal 10 4 3 7" xfId="5107"/>
    <cellStyle name="Normal 10 4 4" xfId="5108"/>
    <cellStyle name="Normal 10 4 4 2" xfId="5109"/>
    <cellStyle name="Normal 10 4 4 2 2" xfId="5110"/>
    <cellStyle name="Normal 10 4 4 2 2 2" xfId="5111"/>
    <cellStyle name="Normal 10 4 4 2 2 2 2" xfId="5112"/>
    <cellStyle name="Normal 10 4 4 2 2 3" xfId="5113"/>
    <cellStyle name="Normal 10 4 4 2 2 3 2" xfId="5114"/>
    <cellStyle name="Normal 10 4 4 2 2 4" xfId="5115"/>
    <cellStyle name="Normal 10 4 4 2 3" xfId="5116"/>
    <cellStyle name="Normal 10 4 4 2 3 2" xfId="5117"/>
    <cellStyle name="Normal 10 4 4 2 4" xfId="5118"/>
    <cellStyle name="Normal 10 4 4 2 4 2" xfId="5119"/>
    <cellStyle name="Normal 10 4 4 2 5" xfId="5120"/>
    <cellStyle name="Normal 10 4 4 3" xfId="5121"/>
    <cellStyle name="Normal 10 4 4 3 2" xfId="5122"/>
    <cellStyle name="Normal 10 4 4 3 2 2" xfId="5123"/>
    <cellStyle name="Normal 10 4 4 3 2 2 2" xfId="5124"/>
    <cellStyle name="Normal 10 4 4 3 2 3" xfId="5125"/>
    <cellStyle name="Normal 10 4 4 3 2 3 2" xfId="5126"/>
    <cellStyle name="Normal 10 4 4 3 2 4" xfId="5127"/>
    <cellStyle name="Normal 10 4 4 3 3" xfId="5128"/>
    <cellStyle name="Normal 10 4 4 3 3 2" xfId="5129"/>
    <cellStyle name="Normal 10 4 4 3 3 2 2" xfId="5130"/>
    <cellStyle name="Normal 10 4 4 3 3 3" xfId="5131"/>
    <cellStyle name="Normal 10 4 4 3 3 3 2" xfId="5132"/>
    <cellStyle name="Normal 10 4 4 3 3 4" xfId="5133"/>
    <cellStyle name="Normal 10 4 4 3 4" xfId="5134"/>
    <cellStyle name="Normal 10 4 4 3 4 2" xfId="5135"/>
    <cellStyle name="Normal 10 4 4 3 5" xfId="5136"/>
    <cellStyle name="Normal 10 4 4 3 5 2" xfId="5137"/>
    <cellStyle name="Normal 10 4 4 3 6" xfId="5138"/>
    <cellStyle name="Normal 10 4 4 4" xfId="5139"/>
    <cellStyle name="Normal 10 4 4 4 2" xfId="5140"/>
    <cellStyle name="Normal 10 4 4 4 2 2" xfId="5141"/>
    <cellStyle name="Normal 10 4 4 4 3" xfId="5142"/>
    <cellStyle name="Normal 10 4 4 4 3 2" xfId="5143"/>
    <cellStyle name="Normal 10 4 4 4 4" xfId="5144"/>
    <cellStyle name="Normal 10 4 4 5" xfId="5145"/>
    <cellStyle name="Normal 10 4 4 5 2" xfId="5146"/>
    <cellStyle name="Normal 10 4 4 6" xfId="5147"/>
    <cellStyle name="Normal 10 4 4 6 2" xfId="5148"/>
    <cellStyle name="Normal 10 4 4 7" xfId="5149"/>
    <cellStyle name="Normal 10 4 5" xfId="5150"/>
    <cellStyle name="Normal 10 4 5 2" xfId="5151"/>
    <cellStyle name="Normal 10 4 5 2 2" xfId="5152"/>
    <cellStyle name="Normal 10 4 5 2 2 2" xfId="5153"/>
    <cellStyle name="Normal 10 4 5 2 2 2 2" xfId="5154"/>
    <cellStyle name="Normal 10 4 5 2 2 3" xfId="5155"/>
    <cellStyle name="Normal 10 4 5 2 2 3 2" xfId="5156"/>
    <cellStyle name="Normal 10 4 5 2 2 4" xfId="5157"/>
    <cellStyle name="Normal 10 4 5 2 3" xfId="5158"/>
    <cellStyle name="Normal 10 4 5 2 3 2" xfId="5159"/>
    <cellStyle name="Normal 10 4 5 2 4" xfId="5160"/>
    <cellStyle name="Normal 10 4 5 2 4 2" xfId="5161"/>
    <cellStyle name="Normal 10 4 5 2 5" xfId="5162"/>
    <cellStyle name="Normal 10 4 5 3" xfId="5163"/>
    <cellStyle name="Normal 10 4 5 3 2" xfId="5164"/>
    <cellStyle name="Normal 10 4 5 3 2 2" xfId="5165"/>
    <cellStyle name="Normal 10 4 5 3 2 2 2" xfId="5166"/>
    <cellStyle name="Normal 10 4 5 3 2 3" xfId="5167"/>
    <cellStyle name="Normal 10 4 5 3 2 3 2" xfId="5168"/>
    <cellStyle name="Normal 10 4 5 3 2 4" xfId="5169"/>
    <cellStyle name="Normal 10 4 5 3 3" xfId="5170"/>
    <cellStyle name="Normal 10 4 5 3 3 2" xfId="5171"/>
    <cellStyle name="Normal 10 4 5 3 3 2 2" xfId="5172"/>
    <cellStyle name="Normal 10 4 5 3 3 3" xfId="5173"/>
    <cellStyle name="Normal 10 4 5 3 3 3 2" xfId="5174"/>
    <cellStyle name="Normal 10 4 5 3 3 4" xfId="5175"/>
    <cellStyle name="Normal 10 4 5 3 4" xfId="5176"/>
    <cellStyle name="Normal 10 4 5 3 4 2" xfId="5177"/>
    <cellStyle name="Normal 10 4 5 3 5" xfId="5178"/>
    <cellStyle name="Normal 10 4 5 3 5 2" xfId="5179"/>
    <cellStyle name="Normal 10 4 5 3 6" xfId="5180"/>
    <cellStyle name="Normal 10 4 5 4" xfId="5181"/>
    <cellStyle name="Normal 10 4 5 4 2" xfId="5182"/>
    <cellStyle name="Normal 10 4 5 4 2 2" xfId="5183"/>
    <cellStyle name="Normal 10 4 5 4 3" xfId="5184"/>
    <cellStyle name="Normal 10 4 5 4 3 2" xfId="5185"/>
    <cellStyle name="Normal 10 4 5 4 4" xfId="5186"/>
    <cellStyle name="Normal 10 4 5 5" xfId="5187"/>
    <cellStyle name="Normal 10 4 5 5 2" xfId="5188"/>
    <cellStyle name="Normal 10 4 5 6" xfId="5189"/>
    <cellStyle name="Normal 10 4 5 6 2" xfId="5190"/>
    <cellStyle name="Normal 10 4 5 7" xfId="5191"/>
    <cellStyle name="Normal 10 4 6" xfId="5192"/>
    <cellStyle name="Normal 10 4 6 2" xfId="5193"/>
    <cellStyle name="Normal 10 4 6 2 2" xfId="5194"/>
    <cellStyle name="Normal 10 4 6 2 2 2" xfId="5195"/>
    <cellStyle name="Normal 10 4 6 2 3" xfId="5196"/>
    <cellStyle name="Normal 10 4 6 2 3 2" xfId="5197"/>
    <cellStyle name="Normal 10 4 6 2 4" xfId="5198"/>
    <cellStyle name="Normal 10 4 6 3" xfId="5199"/>
    <cellStyle name="Normal 10 4 6 3 2" xfId="5200"/>
    <cellStyle name="Normal 10 4 6 4" xfId="5201"/>
    <cellStyle name="Normal 10 4 6 4 2" xfId="5202"/>
    <cellStyle name="Normal 10 4 6 5" xfId="5203"/>
    <cellStyle name="Normal 10 4 7" xfId="5204"/>
    <cellStyle name="Normal 10 4 7 2" xfId="5205"/>
    <cellStyle name="Normal 10 4 7 2 2" xfId="5206"/>
    <cellStyle name="Normal 10 4 7 3" xfId="5207"/>
    <cellStyle name="Normal 10 4 7 3 2" xfId="5208"/>
    <cellStyle name="Normal 10 4 7 4" xfId="5209"/>
    <cellStyle name="Normal 10 4 8" xfId="5210"/>
    <cellStyle name="Normal 10 4 8 2" xfId="5211"/>
    <cellStyle name="Normal 10 4 9" xfId="5212"/>
    <cellStyle name="Normal 10 4 9 2" xfId="5213"/>
    <cellStyle name="Normal 10 5" xfId="5214"/>
    <cellStyle name="Normal 10 5 2" xfId="5215"/>
    <cellStyle name="Normal 10 5 3" xfId="5216"/>
    <cellStyle name="Normal 10 5 4" xfId="5217"/>
    <cellStyle name="Normal 10 5 4 2" xfId="5218"/>
    <cellStyle name="Normal 10 5 5" xfId="5219"/>
    <cellStyle name="Normal 10 5 5 2" xfId="5220"/>
    <cellStyle name="Normal 10 5 6" xfId="5221"/>
    <cellStyle name="Normal 10 6" xfId="5222"/>
    <cellStyle name="Normal 10 6 2" xfId="5223"/>
    <cellStyle name="Normal 10 6 2 2" xfId="5224"/>
    <cellStyle name="Normal 10 6 2 2 2" xfId="5225"/>
    <cellStyle name="Normal 10 6 2 2 2 2" xfId="5226"/>
    <cellStyle name="Normal 10 6 2 2 3" xfId="5227"/>
    <cellStyle name="Normal 10 6 2 2 3 2" xfId="5228"/>
    <cellStyle name="Normal 10 6 2 2 4" xfId="5229"/>
    <cellStyle name="Normal 10 6 2 3" xfId="5230"/>
    <cellStyle name="Normal 10 6 2 3 2" xfId="5231"/>
    <cellStyle name="Normal 10 6 2 4" xfId="5232"/>
    <cellStyle name="Normal 10 6 2 4 2" xfId="5233"/>
    <cellStyle name="Normal 10 6 2 5" xfId="5234"/>
    <cellStyle name="Normal 10 6 3" xfId="5235"/>
    <cellStyle name="Normal 10 6 3 2" xfId="5236"/>
    <cellStyle name="Normal 10 6 3 2 2" xfId="5237"/>
    <cellStyle name="Normal 10 6 3 3" xfId="5238"/>
    <cellStyle name="Normal 10 6 3 3 2" xfId="5239"/>
    <cellStyle name="Normal 10 6 3 4" xfId="5240"/>
    <cellStyle name="Normal 10 6 4" xfId="5241"/>
    <cellStyle name="Normal 10 6 4 2" xfId="5242"/>
    <cellStyle name="Normal 10 6 5" xfId="5243"/>
    <cellStyle name="Normal 10 6 5 2" xfId="5244"/>
    <cellStyle name="Normal 10 6 6" xfId="5245"/>
    <cellStyle name="Normal 10 7" xfId="5246"/>
    <cellStyle name="Normal 10 7 2" xfId="5247"/>
    <cellStyle name="Normal 10 7 2 2" xfId="5248"/>
    <cellStyle name="Normal 10 7 2 2 2" xfId="5249"/>
    <cellStyle name="Normal 10 7 2 2 2 2" xfId="5250"/>
    <cellStyle name="Normal 10 7 2 2 3" xfId="5251"/>
    <cellStyle name="Normal 10 7 2 2 3 2" xfId="5252"/>
    <cellStyle name="Normal 10 7 2 2 4" xfId="5253"/>
    <cellStyle name="Normal 10 7 2 3" xfId="5254"/>
    <cellStyle name="Normal 10 7 2 3 2" xfId="5255"/>
    <cellStyle name="Normal 10 7 2 4" xfId="5256"/>
    <cellStyle name="Normal 10 7 2 4 2" xfId="5257"/>
    <cellStyle name="Normal 10 7 2 5" xfId="5258"/>
    <cellStyle name="Normal 10 7 3" xfId="5259"/>
    <cellStyle name="Normal 10 7 3 2" xfId="5260"/>
    <cellStyle name="Normal 10 7 3 2 2" xfId="5261"/>
    <cellStyle name="Normal 10 7 3 2 2 2" xfId="5262"/>
    <cellStyle name="Normal 10 7 3 2 3" xfId="5263"/>
    <cellStyle name="Normal 10 7 3 2 3 2" xfId="5264"/>
    <cellStyle name="Normal 10 7 3 2 4" xfId="5265"/>
    <cellStyle name="Normal 10 7 3 3" xfId="5266"/>
    <cellStyle name="Normal 10 7 3 3 2" xfId="5267"/>
    <cellStyle name="Normal 10 7 3 3 2 2" xfId="5268"/>
    <cellStyle name="Normal 10 7 3 3 3" xfId="5269"/>
    <cellStyle name="Normal 10 7 3 3 3 2" xfId="5270"/>
    <cellStyle name="Normal 10 7 3 3 4" xfId="5271"/>
    <cellStyle name="Normal 10 7 3 4" xfId="5272"/>
    <cellStyle name="Normal 10 7 3 4 2" xfId="5273"/>
    <cellStyle name="Normal 10 7 3 5" xfId="5274"/>
    <cellStyle name="Normal 10 7 3 5 2" xfId="5275"/>
    <cellStyle name="Normal 10 7 3 6" xfId="5276"/>
    <cellStyle name="Normal 10 7 4" xfId="5277"/>
    <cellStyle name="Normal 10 7 4 2" xfId="5278"/>
    <cellStyle name="Normal 10 7 4 2 2" xfId="5279"/>
    <cellStyle name="Normal 10 7 4 3" xfId="5280"/>
    <cellStyle name="Normal 10 7 4 3 2" xfId="5281"/>
    <cellStyle name="Normal 10 7 4 4" xfId="5282"/>
    <cellStyle name="Normal 10 7 5" xfId="5283"/>
    <cellStyle name="Normal 10 7 5 2" xfId="5284"/>
    <cellStyle name="Normal 10 7 6" xfId="5285"/>
    <cellStyle name="Normal 10 7 6 2" xfId="5286"/>
    <cellStyle name="Normal 10 7 7" xfId="5287"/>
    <cellStyle name="Normal 10 8" xfId="5288"/>
    <cellStyle name="Normal 10 8 2" xfId="5289"/>
    <cellStyle name="Normal 10 8 2 2" xfId="5290"/>
    <cellStyle name="Normal 10 8 2 2 2" xfId="5291"/>
    <cellStyle name="Normal 10 8 2 2 2 2" xfId="5292"/>
    <cellStyle name="Normal 10 8 2 2 3" xfId="5293"/>
    <cellStyle name="Normal 10 8 2 2 3 2" xfId="5294"/>
    <cellStyle name="Normal 10 8 2 2 4" xfId="5295"/>
    <cellStyle name="Normal 10 8 2 3" xfId="5296"/>
    <cellStyle name="Normal 10 8 2 3 2" xfId="5297"/>
    <cellStyle name="Normal 10 8 2 4" xfId="5298"/>
    <cellStyle name="Normal 10 8 2 4 2" xfId="5299"/>
    <cellStyle name="Normal 10 8 2 5" xfId="5300"/>
    <cellStyle name="Normal 10 8 3" xfId="5301"/>
    <cellStyle name="Normal 10 8 3 2" xfId="5302"/>
    <cellStyle name="Normal 10 8 3 2 2" xfId="5303"/>
    <cellStyle name="Normal 10 8 3 2 2 2" xfId="5304"/>
    <cellStyle name="Normal 10 8 3 2 3" xfId="5305"/>
    <cellStyle name="Normal 10 8 3 2 3 2" xfId="5306"/>
    <cellStyle name="Normal 10 8 3 2 4" xfId="5307"/>
    <cellStyle name="Normal 10 8 3 3" xfId="5308"/>
    <cellStyle name="Normal 10 8 3 3 2" xfId="5309"/>
    <cellStyle name="Normal 10 8 3 3 2 2" xfId="5310"/>
    <cellStyle name="Normal 10 8 3 3 3" xfId="5311"/>
    <cellStyle name="Normal 10 8 3 3 3 2" xfId="5312"/>
    <cellStyle name="Normal 10 8 3 3 4" xfId="5313"/>
    <cellStyle name="Normal 10 8 3 4" xfId="5314"/>
    <cellStyle name="Normal 10 8 3 4 2" xfId="5315"/>
    <cellStyle name="Normal 10 8 3 5" xfId="5316"/>
    <cellStyle name="Normal 10 8 3 5 2" xfId="5317"/>
    <cellStyle name="Normal 10 8 3 6" xfId="5318"/>
    <cellStyle name="Normal 10 8 4" xfId="5319"/>
    <cellStyle name="Normal 10 8 4 2" xfId="5320"/>
    <cellStyle name="Normal 10 8 4 2 2" xfId="5321"/>
    <cellStyle name="Normal 10 8 4 3" xfId="5322"/>
    <cellStyle name="Normal 10 8 4 3 2" xfId="5323"/>
    <cellStyle name="Normal 10 8 4 4" xfId="5324"/>
    <cellStyle name="Normal 10 8 5" xfId="5325"/>
    <cellStyle name="Normal 10 8 5 2" xfId="5326"/>
    <cellStyle name="Normal 10 8 6" xfId="5327"/>
    <cellStyle name="Normal 10 8 6 2" xfId="5328"/>
    <cellStyle name="Normal 10 8 7" xfId="5329"/>
    <cellStyle name="Normal 10 9" xfId="5330"/>
    <cellStyle name="Normal 10 9 2" xfId="5331"/>
    <cellStyle name="Normal 10 9 2 2" xfId="5332"/>
    <cellStyle name="Normal 10 9 2 2 2" xfId="5333"/>
    <cellStyle name="Normal 10 9 2 2 2 2" xfId="5334"/>
    <cellStyle name="Normal 10 9 2 2 3" xfId="5335"/>
    <cellStyle name="Normal 10 9 2 2 3 2" xfId="5336"/>
    <cellStyle name="Normal 10 9 2 2 4" xfId="5337"/>
    <cellStyle name="Normal 10 9 2 3" xfId="5338"/>
    <cellStyle name="Normal 10 9 2 3 2" xfId="5339"/>
    <cellStyle name="Normal 10 9 2 4" xfId="5340"/>
    <cellStyle name="Normal 10 9 2 4 2" xfId="5341"/>
    <cellStyle name="Normal 10 9 2 5" xfId="5342"/>
    <cellStyle name="Normal 10 9 3" xfId="5343"/>
    <cellStyle name="Normal 10 9 3 2" xfId="5344"/>
    <cellStyle name="Normal 10 9 3 2 2" xfId="5345"/>
    <cellStyle name="Normal 10 9 3 2 2 2" xfId="5346"/>
    <cellStyle name="Normal 10 9 3 2 3" xfId="5347"/>
    <cellStyle name="Normal 10 9 3 2 3 2" xfId="5348"/>
    <cellStyle name="Normal 10 9 3 2 4" xfId="5349"/>
    <cellStyle name="Normal 10 9 3 3" xfId="5350"/>
    <cellStyle name="Normal 10 9 3 3 2" xfId="5351"/>
    <cellStyle name="Normal 10 9 3 3 2 2" xfId="5352"/>
    <cellStyle name="Normal 10 9 3 3 3" xfId="5353"/>
    <cellStyle name="Normal 10 9 3 3 3 2" xfId="5354"/>
    <cellStyle name="Normal 10 9 3 3 4" xfId="5355"/>
    <cellStyle name="Normal 10 9 3 4" xfId="5356"/>
    <cellStyle name="Normal 10 9 3 4 2" xfId="5357"/>
    <cellStyle name="Normal 10 9 3 5" xfId="5358"/>
    <cellStyle name="Normal 10 9 3 5 2" xfId="5359"/>
    <cellStyle name="Normal 10 9 3 6" xfId="5360"/>
    <cellStyle name="Normal 10 9 4" xfId="5361"/>
    <cellStyle name="Normal 10 9 4 2" xfId="5362"/>
    <cellStyle name="Normal 10 9 4 2 2" xfId="5363"/>
    <cellStyle name="Normal 10 9 4 3" xfId="5364"/>
    <cellStyle name="Normal 10 9 4 3 2" xfId="5365"/>
    <cellStyle name="Normal 10 9 4 4" xfId="5366"/>
    <cellStyle name="Normal 10 9 5" xfId="5367"/>
    <cellStyle name="Normal 10 9 5 2" xfId="5368"/>
    <cellStyle name="Normal 10 9 6" xfId="5369"/>
    <cellStyle name="Normal 10 9 6 2" xfId="5370"/>
    <cellStyle name="Normal 10 9 7" xfId="5371"/>
    <cellStyle name="Normal 11" xfId="5372"/>
    <cellStyle name="Normal 11 2" xfId="5373"/>
    <cellStyle name="Normal 11 2 2" xfId="5374"/>
    <cellStyle name="Normal 11 2 2 2" xfId="5375"/>
    <cellStyle name="Normal 11 2 3" xfId="5376"/>
    <cellStyle name="Normal 11 2 4" xfId="5377"/>
    <cellStyle name="Normal 11 2 4 10" xfId="5378"/>
    <cellStyle name="Normal 11 2 4 10 2" xfId="5379"/>
    <cellStyle name="Normal 11 2 4 10 2 2" xfId="5380"/>
    <cellStyle name="Normal 11 2 4 10 3" xfId="5381"/>
    <cellStyle name="Normal 11 2 4 10 3 2" xfId="5382"/>
    <cellStyle name="Normal 11 2 4 10 4" xfId="5383"/>
    <cellStyle name="Normal 11 2 4 11" xfId="5384"/>
    <cellStyle name="Normal 11 2 4 11 2" xfId="5385"/>
    <cellStyle name="Normal 11 2 4 11 2 2" xfId="5386"/>
    <cellStyle name="Normal 11 2 4 11 3" xfId="5387"/>
    <cellStyle name="Normal 11 2 4 11 3 2" xfId="5388"/>
    <cellStyle name="Normal 11 2 4 11 4" xfId="5389"/>
    <cellStyle name="Normal 11 2 4 12" xfId="5390"/>
    <cellStyle name="Normal 11 2 4 12 2" xfId="5391"/>
    <cellStyle name="Normal 11 2 4 12 2 2" xfId="5392"/>
    <cellStyle name="Normal 11 2 4 12 3" xfId="5393"/>
    <cellStyle name="Normal 11 2 4 12 3 2" xfId="5394"/>
    <cellStyle name="Normal 11 2 4 12 4" xfId="5395"/>
    <cellStyle name="Normal 11 2 4 13" xfId="5396"/>
    <cellStyle name="Normal 11 2 4 13 2" xfId="5397"/>
    <cellStyle name="Normal 11 2 4 13 2 2" xfId="5398"/>
    <cellStyle name="Normal 11 2 4 13 3" xfId="5399"/>
    <cellStyle name="Normal 11 2 4 13 3 2" xfId="5400"/>
    <cellStyle name="Normal 11 2 4 13 4" xfId="5401"/>
    <cellStyle name="Normal 11 2 4 14" xfId="5402"/>
    <cellStyle name="Normal 11 2 4 14 2" xfId="5403"/>
    <cellStyle name="Normal 11 2 4 15" xfId="5404"/>
    <cellStyle name="Normal 11 2 4 15 2" xfId="5405"/>
    <cellStyle name="Normal 11 2 4 16" xfId="5406"/>
    <cellStyle name="Normal 11 2 4 2" xfId="5407"/>
    <cellStyle name="Normal 11 2 4 2 2" xfId="5408"/>
    <cellStyle name="Normal 11 2 4 2 2 2" xfId="5409"/>
    <cellStyle name="Normal 11 2 4 2 2 2 2" xfId="5410"/>
    <cellStyle name="Normal 11 2 4 2 2 2 2 2" xfId="5411"/>
    <cellStyle name="Normal 11 2 4 2 2 2 3" xfId="5412"/>
    <cellStyle name="Normal 11 2 4 2 2 2 3 2" xfId="5413"/>
    <cellStyle name="Normal 11 2 4 2 2 2 4" xfId="5414"/>
    <cellStyle name="Normal 11 2 4 2 2 3" xfId="5415"/>
    <cellStyle name="Normal 11 2 4 2 2 3 2" xfId="5416"/>
    <cellStyle name="Normal 11 2 4 2 2 3 2 2" xfId="5417"/>
    <cellStyle name="Normal 11 2 4 2 2 3 3" xfId="5418"/>
    <cellStyle name="Normal 11 2 4 2 2 3 3 2" xfId="5419"/>
    <cellStyle name="Normal 11 2 4 2 2 3 4" xfId="5420"/>
    <cellStyle name="Normal 11 2 4 2 2 4" xfId="5421"/>
    <cellStyle name="Normal 11 2 4 2 2 4 2" xfId="5422"/>
    <cellStyle name="Normal 11 2 4 2 2 4 2 2" xfId="5423"/>
    <cellStyle name="Normal 11 2 4 2 2 4 3" xfId="5424"/>
    <cellStyle name="Normal 11 2 4 2 2 4 3 2" xfId="5425"/>
    <cellStyle name="Normal 11 2 4 2 2 4 4" xfId="5426"/>
    <cellStyle name="Normal 11 2 4 2 2 5" xfId="5427"/>
    <cellStyle name="Normal 11 2 4 2 2 5 2" xfId="5428"/>
    <cellStyle name="Normal 11 2 4 2 2 6" xfId="5429"/>
    <cellStyle name="Normal 11 2 4 2 2 6 2" xfId="5430"/>
    <cellStyle name="Normal 11 2 4 2 2 7" xfId="5431"/>
    <cellStyle name="Normal 11 2 4 2 3" xfId="5432"/>
    <cellStyle name="Normal 11 2 4 2 3 2" xfId="5433"/>
    <cellStyle name="Normal 11 2 4 2 3 2 2" xfId="5434"/>
    <cellStyle name="Normal 11 2 4 2 3 3" xfId="5435"/>
    <cellStyle name="Normal 11 2 4 2 3 3 2" xfId="5436"/>
    <cellStyle name="Normal 11 2 4 2 3 4" xfId="5437"/>
    <cellStyle name="Normal 11 2 4 2 4" xfId="5438"/>
    <cellStyle name="Normal 11 2 4 2 4 2" xfId="5439"/>
    <cellStyle name="Normal 11 2 4 2 4 2 2" xfId="5440"/>
    <cellStyle name="Normal 11 2 4 2 4 3" xfId="5441"/>
    <cellStyle name="Normal 11 2 4 2 4 3 2" xfId="5442"/>
    <cellStyle name="Normal 11 2 4 2 4 4" xfId="5443"/>
    <cellStyle name="Normal 11 2 4 2 5" xfId="5444"/>
    <cellStyle name="Normal 11 2 4 2 5 2" xfId="5445"/>
    <cellStyle name="Normal 11 2 4 2 5 2 2" xfId="5446"/>
    <cellStyle name="Normal 11 2 4 2 5 3" xfId="5447"/>
    <cellStyle name="Normal 11 2 4 2 5 3 2" xfId="5448"/>
    <cellStyle name="Normal 11 2 4 2 5 4" xfId="5449"/>
    <cellStyle name="Normal 11 2 4 2 6" xfId="5450"/>
    <cellStyle name="Normal 11 2 4 2 6 2" xfId="5451"/>
    <cellStyle name="Normal 11 2 4 2 7" xfId="5452"/>
    <cellStyle name="Normal 11 2 4 2 7 2" xfId="5453"/>
    <cellStyle name="Normal 11 2 4 2 8" xfId="5454"/>
    <cellStyle name="Normal 11 2 4 3" xfId="5455"/>
    <cellStyle name="Normal 11 2 4 3 2" xfId="5456"/>
    <cellStyle name="Normal 11 2 4 3 2 2" xfId="5457"/>
    <cellStyle name="Normal 11 2 4 3 2 2 2" xfId="5458"/>
    <cellStyle name="Normal 11 2 4 3 2 3" xfId="5459"/>
    <cellStyle name="Normal 11 2 4 3 2 3 2" xfId="5460"/>
    <cellStyle name="Normal 11 2 4 3 2 4" xfId="5461"/>
    <cellStyle name="Normal 11 2 4 3 3" xfId="5462"/>
    <cellStyle name="Normal 11 2 4 3 3 2" xfId="5463"/>
    <cellStyle name="Normal 11 2 4 3 3 2 2" xfId="5464"/>
    <cellStyle name="Normal 11 2 4 3 3 3" xfId="5465"/>
    <cellStyle name="Normal 11 2 4 3 3 3 2" xfId="5466"/>
    <cellStyle name="Normal 11 2 4 3 3 4" xfId="5467"/>
    <cellStyle name="Normal 11 2 4 3 4" xfId="5468"/>
    <cellStyle name="Normal 11 2 4 3 4 2" xfId="5469"/>
    <cellStyle name="Normal 11 2 4 3 4 2 2" xfId="5470"/>
    <cellStyle name="Normal 11 2 4 3 4 3" xfId="5471"/>
    <cellStyle name="Normal 11 2 4 3 4 3 2" xfId="5472"/>
    <cellStyle name="Normal 11 2 4 3 4 4" xfId="5473"/>
    <cellStyle name="Normal 11 2 4 3 5" xfId="5474"/>
    <cellStyle name="Normal 11 2 4 3 5 2" xfId="5475"/>
    <cellStyle name="Normal 11 2 4 3 6" xfId="5476"/>
    <cellStyle name="Normal 11 2 4 3 6 2" xfId="5477"/>
    <cellStyle name="Normal 11 2 4 3 7" xfId="5478"/>
    <cellStyle name="Normal 11 2 4 4" xfId="5479"/>
    <cellStyle name="Normal 11 2 4 4 2" xfId="5480"/>
    <cellStyle name="Normal 11 2 4 4 2 2" xfId="5481"/>
    <cellStyle name="Normal 11 2 4 4 2 2 2" xfId="5482"/>
    <cellStyle name="Normal 11 2 4 4 2 3" xfId="5483"/>
    <cellStyle name="Normal 11 2 4 4 2 3 2" xfId="5484"/>
    <cellStyle name="Normal 11 2 4 4 2 4" xfId="5485"/>
    <cellStyle name="Normal 11 2 4 4 3" xfId="5486"/>
    <cellStyle name="Normal 11 2 4 4 3 2" xfId="5487"/>
    <cellStyle name="Normal 11 2 4 4 3 2 2" xfId="5488"/>
    <cellStyle name="Normal 11 2 4 4 3 3" xfId="5489"/>
    <cellStyle name="Normal 11 2 4 4 3 3 2" xfId="5490"/>
    <cellStyle name="Normal 11 2 4 4 3 4" xfId="5491"/>
    <cellStyle name="Normal 11 2 4 4 4" xfId="5492"/>
    <cellStyle name="Normal 11 2 4 4 4 2" xfId="5493"/>
    <cellStyle name="Normal 11 2 4 4 4 2 2" xfId="5494"/>
    <cellStyle name="Normal 11 2 4 4 4 3" xfId="5495"/>
    <cellStyle name="Normal 11 2 4 4 4 3 2" xfId="5496"/>
    <cellStyle name="Normal 11 2 4 4 4 4" xfId="5497"/>
    <cellStyle name="Normal 11 2 4 4 5" xfId="5498"/>
    <cellStyle name="Normal 11 2 4 4 5 2" xfId="5499"/>
    <cellStyle name="Normal 11 2 4 4 6" xfId="5500"/>
    <cellStyle name="Normal 11 2 4 4 6 2" xfId="5501"/>
    <cellStyle name="Normal 11 2 4 4 7" xfId="5502"/>
    <cellStyle name="Normal 11 2 4 5" xfId="5503"/>
    <cellStyle name="Normal 11 2 4 5 2" xfId="5504"/>
    <cellStyle name="Normal 11 2 4 5 2 2" xfId="5505"/>
    <cellStyle name="Normal 11 2 4 5 2 2 2" xfId="5506"/>
    <cellStyle name="Normal 11 2 4 5 2 3" xfId="5507"/>
    <cellStyle name="Normal 11 2 4 5 2 3 2" xfId="5508"/>
    <cellStyle name="Normal 11 2 4 5 2 4" xfId="5509"/>
    <cellStyle name="Normal 11 2 4 5 3" xfId="5510"/>
    <cellStyle name="Normal 11 2 4 5 3 2" xfId="5511"/>
    <cellStyle name="Normal 11 2 4 5 3 2 2" xfId="5512"/>
    <cellStyle name="Normal 11 2 4 5 3 3" xfId="5513"/>
    <cellStyle name="Normal 11 2 4 5 3 3 2" xfId="5514"/>
    <cellStyle name="Normal 11 2 4 5 3 4" xfId="5515"/>
    <cellStyle name="Normal 11 2 4 5 4" xfId="5516"/>
    <cellStyle name="Normal 11 2 4 5 4 2" xfId="5517"/>
    <cellStyle name="Normal 11 2 4 5 4 2 2" xfId="5518"/>
    <cellStyle name="Normal 11 2 4 5 4 3" xfId="5519"/>
    <cellStyle name="Normal 11 2 4 5 4 3 2" xfId="5520"/>
    <cellStyle name="Normal 11 2 4 5 4 4" xfId="5521"/>
    <cellStyle name="Normal 11 2 4 5 5" xfId="5522"/>
    <cellStyle name="Normal 11 2 4 5 5 2" xfId="5523"/>
    <cellStyle name="Normal 11 2 4 5 6" xfId="5524"/>
    <cellStyle name="Normal 11 2 4 5 6 2" xfId="5525"/>
    <cellStyle name="Normal 11 2 4 5 7" xfId="5526"/>
    <cellStyle name="Normal 11 2 4 6" xfId="5527"/>
    <cellStyle name="Normal 11 2 4 6 2" xfId="5528"/>
    <cellStyle name="Normal 11 2 4 6 2 2" xfId="5529"/>
    <cellStyle name="Normal 11 2 4 6 2 2 2" xfId="5530"/>
    <cellStyle name="Normal 11 2 4 6 2 3" xfId="5531"/>
    <cellStyle name="Normal 11 2 4 6 2 3 2" xfId="5532"/>
    <cellStyle name="Normal 11 2 4 6 2 4" xfId="5533"/>
    <cellStyle name="Normal 11 2 4 6 3" xfId="5534"/>
    <cellStyle name="Normal 11 2 4 6 3 2" xfId="5535"/>
    <cellStyle name="Normal 11 2 4 6 3 2 2" xfId="5536"/>
    <cellStyle name="Normal 11 2 4 6 3 3" xfId="5537"/>
    <cellStyle name="Normal 11 2 4 6 3 3 2" xfId="5538"/>
    <cellStyle name="Normal 11 2 4 6 3 4" xfId="5539"/>
    <cellStyle name="Normal 11 2 4 6 4" xfId="5540"/>
    <cellStyle name="Normal 11 2 4 6 4 2" xfId="5541"/>
    <cellStyle name="Normal 11 2 4 6 4 2 2" xfId="5542"/>
    <cellStyle name="Normal 11 2 4 6 4 3" xfId="5543"/>
    <cellStyle name="Normal 11 2 4 6 4 3 2" xfId="5544"/>
    <cellStyle name="Normal 11 2 4 6 4 4" xfId="5545"/>
    <cellStyle name="Normal 11 2 4 6 5" xfId="5546"/>
    <cellStyle name="Normal 11 2 4 6 5 2" xfId="5547"/>
    <cellStyle name="Normal 11 2 4 6 6" xfId="5548"/>
    <cellStyle name="Normal 11 2 4 6 6 2" xfId="5549"/>
    <cellStyle name="Normal 11 2 4 6 7" xfId="5550"/>
    <cellStyle name="Normal 11 2 4 7" xfId="5551"/>
    <cellStyle name="Normal 11 2 4 7 2" xfId="5552"/>
    <cellStyle name="Normal 11 2 4 7 2 2" xfId="5553"/>
    <cellStyle name="Normal 11 2 4 7 2 2 2" xfId="5554"/>
    <cellStyle name="Normal 11 2 4 7 2 3" xfId="5555"/>
    <cellStyle name="Normal 11 2 4 7 2 3 2" xfId="5556"/>
    <cellStyle name="Normal 11 2 4 7 2 4" xfId="5557"/>
    <cellStyle name="Normal 11 2 4 7 3" xfId="5558"/>
    <cellStyle name="Normal 11 2 4 7 3 2" xfId="5559"/>
    <cellStyle name="Normal 11 2 4 7 3 2 2" xfId="5560"/>
    <cellStyle name="Normal 11 2 4 7 3 3" xfId="5561"/>
    <cellStyle name="Normal 11 2 4 7 3 3 2" xfId="5562"/>
    <cellStyle name="Normal 11 2 4 7 3 4" xfId="5563"/>
    <cellStyle name="Normal 11 2 4 7 4" xfId="5564"/>
    <cellStyle name="Normal 11 2 4 7 4 2" xfId="5565"/>
    <cellStyle name="Normal 11 2 4 7 4 2 2" xfId="5566"/>
    <cellStyle name="Normal 11 2 4 7 4 3" xfId="5567"/>
    <cellStyle name="Normal 11 2 4 7 4 3 2" xfId="5568"/>
    <cellStyle name="Normal 11 2 4 7 4 4" xfId="5569"/>
    <cellStyle name="Normal 11 2 4 7 5" xfId="5570"/>
    <cellStyle name="Normal 11 2 4 7 5 2" xfId="5571"/>
    <cellStyle name="Normal 11 2 4 7 6" xfId="5572"/>
    <cellStyle name="Normal 11 2 4 7 6 2" xfId="5573"/>
    <cellStyle name="Normal 11 2 4 7 7" xfId="5574"/>
    <cellStyle name="Normal 11 2 4 8" xfId="5575"/>
    <cellStyle name="Normal 11 2 4 8 2" xfId="5576"/>
    <cellStyle name="Normal 11 2 4 8 2 2" xfId="5577"/>
    <cellStyle name="Normal 11 2 4 8 2 2 2" xfId="5578"/>
    <cellStyle name="Normal 11 2 4 8 2 3" xfId="5579"/>
    <cellStyle name="Normal 11 2 4 8 2 3 2" xfId="5580"/>
    <cellStyle name="Normal 11 2 4 8 2 4" xfId="5581"/>
    <cellStyle name="Normal 11 2 4 8 3" xfId="5582"/>
    <cellStyle name="Normal 11 2 4 8 3 2" xfId="5583"/>
    <cellStyle name="Normal 11 2 4 8 3 2 2" xfId="5584"/>
    <cellStyle name="Normal 11 2 4 8 3 3" xfId="5585"/>
    <cellStyle name="Normal 11 2 4 8 3 3 2" xfId="5586"/>
    <cellStyle name="Normal 11 2 4 8 3 4" xfId="5587"/>
    <cellStyle name="Normal 11 2 4 8 4" xfId="5588"/>
    <cellStyle name="Normal 11 2 4 8 4 2" xfId="5589"/>
    <cellStyle name="Normal 11 2 4 8 4 2 2" xfId="5590"/>
    <cellStyle name="Normal 11 2 4 8 4 3" xfId="5591"/>
    <cellStyle name="Normal 11 2 4 8 4 3 2" xfId="5592"/>
    <cellStyle name="Normal 11 2 4 8 4 4" xfId="5593"/>
    <cellStyle name="Normal 11 2 4 8 5" xfId="5594"/>
    <cellStyle name="Normal 11 2 4 8 5 2" xfId="5595"/>
    <cellStyle name="Normal 11 2 4 8 6" xfId="5596"/>
    <cellStyle name="Normal 11 2 4 8 6 2" xfId="5597"/>
    <cellStyle name="Normal 11 2 4 8 7" xfId="5598"/>
    <cellStyle name="Normal 11 2 4 9" xfId="5599"/>
    <cellStyle name="Normal 11 2 4 9 2" xfId="5600"/>
    <cellStyle name="Normal 11 2 4 9 2 2" xfId="5601"/>
    <cellStyle name="Normal 11 2 4 9 2 2 2" xfId="5602"/>
    <cellStyle name="Normal 11 2 4 9 2 3" xfId="5603"/>
    <cellStyle name="Normal 11 2 4 9 2 3 2" xfId="5604"/>
    <cellStyle name="Normal 11 2 4 9 2 4" xfId="5605"/>
    <cellStyle name="Normal 11 2 4 9 3" xfId="5606"/>
    <cellStyle name="Normal 11 2 4 9 3 2" xfId="5607"/>
    <cellStyle name="Normal 11 2 4 9 3 2 2" xfId="5608"/>
    <cellStyle name="Normal 11 2 4 9 3 3" xfId="5609"/>
    <cellStyle name="Normal 11 2 4 9 3 3 2" xfId="5610"/>
    <cellStyle name="Normal 11 2 4 9 3 4" xfId="5611"/>
    <cellStyle name="Normal 11 2 4 9 4" xfId="5612"/>
    <cellStyle name="Normal 11 2 4 9 4 2" xfId="5613"/>
    <cellStyle name="Normal 11 2 4 9 4 2 2" xfId="5614"/>
    <cellStyle name="Normal 11 2 4 9 4 3" xfId="5615"/>
    <cellStyle name="Normal 11 2 4 9 4 3 2" xfId="5616"/>
    <cellStyle name="Normal 11 2 4 9 4 4" xfId="5617"/>
    <cellStyle name="Normal 11 2 4 9 5" xfId="5618"/>
    <cellStyle name="Normal 11 2 4 9 5 2" xfId="5619"/>
    <cellStyle name="Normal 11 2 4 9 6" xfId="5620"/>
    <cellStyle name="Normal 11 2 4 9 6 2" xfId="5621"/>
    <cellStyle name="Normal 11 2 4 9 7" xfId="5622"/>
    <cellStyle name="Normal 11 2 5" xfId="5623"/>
    <cellStyle name="Normal 11 2 5 10" xfId="5624"/>
    <cellStyle name="Normal 11 2 5 10 2" xfId="5625"/>
    <cellStyle name="Normal 11 2 5 10 2 2" xfId="5626"/>
    <cellStyle name="Normal 11 2 5 10 3" xfId="5627"/>
    <cellStyle name="Normal 11 2 5 10 3 2" xfId="5628"/>
    <cellStyle name="Normal 11 2 5 10 4" xfId="5629"/>
    <cellStyle name="Normal 11 2 5 11" xfId="5630"/>
    <cellStyle name="Normal 11 2 5 11 2" xfId="5631"/>
    <cellStyle name="Normal 11 2 5 11 2 2" xfId="5632"/>
    <cellStyle name="Normal 11 2 5 11 3" xfId="5633"/>
    <cellStyle name="Normal 11 2 5 11 3 2" xfId="5634"/>
    <cellStyle name="Normal 11 2 5 11 4" xfId="5635"/>
    <cellStyle name="Normal 11 2 5 12" xfId="5636"/>
    <cellStyle name="Normal 11 2 5 12 2" xfId="5637"/>
    <cellStyle name="Normal 11 2 5 12 2 2" xfId="5638"/>
    <cellStyle name="Normal 11 2 5 12 3" xfId="5639"/>
    <cellStyle name="Normal 11 2 5 12 3 2" xfId="5640"/>
    <cellStyle name="Normal 11 2 5 12 4" xfId="5641"/>
    <cellStyle name="Normal 11 2 5 13" xfId="5642"/>
    <cellStyle name="Normal 11 2 5 13 2" xfId="5643"/>
    <cellStyle name="Normal 11 2 5 13 2 2" xfId="5644"/>
    <cellStyle name="Normal 11 2 5 13 3" xfId="5645"/>
    <cellStyle name="Normal 11 2 5 13 3 2" xfId="5646"/>
    <cellStyle name="Normal 11 2 5 13 4" xfId="5647"/>
    <cellStyle name="Normal 11 2 5 14" xfId="5648"/>
    <cellStyle name="Normal 11 2 5 14 2" xfId="5649"/>
    <cellStyle name="Normal 11 2 5 15" xfId="5650"/>
    <cellStyle name="Normal 11 2 5 15 2" xfId="5651"/>
    <cellStyle name="Normal 11 2 5 16" xfId="5652"/>
    <cellStyle name="Normal 11 2 5 2" xfId="5653"/>
    <cellStyle name="Normal 11 2 5 2 2" xfId="5654"/>
    <cellStyle name="Normal 11 2 5 2 2 2" xfId="5655"/>
    <cellStyle name="Normal 11 2 5 2 2 2 2" xfId="5656"/>
    <cellStyle name="Normal 11 2 5 2 2 2 2 2" xfId="5657"/>
    <cellStyle name="Normal 11 2 5 2 2 2 3" xfId="5658"/>
    <cellStyle name="Normal 11 2 5 2 2 2 3 2" xfId="5659"/>
    <cellStyle name="Normal 11 2 5 2 2 2 4" xfId="5660"/>
    <cellStyle name="Normal 11 2 5 2 2 3" xfId="5661"/>
    <cellStyle name="Normal 11 2 5 2 2 3 2" xfId="5662"/>
    <cellStyle name="Normal 11 2 5 2 2 3 2 2" xfId="5663"/>
    <cellStyle name="Normal 11 2 5 2 2 3 3" xfId="5664"/>
    <cellStyle name="Normal 11 2 5 2 2 3 3 2" xfId="5665"/>
    <cellStyle name="Normal 11 2 5 2 2 3 4" xfId="5666"/>
    <cellStyle name="Normal 11 2 5 2 2 4" xfId="5667"/>
    <cellStyle name="Normal 11 2 5 2 2 4 2" xfId="5668"/>
    <cellStyle name="Normal 11 2 5 2 2 4 2 2" xfId="5669"/>
    <cellStyle name="Normal 11 2 5 2 2 4 3" xfId="5670"/>
    <cellStyle name="Normal 11 2 5 2 2 4 3 2" xfId="5671"/>
    <cellStyle name="Normal 11 2 5 2 2 4 4" xfId="5672"/>
    <cellStyle name="Normal 11 2 5 2 2 5" xfId="5673"/>
    <cellStyle name="Normal 11 2 5 2 2 5 2" xfId="5674"/>
    <cellStyle name="Normal 11 2 5 2 2 6" xfId="5675"/>
    <cellStyle name="Normal 11 2 5 2 2 6 2" xfId="5676"/>
    <cellStyle name="Normal 11 2 5 2 2 7" xfId="5677"/>
    <cellStyle name="Normal 11 2 5 2 3" xfId="5678"/>
    <cellStyle name="Normal 11 2 5 2 3 2" xfId="5679"/>
    <cellStyle name="Normal 11 2 5 2 3 2 2" xfId="5680"/>
    <cellStyle name="Normal 11 2 5 2 3 3" xfId="5681"/>
    <cellStyle name="Normal 11 2 5 2 3 3 2" xfId="5682"/>
    <cellStyle name="Normal 11 2 5 2 3 4" xfId="5683"/>
    <cellStyle name="Normal 11 2 5 2 4" xfId="5684"/>
    <cellStyle name="Normal 11 2 5 2 4 2" xfId="5685"/>
    <cellStyle name="Normal 11 2 5 2 4 2 2" xfId="5686"/>
    <cellStyle name="Normal 11 2 5 2 4 3" xfId="5687"/>
    <cellStyle name="Normal 11 2 5 2 4 3 2" xfId="5688"/>
    <cellStyle name="Normal 11 2 5 2 4 4" xfId="5689"/>
    <cellStyle name="Normal 11 2 5 2 5" xfId="5690"/>
    <cellStyle name="Normal 11 2 5 2 5 2" xfId="5691"/>
    <cellStyle name="Normal 11 2 5 2 5 2 2" xfId="5692"/>
    <cellStyle name="Normal 11 2 5 2 5 3" xfId="5693"/>
    <cellStyle name="Normal 11 2 5 2 5 3 2" xfId="5694"/>
    <cellStyle name="Normal 11 2 5 2 5 4" xfId="5695"/>
    <cellStyle name="Normal 11 2 5 2 6" xfId="5696"/>
    <cellStyle name="Normal 11 2 5 2 6 2" xfId="5697"/>
    <cellStyle name="Normal 11 2 5 2 7" xfId="5698"/>
    <cellStyle name="Normal 11 2 5 2 7 2" xfId="5699"/>
    <cellStyle name="Normal 11 2 5 2 8" xfId="5700"/>
    <cellStyle name="Normal 11 2 5 3" xfId="5701"/>
    <cellStyle name="Normal 11 2 5 3 2" xfId="5702"/>
    <cellStyle name="Normal 11 2 5 3 2 2" xfId="5703"/>
    <cellStyle name="Normal 11 2 5 3 2 2 2" xfId="5704"/>
    <cellStyle name="Normal 11 2 5 3 2 3" xfId="5705"/>
    <cellStyle name="Normal 11 2 5 3 2 3 2" xfId="5706"/>
    <cellStyle name="Normal 11 2 5 3 2 4" xfId="5707"/>
    <cellStyle name="Normal 11 2 5 3 3" xfId="5708"/>
    <cellStyle name="Normal 11 2 5 3 3 2" xfId="5709"/>
    <cellStyle name="Normal 11 2 5 3 3 2 2" xfId="5710"/>
    <cellStyle name="Normal 11 2 5 3 3 3" xfId="5711"/>
    <cellStyle name="Normal 11 2 5 3 3 3 2" xfId="5712"/>
    <cellStyle name="Normal 11 2 5 3 3 4" xfId="5713"/>
    <cellStyle name="Normal 11 2 5 3 4" xfId="5714"/>
    <cellStyle name="Normal 11 2 5 3 4 2" xfId="5715"/>
    <cellStyle name="Normal 11 2 5 3 4 2 2" xfId="5716"/>
    <cellStyle name="Normal 11 2 5 3 4 3" xfId="5717"/>
    <cellStyle name="Normal 11 2 5 3 4 3 2" xfId="5718"/>
    <cellStyle name="Normal 11 2 5 3 4 4" xfId="5719"/>
    <cellStyle name="Normal 11 2 5 3 5" xfId="5720"/>
    <cellStyle name="Normal 11 2 5 3 5 2" xfId="5721"/>
    <cellStyle name="Normal 11 2 5 3 6" xfId="5722"/>
    <cellStyle name="Normal 11 2 5 3 6 2" xfId="5723"/>
    <cellStyle name="Normal 11 2 5 3 7" xfId="5724"/>
    <cellStyle name="Normal 11 2 5 4" xfId="5725"/>
    <cellStyle name="Normal 11 2 5 4 2" xfId="5726"/>
    <cellStyle name="Normal 11 2 5 4 2 2" xfId="5727"/>
    <cellStyle name="Normal 11 2 5 4 2 2 2" xfId="5728"/>
    <cellStyle name="Normal 11 2 5 4 2 3" xfId="5729"/>
    <cellStyle name="Normal 11 2 5 4 2 3 2" xfId="5730"/>
    <cellStyle name="Normal 11 2 5 4 2 4" xfId="5731"/>
    <cellStyle name="Normal 11 2 5 4 3" xfId="5732"/>
    <cellStyle name="Normal 11 2 5 4 3 2" xfId="5733"/>
    <cellStyle name="Normal 11 2 5 4 3 2 2" xfId="5734"/>
    <cellStyle name="Normal 11 2 5 4 3 3" xfId="5735"/>
    <cellStyle name="Normal 11 2 5 4 3 3 2" xfId="5736"/>
    <cellStyle name="Normal 11 2 5 4 3 4" xfId="5737"/>
    <cellStyle name="Normal 11 2 5 4 4" xfId="5738"/>
    <cellStyle name="Normal 11 2 5 4 4 2" xfId="5739"/>
    <cellStyle name="Normal 11 2 5 4 4 2 2" xfId="5740"/>
    <cellStyle name="Normal 11 2 5 4 4 3" xfId="5741"/>
    <cellStyle name="Normal 11 2 5 4 4 3 2" xfId="5742"/>
    <cellStyle name="Normal 11 2 5 4 4 4" xfId="5743"/>
    <cellStyle name="Normal 11 2 5 4 5" xfId="5744"/>
    <cellStyle name="Normal 11 2 5 4 5 2" xfId="5745"/>
    <cellStyle name="Normal 11 2 5 4 6" xfId="5746"/>
    <cellStyle name="Normal 11 2 5 4 6 2" xfId="5747"/>
    <cellStyle name="Normal 11 2 5 4 7" xfId="5748"/>
    <cellStyle name="Normal 11 2 5 5" xfId="5749"/>
    <cellStyle name="Normal 11 2 5 5 2" xfId="5750"/>
    <cellStyle name="Normal 11 2 5 5 2 2" xfId="5751"/>
    <cellStyle name="Normal 11 2 5 5 2 2 2" xfId="5752"/>
    <cellStyle name="Normal 11 2 5 5 2 3" xfId="5753"/>
    <cellStyle name="Normal 11 2 5 5 2 3 2" xfId="5754"/>
    <cellStyle name="Normal 11 2 5 5 2 4" xfId="5755"/>
    <cellStyle name="Normal 11 2 5 5 3" xfId="5756"/>
    <cellStyle name="Normal 11 2 5 5 3 2" xfId="5757"/>
    <cellStyle name="Normal 11 2 5 5 3 2 2" xfId="5758"/>
    <cellStyle name="Normal 11 2 5 5 3 3" xfId="5759"/>
    <cellStyle name="Normal 11 2 5 5 3 3 2" xfId="5760"/>
    <cellStyle name="Normal 11 2 5 5 3 4" xfId="5761"/>
    <cellStyle name="Normal 11 2 5 5 4" xfId="5762"/>
    <cellStyle name="Normal 11 2 5 5 4 2" xfId="5763"/>
    <cellStyle name="Normal 11 2 5 5 4 2 2" xfId="5764"/>
    <cellStyle name="Normal 11 2 5 5 4 3" xfId="5765"/>
    <cellStyle name="Normal 11 2 5 5 4 3 2" xfId="5766"/>
    <cellStyle name="Normal 11 2 5 5 4 4" xfId="5767"/>
    <cellStyle name="Normal 11 2 5 5 5" xfId="5768"/>
    <cellStyle name="Normal 11 2 5 5 5 2" xfId="5769"/>
    <cellStyle name="Normal 11 2 5 5 6" xfId="5770"/>
    <cellStyle name="Normal 11 2 5 5 6 2" xfId="5771"/>
    <cellStyle name="Normal 11 2 5 5 7" xfId="5772"/>
    <cellStyle name="Normal 11 2 5 6" xfId="5773"/>
    <cellStyle name="Normal 11 2 5 6 2" xfId="5774"/>
    <cellStyle name="Normal 11 2 5 6 2 2" xfId="5775"/>
    <cellStyle name="Normal 11 2 5 6 2 2 2" xfId="5776"/>
    <cellStyle name="Normal 11 2 5 6 2 3" xfId="5777"/>
    <cellStyle name="Normal 11 2 5 6 2 3 2" xfId="5778"/>
    <cellStyle name="Normal 11 2 5 6 2 4" xfId="5779"/>
    <cellStyle name="Normal 11 2 5 6 3" xfId="5780"/>
    <cellStyle name="Normal 11 2 5 6 3 2" xfId="5781"/>
    <cellStyle name="Normal 11 2 5 6 3 2 2" xfId="5782"/>
    <cellStyle name="Normal 11 2 5 6 3 3" xfId="5783"/>
    <cellStyle name="Normal 11 2 5 6 3 3 2" xfId="5784"/>
    <cellStyle name="Normal 11 2 5 6 3 4" xfId="5785"/>
    <cellStyle name="Normal 11 2 5 6 4" xfId="5786"/>
    <cellStyle name="Normal 11 2 5 6 4 2" xfId="5787"/>
    <cellStyle name="Normal 11 2 5 6 4 2 2" xfId="5788"/>
    <cellStyle name="Normal 11 2 5 6 4 3" xfId="5789"/>
    <cellStyle name="Normal 11 2 5 6 4 3 2" xfId="5790"/>
    <cellStyle name="Normal 11 2 5 6 4 4" xfId="5791"/>
    <cellStyle name="Normal 11 2 5 6 5" xfId="5792"/>
    <cellStyle name="Normal 11 2 5 6 5 2" xfId="5793"/>
    <cellStyle name="Normal 11 2 5 6 6" xfId="5794"/>
    <cellStyle name="Normal 11 2 5 6 6 2" xfId="5795"/>
    <cellStyle name="Normal 11 2 5 6 7" xfId="5796"/>
    <cellStyle name="Normal 11 2 5 7" xfId="5797"/>
    <cellStyle name="Normal 11 2 5 7 2" xfId="5798"/>
    <cellStyle name="Normal 11 2 5 7 2 2" xfId="5799"/>
    <cellStyle name="Normal 11 2 5 7 2 2 2" xfId="5800"/>
    <cellStyle name="Normal 11 2 5 7 2 3" xfId="5801"/>
    <cellStyle name="Normal 11 2 5 7 2 3 2" xfId="5802"/>
    <cellStyle name="Normal 11 2 5 7 2 4" xfId="5803"/>
    <cellStyle name="Normal 11 2 5 7 3" xfId="5804"/>
    <cellStyle name="Normal 11 2 5 7 3 2" xfId="5805"/>
    <cellStyle name="Normal 11 2 5 7 3 2 2" xfId="5806"/>
    <cellStyle name="Normal 11 2 5 7 3 3" xfId="5807"/>
    <cellStyle name="Normal 11 2 5 7 3 3 2" xfId="5808"/>
    <cellStyle name="Normal 11 2 5 7 3 4" xfId="5809"/>
    <cellStyle name="Normal 11 2 5 7 4" xfId="5810"/>
    <cellStyle name="Normal 11 2 5 7 4 2" xfId="5811"/>
    <cellStyle name="Normal 11 2 5 7 4 2 2" xfId="5812"/>
    <cellStyle name="Normal 11 2 5 7 4 3" xfId="5813"/>
    <cellStyle name="Normal 11 2 5 7 4 3 2" xfId="5814"/>
    <cellStyle name="Normal 11 2 5 7 4 4" xfId="5815"/>
    <cellStyle name="Normal 11 2 5 7 5" xfId="5816"/>
    <cellStyle name="Normal 11 2 5 7 5 2" xfId="5817"/>
    <cellStyle name="Normal 11 2 5 7 6" xfId="5818"/>
    <cellStyle name="Normal 11 2 5 7 6 2" xfId="5819"/>
    <cellStyle name="Normal 11 2 5 7 7" xfId="5820"/>
    <cellStyle name="Normal 11 2 5 8" xfId="5821"/>
    <cellStyle name="Normal 11 2 5 8 2" xfId="5822"/>
    <cellStyle name="Normal 11 2 5 8 2 2" xfId="5823"/>
    <cellStyle name="Normal 11 2 5 8 2 2 2" xfId="5824"/>
    <cellStyle name="Normal 11 2 5 8 2 3" xfId="5825"/>
    <cellStyle name="Normal 11 2 5 8 2 3 2" xfId="5826"/>
    <cellStyle name="Normal 11 2 5 8 2 4" xfId="5827"/>
    <cellStyle name="Normal 11 2 5 8 3" xfId="5828"/>
    <cellStyle name="Normal 11 2 5 8 3 2" xfId="5829"/>
    <cellStyle name="Normal 11 2 5 8 3 2 2" xfId="5830"/>
    <cellStyle name="Normal 11 2 5 8 3 3" xfId="5831"/>
    <cellStyle name="Normal 11 2 5 8 3 3 2" xfId="5832"/>
    <cellStyle name="Normal 11 2 5 8 3 4" xfId="5833"/>
    <cellStyle name="Normal 11 2 5 8 4" xfId="5834"/>
    <cellStyle name="Normal 11 2 5 8 4 2" xfId="5835"/>
    <cellStyle name="Normal 11 2 5 8 4 2 2" xfId="5836"/>
    <cellStyle name="Normal 11 2 5 8 4 3" xfId="5837"/>
    <cellStyle name="Normal 11 2 5 8 4 3 2" xfId="5838"/>
    <cellStyle name="Normal 11 2 5 8 4 4" xfId="5839"/>
    <cellStyle name="Normal 11 2 5 8 5" xfId="5840"/>
    <cellStyle name="Normal 11 2 5 8 5 2" xfId="5841"/>
    <cellStyle name="Normal 11 2 5 8 6" xfId="5842"/>
    <cellStyle name="Normal 11 2 5 8 6 2" xfId="5843"/>
    <cellStyle name="Normal 11 2 5 8 7" xfId="5844"/>
    <cellStyle name="Normal 11 2 5 9" xfId="5845"/>
    <cellStyle name="Normal 11 2 5 9 2" xfId="5846"/>
    <cellStyle name="Normal 11 2 5 9 2 2" xfId="5847"/>
    <cellStyle name="Normal 11 2 5 9 2 2 2" xfId="5848"/>
    <cellStyle name="Normal 11 2 5 9 2 3" xfId="5849"/>
    <cellStyle name="Normal 11 2 5 9 2 3 2" xfId="5850"/>
    <cellStyle name="Normal 11 2 5 9 2 4" xfId="5851"/>
    <cellStyle name="Normal 11 2 5 9 3" xfId="5852"/>
    <cellStyle name="Normal 11 2 5 9 3 2" xfId="5853"/>
    <cellStyle name="Normal 11 2 5 9 3 2 2" xfId="5854"/>
    <cellStyle name="Normal 11 2 5 9 3 3" xfId="5855"/>
    <cellStyle name="Normal 11 2 5 9 3 3 2" xfId="5856"/>
    <cellStyle name="Normal 11 2 5 9 3 4" xfId="5857"/>
    <cellStyle name="Normal 11 2 5 9 4" xfId="5858"/>
    <cellStyle name="Normal 11 2 5 9 4 2" xfId="5859"/>
    <cellStyle name="Normal 11 2 5 9 4 2 2" xfId="5860"/>
    <cellStyle name="Normal 11 2 5 9 4 3" xfId="5861"/>
    <cellStyle name="Normal 11 2 5 9 4 3 2" xfId="5862"/>
    <cellStyle name="Normal 11 2 5 9 4 4" xfId="5863"/>
    <cellStyle name="Normal 11 2 5 9 5" xfId="5864"/>
    <cellStyle name="Normal 11 2 5 9 5 2" xfId="5865"/>
    <cellStyle name="Normal 11 2 5 9 6" xfId="5866"/>
    <cellStyle name="Normal 11 2 5 9 6 2" xfId="5867"/>
    <cellStyle name="Normal 11 2 5 9 7" xfId="5868"/>
    <cellStyle name="Normal 11 2 6" xfId="5869"/>
    <cellStyle name="Normal 11 2 6 10" xfId="5870"/>
    <cellStyle name="Normal 11 2 6 10 2" xfId="5871"/>
    <cellStyle name="Normal 11 2 6 10 2 2" xfId="5872"/>
    <cellStyle name="Normal 11 2 6 10 3" xfId="5873"/>
    <cellStyle name="Normal 11 2 6 10 3 2" xfId="5874"/>
    <cellStyle name="Normal 11 2 6 10 4" xfId="5875"/>
    <cellStyle name="Normal 11 2 6 11" xfId="5876"/>
    <cellStyle name="Normal 11 2 6 11 2" xfId="5877"/>
    <cellStyle name="Normal 11 2 6 11 2 2" xfId="5878"/>
    <cellStyle name="Normal 11 2 6 11 3" xfId="5879"/>
    <cellStyle name="Normal 11 2 6 11 3 2" xfId="5880"/>
    <cellStyle name="Normal 11 2 6 11 4" xfId="5881"/>
    <cellStyle name="Normal 11 2 6 12" xfId="5882"/>
    <cellStyle name="Normal 11 2 6 12 2" xfId="5883"/>
    <cellStyle name="Normal 11 2 6 12 2 2" xfId="5884"/>
    <cellStyle name="Normal 11 2 6 12 3" xfId="5885"/>
    <cellStyle name="Normal 11 2 6 12 3 2" xfId="5886"/>
    <cellStyle name="Normal 11 2 6 12 4" xfId="5887"/>
    <cellStyle name="Normal 11 2 6 13" xfId="5888"/>
    <cellStyle name="Normal 11 2 6 13 2" xfId="5889"/>
    <cellStyle name="Normal 11 2 6 13 2 2" xfId="5890"/>
    <cellStyle name="Normal 11 2 6 13 3" xfId="5891"/>
    <cellStyle name="Normal 11 2 6 13 3 2" xfId="5892"/>
    <cellStyle name="Normal 11 2 6 13 4" xfId="5893"/>
    <cellStyle name="Normal 11 2 6 14" xfId="5894"/>
    <cellStyle name="Normal 11 2 6 14 2" xfId="5895"/>
    <cellStyle name="Normal 11 2 6 15" xfId="5896"/>
    <cellStyle name="Normal 11 2 6 15 2" xfId="5897"/>
    <cellStyle name="Normal 11 2 6 16" xfId="5898"/>
    <cellStyle name="Normal 11 2 6 2" xfId="5899"/>
    <cellStyle name="Normal 11 2 6 2 2" xfId="5900"/>
    <cellStyle name="Normal 11 2 6 2 2 2" xfId="5901"/>
    <cellStyle name="Normal 11 2 6 2 2 2 2" xfId="5902"/>
    <cellStyle name="Normal 11 2 6 2 2 2 2 2" xfId="5903"/>
    <cellStyle name="Normal 11 2 6 2 2 2 3" xfId="5904"/>
    <cellStyle name="Normal 11 2 6 2 2 2 3 2" xfId="5905"/>
    <cellStyle name="Normal 11 2 6 2 2 2 4" xfId="5906"/>
    <cellStyle name="Normal 11 2 6 2 2 3" xfId="5907"/>
    <cellStyle name="Normal 11 2 6 2 2 3 2" xfId="5908"/>
    <cellStyle name="Normal 11 2 6 2 2 3 2 2" xfId="5909"/>
    <cellStyle name="Normal 11 2 6 2 2 3 3" xfId="5910"/>
    <cellStyle name="Normal 11 2 6 2 2 3 3 2" xfId="5911"/>
    <cellStyle name="Normal 11 2 6 2 2 3 4" xfId="5912"/>
    <cellStyle name="Normal 11 2 6 2 2 4" xfId="5913"/>
    <cellStyle name="Normal 11 2 6 2 2 4 2" xfId="5914"/>
    <cellStyle name="Normal 11 2 6 2 2 4 2 2" xfId="5915"/>
    <cellStyle name="Normal 11 2 6 2 2 4 3" xfId="5916"/>
    <cellStyle name="Normal 11 2 6 2 2 4 3 2" xfId="5917"/>
    <cellStyle name="Normal 11 2 6 2 2 4 4" xfId="5918"/>
    <cellStyle name="Normal 11 2 6 2 2 5" xfId="5919"/>
    <cellStyle name="Normal 11 2 6 2 2 5 2" xfId="5920"/>
    <cellStyle name="Normal 11 2 6 2 2 6" xfId="5921"/>
    <cellStyle name="Normal 11 2 6 2 2 6 2" xfId="5922"/>
    <cellStyle name="Normal 11 2 6 2 2 7" xfId="5923"/>
    <cellStyle name="Normal 11 2 6 2 3" xfId="5924"/>
    <cellStyle name="Normal 11 2 6 2 3 2" xfId="5925"/>
    <cellStyle name="Normal 11 2 6 2 3 2 2" xfId="5926"/>
    <cellStyle name="Normal 11 2 6 2 3 3" xfId="5927"/>
    <cellStyle name="Normal 11 2 6 2 3 3 2" xfId="5928"/>
    <cellStyle name="Normal 11 2 6 2 3 4" xfId="5929"/>
    <cellStyle name="Normal 11 2 6 2 4" xfId="5930"/>
    <cellStyle name="Normal 11 2 6 2 4 2" xfId="5931"/>
    <cellStyle name="Normal 11 2 6 2 4 2 2" xfId="5932"/>
    <cellStyle name="Normal 11 2 6 2 4 3" xfId="5933"/>
    <cellStyle name="Normal 11 2 6 2 4 3 2" xfId="5934"/>
    <cellStyle name="Normal 11 2 6 2 4 4" xfId="5935"/>
    <cellStyle name="Normal 11 2 6 2 5" xfId="5936"/>
    <cellStyle name="Normal 11 2 6 2 5 2" xfId="5937"/>
    <cellStyle name="Normal 11 2 6 2 5 2 2" xfId="5938"/>
    <cellStyle name="Normal 11 2 6 2 5 3" xfId="5939"/>
    <cellStyle name="Normal 11 2 6 2 5 3 2" xfId="5940"/>
    <cellStyle name="Normal 11 2 6 2 5 4" xfId="5941"/>
    <cellStyle name="Normal 11 2 6 2 6" xfId="5942"/>
    <cellStyle name="Normal 11 2 6 2 6 2" xfId="5943"/>
    <cellStyle name="Normal 11 2 6 2 7" xfId="5944"/>
    <cellStyle name="Normal 11 2 6 2 7 2" xfId="5945"/>
    <cellStyle name="Normal 11 2 6 2 8" xfId="5946"/>
    <cellStyle name="Normal 11 2 6 3" xfId="5947"/>
    <cellStyle name="Normal 11 2 6 3 2" xfId="5948"/>
    <cellStyle name="Normal 11 2 6 3 2 2" xfId="5949"/>
    <cellStyle name="Normal 11 2 6 3 2 2 2" xfId="5950"/>
    <cellStyle name="Normal 11 2 6 3 2 3" xfId="5951"/>
    <cellStyle name="Normal 11 2 6 3 2 3 2" xfId="5952"/>
    <cellStyle name="Normal 11 2 6 3 2 4" xfId="5953"/>
    <cellStyle name="Normal 11 2 6 3 3" xfId="5954"/>
    <cellStyle name="Normal 11 2 6 3 3 2" xfId="5955"/>
    <cellStyle name="Normal 11 2 6 3 3 2 2" xfId="5956"/>
    <cellStyle name="Normal 11 2 6 3 3 3" xfId="5957"/>
    <cellStyle name="Normal 11 2 6 3 3 3 2" xfId="5958"/>
    <cellStyle name="Normal 11 2 6 3 3 4" xfId="5959"/>
    <cellStyle name="Normal 11 2 6 3 4" xfId="5960"/>
    <cellStyle name="Normal 11 2 6 3 4 2" xfId="5961"/>
    <cellStyle name="Normal 11 2 6 3 4 2 2" xfId="5962"/>
    <cellStyle name="Normal 11 2 6 3 4 3" xfId="5963"/>
    <cellStyle name="Normal 11 2 6 3 4 3 2" xfId="5964"/>
    <cellStyle name="Normal 11 2 6 3 4 4" xfId="5965"/>
    <cellStyle name="Normal 11 2 6 3 5" xfId="5966"/>
    <cellStyle name="Normal 11 2 6 3 5 2" xfId="5967"/>
    <cellStyle name="Normal 11 2 6 3 6" xfId="5968"/>
    <cellStyle name="Normal 11 2 6 3 6 2" xfId="5969"/>
    <cellStyle name="Normal 11 2 6 3 7" xfId="5970"/>
    <cellStyle name="Normal 11 2 6 4" xfId="5971"/>
    <cellStyle name="Normal 11 2 6 4 2" xfId="5972"/>
    <cellStyle name="Normal 11 2 6 4 2 2" xfId="5973"/>
    <cellStyle name="Normal 11 2 6 4 2 2 2" xfId="5974"/>
    <cellStyle name="Normal 11 2 6 4 2 3" xfId="5975"/>
    <cellStyle name="Normal 11 2 6 4 2 3 2" xfId="5976"/>
    <cellStyle name="Normal 11 2 6 4 2 4" xfId="5977"/>
    <cellStyle name="Normal 11 2 6 4 3" xfId="5978"/>
    <cellStyle name="Normal 11 2 6 4 3 2" xfId="5979"/>
    <cellStyle name="Normal 11 2 6 4 3 2 2" xfId="5980"/>
    <cellStyle name="Normal 11 2 6 4 3 3" xfId="5981"/>
    <cellStyle name="Normal 11 2 6 4 3 3 2" xfId="5982"/>
    <cellStyle name="Normal 11 2 6 4 3 4" xfId="5983"/>
    <cellStyle name="Normal 11 2 6 4 4" xfId="5984"/>
    <cellStyle name="Normal 11 2 6 4 4 2" xfId="5985"/>
    <cellStyle name="Normal 11 2 6 4 4 2 2" xfId="5986"/>
    <cellStyle name="Normal 11 2 6 4 4 3" xfId="5987"/>
    <cellStyle name="Normal 11 2 6 4 4 3 2" xfId="5988"/>
    <cellStyle name="Normal 11 2 6 4 4 4" xfId="5989"/>
    <cellStyle name="Normal 11 2 6 4 5" xfId="5990"/>
    <cellStyle name="Normal 11 2 6 4 5 2" xfId="5991"/>
    <cellStyle name="Normal 11 2 6 4 6" xfId="5992"/>
    <cellStyle name="Normal 11 2 6 4 6 2" xfId="5993"/>
    <cellStyle name="Normal 11 2 6 4 7" xfId="5994"/>
    <cellStyle name="Normal 11 2 6 5" xfId="5995"/>
    <cellStyle name="Normal 11 2 6 5 2" xfId="5996"/>
    <cellStyle name="Normal 11 2 6 5 2 2" xfId="5997"/>
    <cellStyle name="Normal 11 2 6 5 2 2 2" xfId="5998"/>
    <cellStyle name="Normal 11 2 6 5 2 3" xfId="5999"/>
    <cellStyle name="Normal 11 2 6 5 2 3 2" xfId="6000"/>
    <cellStyle name="Normal 11 2 6 5 2 4" xfId="6001"/>
    <cellStyle name="Normal 11 2 6 5 3" xfId="6002"/>
    <cellStyle name="Normal 11 2 6 5 3 2" xfId="6003"/>
    <cellStyle name="Normal 11 2 6 5 3 2 2" xfId="6004"/>
    <cellStyle name="Normal 11 2 6 5 3 3" xfId="6005"/>
    <cellStyle name="Normal 11 2 6 5 3 3 2" xfId="6006"/>
    <cellStyle name="Normal 11 2 6 5 3 4" xfId="6007"/>
    <cellStyle name="Normal 11 2 6 5 4" xfId="6008"/>
    <cellStyle name="Normal 11 2 6 5 4 2" xfId="6009"/>
    <cellStyle name="Normal 11 2 6 5 4 2 2" xfId="6010"/>
    <cellStyle name="Normal 11 2 6 5 4 3" xfId="6011"/>
    <cellStyle name="Normal 11 2 6 5 4 3 2" xfId="6012"/>
    <cellStyle name="Normal 11 2 6 5 4 4" xfId="6013"/>
    <cellStyle name="Normal 11 2 6 5 5" xfId="6014"/>
    <cellStyle name="Normal 11 2 6 5 5 2" xfId="6015"/>
    <cellStyle name="Normal 11 2 6 5 6" xfId="6016"/>
    <cellStyle name="Normal 11 2 6 5 6 2" xfId="6017"/>
    <cellStyle name="Normal 11 2 6 5 7" xfId="6018"/>
    <cellStyle name="Normal 11 2 6 6" xfId="6019"/>
    <cellStyle name="Normal 11 2 6 6 2" xfId="6020"/>
    <cellStyle name="Normal 11 2 6 6 2 2" xfId="6021"/>
    <cellStyle name="Normal 11 2 6 6 2 2 2" xfId="6022"/>
    <cellStyle name="Normal 11 2 6 6 2 3" xfId="6023"/>
    <cellStyle name="Normal 11 2 6 6 2 3 2" xfId="6024"/>
    <cellStyle name="Normal 11 2 6 6 2 4" xfId="6025"/>
    <cellStyle name="Normal 11 2 6 6 3" xfId="6026"/>
    <cellStyle name="Normal 11 2 6 6 3 2" xfId="6027"/>
    <cellStyle name="Normal 11 2 6 6 3 2 2" xfId="6028"/>
    <cellStyle name="Normal 11 2 6 6 3 3" xfId="6029"/>
    <cellStyle name="Normal 11 2 6 6 3 3 2" xfId="6030"/>
    <cellStyle name="Normal 11 2 6 6 3 4" xfId="6031"/>
    <cellStyle name="Normal 11 2 6 6 4" xfId="6032"/>
    <cellStyle name="Normal 11 2 6 6 4 2" xfId="6033"/>
    <cellStyle name="Normal 11 2 6 6 4 2 2" xfId="6034"/>
    <cellStyle name="Normal 11 2 6 6 4 3" xfId="6035"/>
    <cellStyle name="Normal 11 2 6 6 4 3 2" xfId="6036"/>
    <cellStyle name="Normal 11 2 6 6 4 4" xfId="6037"/>
    <cellStyle name="Normal 11 2 6 6 5" xfId="6038"/>
    <cellStyle name="Normal 11 2 6 6 5 2" xfId="6039"/>
    <cellStyle name="Normal 11 2 6 6 6" xfId="6040"/>
    <cellStyle name="Normal 11 2 6 6 6 2" xfId="6041"/>
    <cellStyle name="Normal 11 2 6 6 7" xfId="6042"/>
    <cellStyle name="Normal 11 2 6 7" xfId="6043"/>
    <cellStyle name="Normal 11 2 6 7 2" xfId="6044"/>
    <cellStyle name="Normal 11 2 6 7 2 2" xfId="6045"/>
    <cellStyle name="Normal 11 2 6 7 2 2 2" xfId="6046"/>
    <cellStyle name="Normal 11 2 6 7 2 3" xfId="6047"/>
    <cellStyle name="Normal 11 2 6 7 2 3 2" xfId="6048"/>
    <cellStyle name="Normal 11 2 6 7 2 4" xfId="6049"/>
    <cellStyle name="Normal 11 2 6 7 3" xfId="6050"/>
    <cellStyle name="Normal 11 2 6 7 3 2" xfId="6051"/>
    <cellStyle name="Normal 11 2 6 7 3 2 2" xfId="6052"/>
    <cellStyle name="Normal 11 2 6 7 3 3" xfId="6053"/>
    <cellStyle name="Normal 11 2 6 7 3 3 2" xfId="6054"/>
    <cellStyle name="Normal 11 2 6 7 3 4" xfId="6055"/>
    <cellStyle name="Normal 11 2 6 7 4" xfId="6056"/>
    <cellStyle name="Normal 11 2 6 7 4 2" xfId="6057"/>
    <cellStyle name="Normal 11 2 6 7 4 2 2" xfId="6058"/>
    <cellStyle name="Normal 11 2 6 7 4 3" xfId="6059"/>
    <cellStyle name="Normal 11 2 6 7 4 3 2" xfId="6060"/>
    <cellStyle name="Normal 11 2 6 7 4 4" xfId="6061"/>
    <cellStyle name="Normal 11 2 6 7 5" xfId="6062"/>
    <cellStyle name="Normal 11 2 6 7 5 2" xfId="6063"/>
    <cellStyle name="Normal 11 2 6 7 6" xfId="6064"/>
    <cellStyle name="Normal 11 2 6 7 6 2" xfId="6065"/>
    <cellStyle name="Normal 11 2 6 7 7" xfId="6066"/>
    <cellStyle name="Normal 11 2 6 8" xfId="6067"/>
    <cellStyle name="Normal 11 2 6 8 2" xfId="6068"/>
    <cellStyle name="Normal 11 2 6 8 2 2" xfId="6069"/>
    <cellStyle name="Normal 11 2 6 8 2 2 2" xfId="6070"/>
    <cellStyle name="Normal 11 2 6 8 2 3" xfId="6071"/>
    <cellStyle name="Normal 11 2 6 8 2 3 2" xfId="6072"/>
    <cellStyle name="Normal 11 2 6 8 2 4" xfId="6073"/>
    <cellStyle name="Normal 11 2 6 8 3" xfId="6074"/>
    <cellStyle name="Normal 11 2 6 8 3 2" xfId="6075"/>
    <cellStyle name="Normal 11 2 6 8 3 2 2" xfId="6076"/>
    <cellStyle name="Normal 11 2 6 8 3 3" xfId="6077"/>
    <cellStyle name="Normal 11 2 6 8 3 3 2" xfId="6078"/>
    <cellStyle name="Normal 11 2 6 8 3 4" xfId="6079"/>
    <cellStyle name="Normal 11 2 6 8 4" xfId="6080"/>
    <cellStyle name="Normal 11 2 6 8 4 2" xfId="6081"/>
    <cellStyle name="Normal 11 2 6 8 4 2 2" xfId="6082"/>
    <cellStyle name="Normal 11 2 6 8 4 3" xfId="6083"/>
    <cellStyle name="Normal 11 2 6 8 4 3 2" xfId="6084"/>
    <cellStyle name="Normal 11 2 6 8 4 4" xfId="6085"/>
    <cellStyle name="Normal 11 2 6 8 5" xfId="6086"/>
    <cellStyle name="Normal 11 2 6 8 5 2" xfId="6087"/>
    <cellStyle name="Normal 11 2 6 8 6" xfId="6088"/>
    <cellStyle name="Normal 11 2 6 8 6 2" xfId="6089"/>
    <cellStyle name="Normal 11 2 6 8 7" xfId="6090"/>
    <cellStyle name="Normal 11 2 6 9" xfId="6091"/>
    <cellStyle name="Normal 11 2 6 9 2" xfId="6092"/>
    <cellStyle name="Normal 11 2 6 9 2 2" xfId="6093"/>
    <cellStyle name="Normal 11 2 6 9 2 2 2" xfId="6094"/>
    <cellStyle name="Normal 11 2 6 9 2 3" xfId="6095"/>
    <cellStyle name="Normal 11 2 6 9 2 3 2" xfId="6096"/>
    <cellStyle name="Normal 11 2 6 9 2 4" xfId="6097"/>
    <cellStyle name="Normal 11 2 6 9 3" xfId="6098"/>
    <cellStyle name="Normal 11 2 6 9 3 2" xfId="6099"/>
    <cellStyle name="Normal 11 2 6 9 3 2 2" xfId="6100"/>
    <cellStyle name="Normal 11 2 6 9 3 3" xfId="6101"/>
    <cellStyle name="Normal 11 2 6 9 3 3 2" xfId="6102"/>
    <cellStyle name="Normal 11 2 6 9 3 4" xfId="6103"/>
    <cellStyle name="Normal 11 2 6 9 4" xfId="6104"/>
    <cellStyle name="Normal 11 2 6 9 4 2" xfId="6105"/>
    <cellStyle name="Normal 11 2 6 9 4 2 2" xfId="6106"/>
    <cellStyle name="Normal 11 2 6 9 4 3" xfId="6107"/>
    <cellStyle name="Normal 11 2 6 9 4 3 2" xfId="6108"/>
    <cellStyle name="Normal 11 2 6 9 4 4" xfId="6109"/>
    <cellStyle name="Normal 11 2 6 9 5" xfId="6110"/>
    <cellStyle name="Normal 11 2 6 9 5 2" xfId="6111"/>
    <cellStyle name="Normal 11 2 6 9 6" xfId="6112"/>
    <cellStyle name="Normal 11 2 6 9 6 2" xfId="6113"/>
    <cellStyle name="Normal 11 2 6 9 7" xfId="6114"/>
    <cellStyle name="Normal 11 3" xfId="6115"/>
    <cellStyle name="Normal 11 3 2" xfId="6116"/>
    <cellStyle name="Normal 11 3 3" xfId="6117"/>
    <cellStyle name="Normal 11 3 4" xfId="6118"/>
    <cellStyle name="Normal 11 3 5" xfId="6119"/>
    <cellStyle name="Normal 11 4" xfId="6120"/>
    <cellStyle name="Normal 11 5" xfId="6121"/>
    <cellStyle name="Normal 11 6" xfId="6122"/>
    <cellStyle name="Normal 11 6 10" xfId="6123"/>
    <cellStyle name="Normal 11 6 10 2" xfId="6124"/>
    <cellStyle name="Normal 11 6 10 2 2" xfId="6125"/>
    <cellStyle name="Normal 11 6 10 3" xfId="6126"/>
    <cellStyle name="Normal 11 6 10 3 2" xfId="6127"/>
    <cellStyle name="Normal 11 6 10 4" xfId="6128"/>
    <cellStyle name="Normal 11 6 11" xfId="6129"/>
    <cellStyle name="Normal 11 6 11 2" xfId="6130"/>
    <cellStyle name="Normal 11 6 11 2 2" xfId="6131"/>
    <cellStyle name="Normal 11 6 11 3" xfId="6132"/>
    <cellStyle name="Normal 11 6 11 3 2" xfId="6133"/>
    <cellStyle name="Normal 11 6 11 4" xfId="6134"/>
    <cellStyle name="Normal 11 6 12" xfId="6135"/>
    <cellStyle name="Normal 11 6 12 2" xfId="6136"/>
    <cellStyle name="Normal 11 6 12 2 2" xfId="6137"/>
    <cellStyle name="Normal 11 6 12 3" xfId="6138"/>
    <cellStyle name="Normal 11 6 12 3 2" xfId="6139"/>
    <cellStyle name="Normal 11 6 12 4" xfId="6140"/>
    <cellStyle name="Normal 11 6 13" xfId="6141"/>
    <cellStyle name="Normal 11 6 13 2" xfId="6142"/>
    <cellStyle name="Normal 11 6 13 2 2" xfId="6143"/>
    <cellStyle name="Normal 11 6 13 3" xfId="6144"/>
    <cellStyle name="Normal 11 6 13 3 2" xfId="6145"/>
    <cellStyle name="Normal 11 6 13 4" xfId="6146"/>
    <cellStyle name="Normal 11 6 14" xfId="6147"/>
    <cellStyle name="Normal 11 6 14 2" xfId="6148"/>
    <cellStyle name="Normal 11 6 15" xfId="6149"/>
    <cellStyle name="Normal 11 6 15 2" xfId="6150"/>
    <cellStyle name="Normal 11 6 16" xfId="6151"/>
    <cellStyle name="Normal 11 6 2" xfId="6152"/>
    <cellStyle name="Normal 11 6 2 2" xfId="6153"/>
    <cellStyle name="Normal 11 6 2 2 2" xfId="6154"/>
    <cellStyle name="Normal 11 6 2 2 2 2" xfId="6155"/>
    <cellStyle name="Normal 11 6 2 2 2 2 2" xfId="6156"/>
    <cellStyle name="Normal 11 6 2 2 2 3" xfId="6157"/>
    <cellStyle name="Normal 11 6 2 2 2 3 2" xfId="6158"/>
    <cellStyle name="Normal 11 6 2 2 2 4" xfId="6159"/>
    <cellStyle name="Normal 11 6 2 2 3" xfId="6160"/>
    <cellStyle name="Normal 11 6 2 2 3 2" xfId="6161"/>
    <cellStyle name="Normal 11 6 2 2 3 2 2" xfId="6162"/>
    <cellStyle name="Normal 11 6 2 2 3 3" xfId="6163"/>
    <cellStyle name="Normal 11 6 2 2 3 3 2" xfId="6164"/>
    <cellStyle name="Normal 11 6 2 2 3 4" xfId="6165"/>
    <cellStyle name="Normal 11 6 2 2 4" xfId="6166"/>
    <cellStyle name="Normal 11 6 2 2 4 2" xfId="6167"/>
    <cellStyle name="Normal 11 6 2 2 4 2 2" xfId="6168"/>
    <cellStyle name="Normal 11 6 2 2 4 3" xfId="6169"/>
    <cellStyle name="Normal 11 6 2 2 4 3 2" xfId="6170"/>
    <cellStyle name="Normal 11 6 2 2 4 4" xfId="6171"/>
    <cellStyle name="Normal 11 6 2 2 5" xfId="6172"/>
    <cellStyle name="Normal 11 6 2 2 5 2" xfId="6173"/>
    <cellStyle name="Normal 11 6 2 2 6" xfId="6174"/>
    <cellStyle name="Normal 11 6 2 2 6 2" xfId="6175"/>
    <cellStyle name="Normal 11 6 2 2 7" xfId="6176"/>
    <cellStyle name="Normal 11 6 2 3" xfId="6177"/>
    <cellStyle name="Normal 11 6 2 3 2" xfId="6178"/>
    <cellStyle name="Normal 11 6 2 3 2 2" xfId="6179"/>
    <cellStyle name="Normal 11 6 2 3 3" xfId="6180"/>
    <cellStyle name="Normal 11 6 2 3 3 2" xfId="6181"/>
    <cellStyle name="Normal 11 6 2 3 4" xfId="6182"/>
    <cellStyle name="Normal 11 6 2 4" xfId="6183"/>
    <cellStyle name="Normal 11 6 2 4 2" xfId="6184"/>
    <cellStyle name="Normal 11 6 2 4 2 2" xfId="6185"/>
    <cellStyle name="Normal 11 6 2 4 3" xfId="6186"/>
    <cellStyle name="Normal 11 6 2 4 3 2" xfId="6187"/>
    <cellStyle name="Normal 11 6 2 4 4" xfId="6188"/>
    <cellStyle name="Normal 11 6 2 5" xfId="6189"/>
    <cellStyle name="Normal 11 6 2 5 2" xfId="6190"/>
    <cellStyle name="Normal 11 6 2 5 2 2" xfId="6191"/>
    <cellStyle name="Normal 11 6 2 5 3" xfId="6192"/>
    <cellStyle name="Normal 11 6 2 5 3 2" xfId="6193"/>
    <cellStyle name="Normal 11 6 2 5 4" xfId="6194"/>
    <cellStyle name="Normal 11 6 2 6" xfId="6195"/>
    <cellStyle name="Normal 11 6 2 6 2" xfId="6196"/>
    <cellStyle name="Normal 11 6 2 7" xfId="6197"/>
    <cellStyle name="Normal 11 6 2 7 2" xfId="6198"/>
    <cellStyle name="Normal 11 6 2 8" xfId="6199"/>
    <cellStyle name="Normal 11 6 3" xfId="6200"/>
    <cellStyle name="Normal 11 6 3 2" xfId="6201"/>
    <cellStyle name="Normal 11 6 3 2 2" xfId="6202"/>
    <cellStyle name="Normal 11 6 3 2 2 2" xfId="6203"/>
    <cellStyle name="Normal 11 6 3 2 3" xfId="6204"/>
    <cellStyle name="Normal 11 6 3 2 3 2" xfId="6205"/>
    <cellStyle name="Normal 11 6 3 2 4" xfId="6206"/>
    <cellStyle name="Normal 11 6 3 3" xfId="6207"/>
    <cellStyle name="Normal 11 6 3 3 2" xfId="6208"/>
    <cellStyle name="Normal 11 6 3 3 2 2" xfId="6209"/>
    <cellStyle name="Normal 11 6 3 3 3" xfId="6210"/>
    <cellStyle name="Normal 11 6 3 3 3 2" xfId="6211"/>
    <cellStyle name="Normal 11 6 3 3 4" xfId="6212"/>
    <cellStyle name="Normal 11 6 3 4" xfId="6213"/>
    <cellStyle name="Normal 11 6 3 4 2" xfId="6214"/>
    <cellStyle name="Normal 11 6 3 4 2 2" xfId="6215"/>
    <cellStyle name="Normal 11 6 3 4 3" xfId="6216"/>
    <cellStyle name="Normal 11 6 3 4 3 2" xfId="6217"/>
    <cellStyle name="Normal 11 6 3 4 4" xfId="6218"/>
    <cellStyle name="Normal 11 6 3 5" xfId="6219"/>
    <cellStyle name="Normal 11 6 3 5 2" xfId="6220"/>
    <cellStyle name="Normal 11 6 3 6" xfId="6221"/>
    <cellStyle name="Normal 11 6 3 6 2" xfId="6222"/>
    <cellStyle name="Normal 11 6 3 7" xfId="6223"/>
    <cellStyle name="Normal 11 6 4" xfId="6224"/>
    <cellStyle name="Normal 11 6 4 2" xfId="6225"/>
    <cellStyle name="Normal 11 6 4 2 2" xfId="6226"/>
    <cellStyle name="Normal 11 6 4 2 2 2" xfId="6227"/>
    <cellStyle name="Normal 11 6 4 2 3" xfId="6228"/>
    <cellStyle name="Normal 11 6 4 2 3 2" xfId="6229"/>
    <cellStyle name="Normal 11 6 4 2 4" xfId="6230"/>
    <cellStyle name="Normal 11 6 4 3" xfId="6231"/>
    <cellStyle name="Normal 11 6 4 3 2" xfId="6232"/>
    <cellStyle name="Normal 11 6 4 3 2 2" xfId="6233"/>
    <cellStyle name="Normal 11 6 4 3 3" xfId="6234"/>
    <cellStyle name="Normal 11 6 4 3 3 2" xfId="6235"/>
    <cellStyle name="Normal 11 6 4 3 4" xfId="6236"/>
    <cellStyle name="Normal 11 6 4 4" xfId="6237"/>
    <cellStyle name="Normal 11 6 4 4 2" xfId="6238"/>
    <cellStyle name="Normal 11 6 4 4 2 2" xfId="6239"/>
    <cellStyle name="Normal 11 6 4 4 3" xfId="6240"/>
    <cellStyle name="Normal 11 6 4 4 3 2" xfId="6241"/>
    <cellStyle name="Normal 11 6 4 4 4" xfId="6242"/>
    <cellStyle name="Normal 11 6 4 5" xfId="6243"/>
    <cellStyle name="Normal 11 6 4 5 2" xfId="6244"/>
    <cellStyle name="Normal 11 6 4 6" xfId="6245"/>
    <cellStyle name="Normal 11 6 4 6 2" xfId="6246"/>
    <cellStyle name="Normal 11 6 4 7" xfId="6247"/>
    <cellStyle name="Normal 11 6 5" xfId="6248"/>
    <cellStyle name="Normal 11 6 5 2" xfId="6249"/>
    <cellStyle name="Normal 11 6 5 2 2" xfId="6250"/>
    <cellStyle name="Normal 11 6 5 2 2 2" xfId="6251"/>
    <cellStyle name="Normal 11 6 5 2 3" xfId="6252"/>
    <cellStyle name="Normal 11 6 5 2 3 2" xfId="6253"/>
    <cellStyle name="Normal 11 6 5 2 4" xfId="6254"/>
    <cellStyle name="Normal 11 6 5 3" xfId="6255"/>
    <cellStyle name="Normal 11 6 5 3 2" xfId="6256"/>
    <cellStyle name="Normal 11 6 5 3 2 2" xfId="6257"/>
    <cellStyle name="Normal 11 6 5 3 3" xfId="6258"/>
    <cellStyle name="Normal 11 6 5 3 3 2" xfId="6259"/>
    <cellStyle name="Normal 11 6 5 3 4" xfId="6260"/>
    <cellStyle name="Normal 11 6 5 4" xfId="6261"/>
    <cellStyle name="Normal 11 6 5 4 2" xfId="6262"/>
    <cellStyle name="Normal 11 6 5 4 2 2" xfId="6263"/>
    <cellStyle name="Normal 11 6 5 4 3" xfId="6264"/>
    <cellStyle name="Normal 11 6 5 4 3 2" xfId="6265"/>
    <cellStyle name="Normal 11 6 5 4 4" xfId="6266"/>
    <cellStyle name="Normal 11 6 5 5" xfId="6267"/>
    <cellStyle name="Normal 11 6 5 5 2" xfId="6268"/>
    <cellStyle name="Normal 11 6 5 6" xfId="6269"/>
    <cellStyle name="Normal 11 6 5 6 2" xfId="6270"/>
    <cellStyle name="Normal 11 6 5 7" xfId="6271"/>
    <cellStyle name="Normal 11 6 6" xfId="6272"/>
    <cellStyle name="Normal 11 6 6 2" xfId="6273"/>
    <cellStyle name="Normal 11 6 6 2 2" xfId="6274"/>
    <cellStyle name="Normal 11 6 6 2 2 2" xfId="6275"/>
    <cellStyle name="Normal 11 6 6 2 3" xfId="6276"/>
    <cellStyle name="Normal 11 6 6 2 3 2" xfId="6277"/>
    <cellStyle name="Normal 11 6 6 2 4" xfId="6278"/>
    <cellStyle name="Normal 11 6 6 3" xfId="6279"/>
    <cellStyle name="Normal 11 6 6 3 2" xfId="6280"/>
    <cellStyle name="Normal 11 6 6 3 2 2" xfId="6281"/>
    <cellStyle name="Normal 11 6 6 3 3" xfId="6282"/>
    <cellStyle name="Normal 11 6 6 3 3 2" xfId="6283"/>
    <cellStyle name="Normal 11 6 6 3 4" xfId="6284"/>
    <cellStyle name="Normal 11 6 6 4" xfId="6285"/>
    <cellStyle name="Normal 11 6 6 4 2" xfId="6286"/>
    <cellStyle name="Normal 11 6 6 4 2 2" xfId="6287"/>
    <cellStyle name="Normal 11 6 6 4 3" xfId="6288"/>
    <cellStyle name="Normal 11 6 6 4 3 2" xfId="6289"/>
    <cellStyle name="Normal 11 6 6 4 4" xfId="6290"/>
    <cellStyle name="Normal 11 6 6 5" xfId="6291"/>
    <cellStyle name="Normal 11 6 6 5 2" xfId="6292"/>
    <cellStyle name="Normal 11 6 6 6" xfId="6293"/>
    <cellStyle name="Normal 11 6 6 6 2" xfId="6294"/>
    <cellStyle name="Normal 11 6 6 7" xfId="6295"/>
    <cellStyle name="Normal 11 6 7" xfId="6296"/>
    <cellStyle name="Normal 11 6 7 2" xfId="6297"/>
    <cellStyle name="Normal 11 6 7 2 2" xfId="6298"/>
    <cellStyle name="Normal 11 6 7 2 2 2" xfId="6299"/>
    <cellStyle name="Normal 11 6 7 2 3" xfId="6300"/>
    <cellStyle name="Normal 11 6 7 2 3 2" xfId="6301"/>
    <cellStyle name="Normal 11 6 7 2 4" xfId="6302"/>
    <cellStyle name="Normal 11 6 7 3" xfId="6303"/>
    <cellStyle name="Normal 11 6 7 3 2" xfId="6304"/>
    <cellStyle name="Normal 11 6 7 3 2 2" xfId="6305"/>
    <cellStyle name="Normal 11 6 7 3 3" xfId="6306"/>
    <cellStyle name="Normal 11 6 7 3 3 2" xfId="6307"/>
    <cellStyle name="Normal 11 6 7 3 4" xfId="6308"/>
    <cellStyle name="Normal 11 6 7 4" xfId="6309"/>
    <cellStyle name="Normal 11 6 7 4 2" xfId="6310"/>
    <cellStyle name="Normal 11 6 7 4 2 2" xfId="6311"/>
    <cellStyle name="Normal 11 6 7 4 3" xfId="6312"/>
    <cellStyle name="Normal 11 6 7 4 3 2" xfId="6313"/>
    <cellStyle name="Normal 11 6 7 4 4" xfId="6314"/>
    <cellStyle name="Normal 11 6 7 5" xfId="6315"/>
    <cellStyle name="Normal 11 6 7 5 2" xfId="6316"/>
    <cellStyle name="Normal 11 6 7 6" xfId="6317"/>
    <cellStyle name="Normal 11 6 7 6 2" xfId="6318"/>
    <cellStyle name="Normal 11 6 7 7" xfId="6319"/>
    <cellStyle name="Normal 11 6 8" xfId="6320"/>
    <cellStyle name="Normal 11 6 8 2" xfId="6321"/>
    <cellStyle name="Normal 11 6 8 2 2" xfId="6322"/>
    <cellStyle name="Normal 11 6 8 2 2 2" xfId="6323"/>
    <cellStyle name="Normal 11 6 8 2 3" xfId="6324"/>
    <cellStyle name="Normal 11 6 8 2 3 2" xfId="6325"/>
    <cellStyle name="Normal 11 6 8 2 4" xfId="6326"/>
    <cellStyle name="Normal 11 6 8 3" xfId="6327"/>
    <cellStyle name="Normal 11 6 8 3 2" xfId="6328"/>
    <cellStyle name="Normal 11 6 8 3 2 2" xfId="6329"/>
    <cellStyle name="Normal 11 6 8 3 3" xfId="6330"/>
    <cellStyle name="Normal 11 6 8 3 3 2" xfId="6331"/>
    <cellStyle name="Normal 11 6 8 3 4" xfId="6332"/>
    <cellStyle name="Normal 11 6 8 4" xfId="6333"/>
    <cellStyle name="Normal 11 6 8 4 2" xfId="6334"/>
    <cellStyle name="Normal 11 6 8 4 2 2" xfId="6335"/>
    <cellStyle name="Normal 11 6 8 4 3" xfId="6336"/>
    <cellStyle name="Normal 11 6 8 4 3 2" xfId="6337"/>
    <cellStyle name="Normal 11 6 8 4 4" xfId="6338"/>
    <cellStyle name="Normal 11 6 8 5" xfId="6339"/>
    <cellStyle name="Normal 11 6 8 5 2" xfId="6340"/>
    <cellStyle name="Normal 11 6 8 6" xfId="6341"/>
    <cellStyle name="Normal 11 6 8 6 2" xfId="6342"/>
    <cellStyle name="Normal 11 6 8 7" xfId="6343"/>
    <cellStyle name="Normal 11 6 9" xfId="6344"/>
    <cellStyle name="Normal 11 6 9 2" xfId="6345"/>
    <cellStyle name="Normal 11 6 9 2 2" xfId="6346"/>
    <cellStyle name="Normal 11 6 9 2 2 2" xfId="6347"/>
    <cellStyle name="Normal 11 6 9 2 3" xfId="6348"/>
    <cellStyle name="Normal 11 6 9 2 3 2" xfId="6349"/>
    <cellStyle name="Normal 11 6 9 2 4" xfId="6350"/>
    <cellStyle name="Normal 11 6 9 3" xfId="6351"/>
    <cellStyle name="Normal 11 6 9 3 2" xfId="6352"/>
    <cellStyle name="Normal 11 6 9 3 2 2" xfId="6353"/>
    <cellStyle name="Normal 11 6 9 3 3" xfId="6354"/>
    <cellStyle name="Normal 11 6 9 3 3 2" xfId="6355"/>
    <cellStyle name="Normal 11 6 9 3 4" xfId="6356"/>
    <cellStyle name="Normal 11 6 9 4" xfId="6357"/>
    <cellStyle name="Normal 11 6 9 4 2" xfId="6358"/>
    <cellStyle name="Normal 11 6 9 4 2 2" xfId="6359"/>
    <cellStyle name="Normal 11 6 9 4 3" xfId="6360"/>
    <cellStyle name="Normal 11 6 9 4 3 2" xfId="6361"/>
    <cellStyle name="Normal 11 6 9 4 4" xfId="6362"/>
    <cellStyle name="Normal 11 6 9 5" xfId="6363"/>
    <cellStyle name="Normal 11 6 9 5 2" xfId="6364"/>
    <cellStyle name="Normal 11 6 9 6" xfId="6365"/>
    <cellStyle name="Normal 11 6 9 6 2" xfId="6366"/>
    <cellStyle name="Normal 11 6 9 7" xfId="6367"/>
    <cellStyle name="Normal 11 7" xfId="6368"/>
    <cellStyle name="Normal 11 7 10" xfId="6369"/>
    <cellStyle name="Normal 11 7 10 2" xfId="6370"/>
    <cellStyle name="Normal 11 7 10 2 2" xfId="6371"/>
    <cellStyle name="Normal 11 7 10 3" xfId="6372"/>
    <cellStyle name="Normal 11 7 10 3 2" xfId="6373"/>
    <cellStyle name="Normal 11 7 10 4" xfId="6374"/>
    <cellStyle name="Normal 11 7 11" xfId="6375"/>
    <cellStyle name="Normal 11 7 11 2" xfId="6376"/>
    <cellStyle name="Normal 11 7 11 2 2" xfId="6377"/>
    <cellStyle name="Normal 11 7 11 3" xfId="6378"/>
    <cellStyle name="Normal 11 7 11 3 2" xfId="6379"/>
    <cellStyle name="Normal 11 7 11 4" xfId="6380"/>
    <cellStyle name="Normal 11 7 12" xfId="6381"/>
    <cellStyle name="Normal 11 7 12 2" xfId="6382"/>
    <cellStyle name="Normal 11 7 12 2 2" xfId="6383"/>
    <cellStyle name="Normal 11 7 12 3" xfId="6384"/>
    <cellStyle name="Normal 11 7 12 3 2" xfId="6385"/>
    <cellStyle name="Normal 11 7 12 4" xfId="6386"/>
    <cellStyle name="Normal 11 7 13" xfId="6387"/>
    <cellStyle name="Normal 11 7 13 2" xfId="6388"/>
    <cellStyle name="Normal 11 7 13 2 2" xfId="6389"/>
    <cellStyle name="Normal 11 7 13 3" xfId="6390"/>
    <cellStyle name="Normal 11 7 13 3 2" xfId="6391"/>
    <cellStyle name="Normal 11 7 13 4" xfId="6392"/>
    <cellStyle name="Normal 11 7 14" xfId="6393"/>
    <cellStyle name="Normal 11 7 14 2" xfId="6394"/>
    <cellStyle name="Normal 11 7 15" xfId="6395"/>
    <cellStyle name="Normal 11 7 15 2" xfId="6396"/>
    <cellStyle name="Normal 11 7 16" xfId="6397"/>
    <cellStyle name="Normal 11 7 2" xfId="6398"/>
    <cellStyle name="Normal 11 7 2 2" xfId="6399"/>
    <cellStyle name="Normal 11 7 2 2 2" xfId="6400"/>
    <cellStyle name="Normal 11 7 2 2 2 2" xfId="6401"/>
    <cellStyle name="Normal 11 7 2 2 2 2 2" xfId="6402"/>
    <cellStyle name="Normal 11 7 2 2 2 3" xfId="6403"/>
    <cellStyle name="Normal 11 7 2 2 2 3 2" xfId="6404"/>
    <cellStyle name="Normal 11 7 2 2 2 4" xfId="6405"/>
    <cellStyle name="Normal 11 7 2 2 3" xfId="6406"/>
    <cellStyle name="Normal 11 7 2 2 3 2" xfId="6407"/>
    <cellStyle name="Normal 11 7 2 2 3 2 2" xfId="6408"/>
    <cellStyle name="Normal 11 7 2 2 3 3" xfId="6409"/>
    <cellStyle name="Normal 11 7 2 2 3 3 2" xfId="6410"/>
    <cellStyle name="Normal 11 7 2 2 3 4" xfId="6411"/>
    <cellStyle name="Normal 11 7 2 2 4" xfId="6412"/>
    <cellStyle name="Normal 11 7 2 2 4 2" xfId="6413"/>
    <cellStyle name="Normal 11 7 2 2 4 2 2" xfId="6414"/>
    <cellStyle name="Normal 11 7 2 2 4 3" xfId="6415"/>
    <cellStyle name="Normal 11 7 2 2 4 3 2" xfId="6416"/>
    <cellStyle name="Normal 11 7 2 2 4 4" xfId="6417"/>
    <cellStyle name="Normal 11 7 2 2 5" xfId="6418"/>
    <cellStyle name="Normal 11 7 2 2 5 2" xfId="6419"/>
    <cellStyle name="Normal 11 7 2 2 6" xfId="6420"/>
    <cellStyle name="Normal 11 7 2 2 6 2" xfId="6421"/>
    <cellStyle name="Normal 11 7 2 2 7" xfId="6422"/>
    <cellStyle name="Normal 11 7 2 3" xfId="6423"/>
    <cellStyle name="Normal 11 7 2 3 2" xfId="6424"/>
    <cellStyle name="Normal 11 7 2 3 2 2" xfId="6425"/>
    <cellStyle name="Normal 11 7 2 3 3" xfId="6426"/>
    <cellStyle name="Normal 11 7 2 3 3 2" xfId="6427"/>
    <cellStyle name="Normal 11 7 2 3 4" xfId="6428"/>
    <cellStyle name="Normal 11 7 2 4" xfId="6429"/>
    <cellStyle name="Normal 11 7 2 4 2" xfId="6430"/>
    <cellStyle name="Normal 11 7 2 4 2 2" xfId="6431"/>
    <cellStyle name="Normal 11 7 2 4 3" xfId="6432"/>
    <cellStyle name="Normal 11 7 2 4 3 2" xfId="6433"/>
    <cellStyle name="Normal 11 7 2 4 4" xfId="6434"/>
    <cellStyle name="Normal 11 7 2 5" xfId="6435"/>
    <cellStyle name="Normal 11 7 2 5 2" xfId="6436"/>
    <cellStyle name="Normal 11 7 2 5 2 2" xfId="6437"/>
    <cellStyle name="Normal 11 7 2 5 3" xfId="6438"/>
    <cellStyle name="Normal 11 7 2 5 3 2" xfId="6439"/>
    <cellStyle name="Normal 11 7 2 5 4" xfId="6440"/>
    <cellStyle name="Normal 11 7 2 6" xfId="6441"/>
    <cellStyle name="Normal 11 7 2 6 2" xfId="6442"/>
    <cellStyle name="Normal 11 7 2 7" xfId="6443"/>
    <cellStyle name="Normal 11 7 2 7 2" xfId="6444"/>
    <cellStyle name="Normal 11 7 2 8" xfId="6445"/>
    <cellStyle name="Normal 11 7 3" xfId="6446"/>
    <cellStyle name="Normal 11 7 3 2" xfId="6447"/>
    <cellStyle name="Normal 11 7 3 2 2" xfId="6448"/>
    <cellStyle name="Normal 11 7 3 2 2 2" xfId="6449"/>
    <cellStyle name="Normal 11 7 3 2 3" xfId="6450"/>
    <cellStyle name="Normal 11 7 3 2 3 2" xfId="6451"/>
    <cellStyle name="Normal 11 7 3 2 4" xfId="6452"/>
    <cellStyle name="Normal 11 7 3 3" xfId="6453"/>
    <cellStyle name="Normal 11 7 3 3 2" xfId="6454"/>
    <cellStyle name="Normal 11 7 3 3 2 2" xfId="6455"/>
    <cellStyle name="Normal 11 7 3 3 3" xfId="6456"/>
    <cellStyle name="Normal 11 7 3 3 3 2" xfId="6457"/>
    <cellStyle name="Normal 11 7 3 3 4" xfId="6458"/>
    <cellStyle name="Normal 11 7 3 4" xfId="6459"/>
    <cellStyle name="Normal 11 7 3 4 2" xfId="6460"/>
    <cellStyle name="Normal 11 7 3 4 2 2" xfId="6461"/>
    <cellStyle name="Normal 11 7 3 4 3" xfId="6462"/>
    <cellStyle name="Normal 11 7 3 4 3 2" xfId="6463"/>
    <cellStyle name="Normal 11 7 3 4 4" xfId="6464"/>
    <cellStyle name="Normal 11 7 3 5" xfId="6465"/>
    <cellStyle name="Normal 11 7 3 5 2" xfId="6466"/>
    <cellStyle name="Normal 11 7 3 6" xfId="6467"/>
    <cellStyle name="Normal 11 7 3 6 2" xfId="6468"/>
    <cellStyle name="Normal 11 7 3 7" xfId="6469"/>
    <cellStyle name="Normal 11 7 4" xfId="6470"/>
    <cellStyle name="Normal 11 7 4 2" xfId="6471"/>
    <cellStyle name="Normal 11 7 4 2 2" xfId="6472"/>
    <cellStyle name="Normal 11 7 4 2 2 2" xfId="6473"/>
    <cellStyle name="Normal 11 7 4 2 3" xfId="6474"/>
    <cellStyle name="Normal 11 7 4 2 3 2" xfId="6475"/>
    <cellStyle name="Normal 11 7 4 2 4" xfId="6476"/>
    <cellStyle name="Normal 11 7 4 3" xfId="6477"/>
    <cellStyle name="Normal 11 7 4 3 2" xfId="6478"/>
    <cellStyle name="Normal 11 7 4 3 2 2" xfId="6479"/>
    <cellStyle name="Normal 11 7 4 3 3" xfId="6480"/>
    <cellStyle name="Normal 11 7 4 3 3 2" xfId="6481"/>
    <cellStyle name="Normal 11 7 4 3 4" xfId="6482"/>
    <cellStyle name="Normal 11 7 4 4" xfId="6483"/>
    <cellStyle name="Normal 11 7 4 4 2" xfId="6484"/>
    <cellStyle name="Normal 11 7 4 4 2 2" xfId="6485"/>
    <cellStyle name="Normal 11 7 4 4 3" xfId="6486"/>
    <cellStyle name="Normal 11 7 4 4 3 2" xfId="6487"/>
    <cellStyle name="Normal 11 7 4 4 4" xfId="6488"/>
    <cellStyle name="Normal 11 7 4 5" xfId="6489"/>
    <cellStyle name="Normal 11 7 4 5 2" xfId="6490"/>
    <cellStyle name="Normal 11 7 4 6" xfId="6491"/>
    <cellStyle name="Normal 11 7 4 6 2" xfId="6492"/>
    <cellStyle name="Normal 11 7 4 7" xfId="6493"/>
    <cellStyle name="Normal 11 7 5" xfId="6494"/>
    <cellStyle name="Normal 11 7 5 2" xfId="6495"/>
    <cellStyle name="Normal 11 7 5 2 2" xfId="6496"/>
    <cellStyle name="Normal 11 7 5 2 2 2" xfId="6497"/>
    <cellStyle name="Normal 11 7 5 2 3" xfId="6498"/>
    <cellStyle name="Normal 11 7 5 2 3 2" xfId="6499"/>
    <cellStyle name="Normal 11 7 5 2 4" xfId="6500"/>
    <cellStyle name="Normal 11 7 5 3" xfId="6501"/>
    <cellStyle name="Normal 11 7 5 3 2" xfId="6502"/>
    <cellStyle name="Normal 11 7 5 3 2 2" xfId="6503"/>
    <cellStyle name="Normal 11 7 5 3 3" xfId="6504"/>
    <cellStyle name="Normal 11 7 5 3 3 2" xfId="6505"/>
    <cellStyle name="Normal 11 7 5 3 4" xfId="6506"/>
    <cellStyle name="Normal 11 7 5 4" xfId="6507"/>
    <cellStyle name="Normal 11 7 5 4 2" xfId="6508"/>
    <cellStyle name="Normal 11 7 5 4 2 2" xfId="6509"/>
    <cellStyle name="Normal 11 7 5 4 3" xfId="6510"/>
    <cellStyle name="Normal 11 7 5 4 3 2" xfId="6511"/>
    <cellStyle name="Normal 11 7 5 4 4" xfId="6512"/>
    <cellStyle name="Normal 11 7 5 5" xfId="6513"/>
    <cellStyle name="Normal 11 7 5 5 2" xfId="6514"/>
    <cellStyle name="Normal 11 7 5 6" xfId="6515"/>
    <cellStyle name="Normal 11 7 5 6 2" xfId="6516"/>
    <cellStyle name="Normal 11 7 5 7" xfId="6517"/>
    <cellStyle name="Normal 11 7 6" xfId="6518"/>
    <cellStyle name="Normal 11 7 6 2" xfId="6519"/>
    <cellStyle name="Normal 11 7 6 2 2" xfId="6520"/>
    <cellStyle name="Normal 11 7 6 2 2 2" xfId="6521"/>
    <cellStyle name="Normal 11 7 6 2 3" xfId="6522"/>
    <cellStyle name="Normal 11 7 6 2 3 2" xfId="6523"/>
    <cellStyle name="Normal 11 7 6 2 4" xfId="6524"/>
    <cellStyle name="Normal 11 7 6 3" xfId="6525"/>
    <cellStyle name="Normal 11 7 6 3 2" xfId="6526"/>
    <cellStyle name="Normal 11 7 6 3 2 2" xfId="6527"/>
    <cellStyle name="Normal 11 7 6 3 3" xfId="6528"/>
    <cellStyle name="Normal 11 7 6 3 3 2" xfId="6529"/>
    <cellStyle name="Normal 11 7 6 3 4" xfId="6530"/>
    <cellStyle name="Normal 11 7 6 4" xfId="6531"/>
    <cellStyle name="Normal 11 7 6 4 2" xfId="6532"/>
    <cellStyle name="Normal 11 7 6 4 2 2" xfId="6533"/>
    <cellStyle name="Normal 11 7 6 4 3" xfId="6534"/>
    <cellStyle name="Normal 11 7 6 4 3 2" xfId="6535"/>
    <cellStyle name="Normal 11 7 6 4 4" xfId="6536"/>
    <cellStyle name="Normal 11 7 6 5" xfId="6537"/>
    <cellStyle name="Normal 11 7 6 5 2" xfId="6538"/>
    <cellStyle name="Normal 11 7 6 6" xfId="6539"/>
    <cellStyle name="Normal 11 7 6 6 2" xfId="6540"/>
    <cellStyle name="Normal 11 7 6 7" xfId="6541"/>
    <cellStyle name="Normal 11 7 7" xfId="6542"/>
    <cellStyle name="Normal 11 7 7 2" xfId="6543"/>
    <cellStyle name="Normal 11 7 7 2 2" xfId="6544"/>
    <cellStyle name="Normal 11 7 7 2 2 2" xfId="6545"/>
    <cellStyle name="Normal 11 7 7 2 3" xfId="6546"/>
    <cellStyle name="Normal 11 7 7 2 3 2" xfId="6547"/>
    <cellStyle name="Normal 11 7 7 2 4" xfId="6548"/>
    <cellStyle name="Normal 11 7 7 3" xfId="6549"/>
    <cellStyle name="Normal 11 7 7 3 2" xfId="6550"/>
    <cellStyle name="Normal 11 7 7 3 2 2" xfId="6551"/>
    <cellStyle name="Normal 11 7 7 3 3" xfId="6552"/>
    <cellStyle name="Normal 11 7 7 3 3 2" xfId="6553"/>
    <cellStyle name="Normal 11 7 7 3 4" xfId="6554"/>
    <cellStyle name="Normal 11 7 7 4" xfId="6555"/>
    <cellStyle name="Normal 11 7 7 4 2" xfId="6556"/>
    <cellStyle name="Normal 11 7 7 4 2 2" xfId="6557"/>
    <cellStyle name="Normal 11 7 7 4 3" xfId="6558"/>
    <cellStyle name="Normal 11 7 7 4 3 2" xfId="6559"/>
    <cellStyle name="Normal 11 7 7 4 4" xfId="6560"/>
    <cellStyle name="Normal 11 7 7 5" xfId="6561"/>
    <cellStyle name="Normal 11 7 7 5 2" xfId="6562"/>
    <cellStyle name="Normal 11 7 7 6" xfId="6563"/>
    <cellStyle name="Normal 11 7 7 6 2" xfId="6564"/>
    <cellStyle name="Normal 11 7 7 7" xfId="6565"/>
    <cellStyle name="Normal 11 7 8" xfId="6566"/>
    <cellStyle name="Normal 11 7 8 2" xfId="6567"/>
    <cellStyle name="Normal 11 7 8 2 2" xfId="6568"/>
    <cellStyle name="Normal 11 7 8 2 2 2" xfId="6569"/>
    <cellStyle name="Normal 11 7 8 2 3" xfId="6570"/>
    <cellStyle name="Normal 11 7 8 2 3 2" xfId="6571"/>
    <cellStyle name="Normal 11 7 8 2 4" xfId="6572"/>
    <cellStyle name="Normal 11 7 8 3" xfId="6573"/>
    <cellStyle name="Normal 11 7 8 3 2" xfId="6574"/>
    <cellStyle name="Normal 11 7 8 3 2 2" xfId="6575"/>
    <cellStyle name="Normal 11 7 8 3 3" xfId="6576"/>
    <cellStyle name="Normal 11 7 8 3 3 2" xfId="6577"/>
    <cellStyle name="Normal 11 7 8 3 4" xfId="6578"/>
    <cellStyle name="Normal 11 7 8 4" xfId="6579"/>
    <cellStyle name="Normal 11 7 8 4 2" xfId="6580"/>
    <cellStyle name="Normal 11 7 8 4 2 2" xfId="6581"/>
    <cellStyle name="Normal 11 7 8 4 3" xfId="6582"/>
    <cellStyle name="Normal 11 7 8 4 3 2" xfId="6583"/>
    <cellStyle name="Normal 11 7 8 4 4" xfId="6584"/>
    <cellStyle name="Normal 11 7 8 5" xfId="6585"/>
    <cellStyle name="Normal 11 7 8 5 2" xfId="6586"/>
    <cellStyle name="Normal 11 7 8 6" xfId="6587"/>
    <cellStyle name="Normal 11 7 8 6 2" xfId="6588"/>
    <cellStyle name="Normal 11 7 8 7" xfId="6589"/>
    <cellStyle name="Normal 11 7 9" xfId="6590"/>
    <cellStyle name="Normal 11 7 9 2" xfId="6591"/>
    <cellStyle name="Normal 11 7 9 2 2" xfId="6592"/>
    <cellStyle name="Normal 11 7 9 2 2 2" xfId="6593"/>
    <cellStyle name="Normal 11 7 9 2 3" xfId="6594"/>
    <cellStyle name="Normal 11 7 9 2 3 2" xfId="6595"/>
    <cellStyle name="Normal 11 7 9 2 4" xfId="6596"/>
    <cellStyle name="Normal 11 7 9 3" xfId="6597"/>
    <cellStyle name="Normal 11 7 9 3 2" xfId="6598"/>
    <cellStyle name="Normal 11 7 9 3 2 2" xfId="6599"/>
    <cellStyle name="Normal 11 7 9 3 3" xfId="6600"/>
    <cellStyle name="Normal 11 7 9 3 3 2" xfId="6601"/>
    <cellStyle name="Normal 11 7 9 3 4" xfId="6602"/>
    <cellStyle name="Normal 11 7 9 4" xfId="6603"/>
    <cellStyle name="Normal 11 7 9 4 2" xfId="6604"/>
    <cellStyle name="Normal 11 7 9 4 2 2" xfId="6605"/>
    <cellStyle name="Normal 11 7 9 4 3" xfId="6606"/>
    <cellStyle name="Normal 11 7 9 4 3 2" xfId="6607"/>
    <cellStyle name="Normal 11 7 9 4 4" xfId="6608"/>
    <cellStyle name="Normal 11 7 9 5" xfId="6609"/>
    <cellStyle name="Normal 11 7 9 5 2" xfId="6610"/>
    <cellStyle name="Normal 11 7 9 6" xfId="6611"/>
    <cellStyle name="Normal 11 7 9 6 2" xfId="6612"/>
    <cellStyle name="Normal 11 7 9 7" xfId="6613"/>
    <cellStyle name="Normal 11 8" xfId="6614"/>
    <cellStyle name="Normal 11 8 10" xfId="6615"/>
    <cellStyle name="Normal 11 8 10 2" xfId="6616"/>
    <cellStyle name="Normal 11 8 10 2 2" xfId="6617"/>
    <cellStyle name="Normal 11 8 10 3" xfId="6618"/>
    <cellStyle name="Normal 11 8 10 3 2" xfId="6619"/>
    <cellStyle name="Normal 11 8 10 4" xfId="6620"/>
    <cellStyle name="Normal 11 8 11" xfId="6621"/>
    <cellStyle name="Normal 11 8 11 2" xfId="6622"/>
    <cellStyle name="Normal 11 8 11 2 2" xfId="6623"/>
    <cellStyle name="Normal 11 8 11 3" xfId="6624"/>
    <cellStyle name="Normal 11 8 11 3 2" xfId="6625"/>
    <cellStyle name="Normal 11 8 11 4" xfId="6626"/>
    <cellStyle name="Normal 11 8 12" xfId="6627"/>
    <cellStyle name="Normal 11 8 12 2" xfId="6628"/>
    <cellStyle name="Normal 11 8 12 2 2" xfId="6629"/>
    <cellStyle name="Normal 11 8 12 3" xfId="6630"/>
    <cellStyle name="Normal 11 8 12 3 2" xfId="6631"/>
    <cellStyle name="Normal 11 8 12 4" xfId="6632"/>
    <cellStyle name="Normal 11 8 13" xfId="6633"/>
    <cellStyle name="Normal 11 8 13 2" xfId="6634"/>
    <cellStyle name="Normal 11 8 13 2 2" xfId="6635"/>
    <cellStyle name="Normal 11 8 13 3" xfId="6636"/>
    <cellStyle name="Normal 11 8 13 3 2" xfId="6637"/>
    <cellStyle name="Normal 11 8 13 4" xfId="6638"/>
    <cellStyle name="Normal 11 8 14" xfId="6639"/>
    <cellStyle name="Normal 11 8 14 2" xfId="6640"/>
    <cellStyle name="Normal 11 8 15" xfId="6641"/>
    <cellStyle name="Normal 11 8 15 2" xfId="6642"/>
    <cellStyle name="Normal 11 8 16" xfId="6643"/>
    <cellStyle name="Normal 11 8 2" xfId="6644"/>
    <cellStyle name="Normal 11 8 2 2" xfId="6645"/>
    <cellStyle name="Normal 11 8 2 2 2" xfId="6646"/>
    <cellStyle name="Normal 11 8 2 2 2 2" xfId="6647"/>
    <cellStyle name="Normal 11 8 2 2 2 2 2" xfId="6648"/>
    <cellStyle name="Normal 11 8 2 2 2 3" xfId="6649"/>
    <cellStyle name="Normal 11 8 2 2 2 3 2" xfId="6650"/>
    <cellStyle name="Normal 11 8 2 2 2 4" xfId="6651"/>
    <cellStyle name="Normal 11 8 2 2 3" xfId="6652"/>
    <cellStyle name="Normal 11 8 2 2 3 2" xfId="6653"/>
    <cellStyle name="Normal 11 8 2 2 3 2 2" xfId="6654"/>
    <cellStyle name="Normal 11 8 2 2 3 3" xfId="6655"/>
    <cellStyle name="Normal 11 8 2 2 3 3 2" xfId="6656"/>
    <cellStyle name="Normal 11 8 2 2 3 4" xfId="6657"/>
    <cellStyle name="Normal 11 8 2 2 4" xfId="6658"/>
    <cellStyle name="Normal 11 8 2 2 4 2" xfId="6659"/>
    <cellStyle name="Normal 11 8 2 2 4 2 2" xfId="6660"/>
    <cellStyle name="Normal 11 8 2 2 4 3" xfId="6661"/>
    <cellStyle name="Normal 11 8 2 2 4 3 2" xfId="6662"/>
    <cellStyle name="Normal 11 8 2 2 4 4" xfId="6663"/>
    <cellStyle name="Normal 11 8 2 2 5" xfId="6664"/>
    <cellStyle name="Normal 11 8 2 2 5 2" xfId="6665"/>
    <cellStyle name="Normal 11 8 2 2 6" xfId="6666"/>
    <cellStyle name="Normal 11 8 2 2 6 2" xfId="6667"/>
    <cellStyle name="Normal 11 8 2 2 7" xfId="6668"/>
    <cellStyle name="Normal 11 8 2 3" xfId="6669"/>
    <cellStyle name="Normal 11 8 2 3 2" xfId="6670"/>
    <cellStyle name="Normal 11 8 2 3 2 2" xfId="6671"/>
    <cellStyle name="Normal 11 8 2 3 3" xfId="6672"/>
    <cellStyle name="Normal 11 8 2 3 3 2" xfId="6673"/>
    <cellStyle name="Normal 11 8 2 3 4" xfId="6674"/>
    <cellStyle name="Normal 11 8 2 4" xfId="6675"/>
    <cellStyle name="Normal 11 8 2 4 2" xfId="6676"/>
    <cellStyle name="Normal 11 8 2 4 2 2" xfId="6677"/>
    <cellStyle name="Normal 11 8 2 4 3" xfId="6678"/>
    <cellStyle name="Normal 11 8 2 4 3 2" xfId="6679"/>
    <cellStyle name="Normal 11 8 2 4 4" xfId="6680"/>
    <cellStyle name="Normal 11 8 2 5" xfId="6681"/>
    <cellStyle name="Normal 11 8 2 5 2" xfId="6682"/>
    <cellStyle name="Normal 11 8 2 5 2 2" xfId="6683"/>
    <cellStyle name="Normal 11 8 2 5 3" xfId="6684"/>
    <cellStyle name="Normal 11 8 2 5 3 2" xfId="6685"/>
    <cellStyle name="Normal 11 8 2 5 4" xfId="6686"/>
    <cellStyle name="Normal 11 8 2 6" xfId="6687"/>
    <cellStyle name="Normal 11 8 2 6 2" xfId="6688"/>
    <cellStyle name="Normal 11 8 2 7" xfId="6689"/>
    <cellStyle name="Normal 11 8 2 7 2" xfId="6690"/>
    <cellStyle name="Normal 11 8 2 8" xfId="6691"/>
    <cellStyle name="Normal 11 8 3" xfId="6692"/>
    <cellStyle name="Normal 11 8 3 2" xfId="6693"/>
    <cellStyle name="Normal 11 8 3 2 2" xfId="6694"/>
    <cellStyle name="Normal 11 8 3 2 2 2" xfId="6695"/>
    <cellStyle name="Normal 11 8 3 2 3" xfId="6696"/>
    <cellStyle name="Normal 11 8 3 2 3 2" xfId="6697"/>
    <cellStyle name="Normal 11 8 3 2 4" xfId="6698"/>
    <cellStyle name="Normal 11 8 3 3" xfId="6699"/>
    <cellStyle name="Normal 11 8 3 3 2" xfId="6700"/>
    <cellStyle name="Normal 11 8 3 3 2 2" xfId="6701"/>
    <cellStyle name="Normal 11 8 3 3 3" xfId="6702"/>
    <cellStyle name="Normal 11 8 3 3 3 2" xfId="6703"/>
    <cellStyle name="Normal 11 8 3 3 4" xfId="6704"/>
    <cellStyle name="Normal 11 8 3 4" xfId="6705"/>
    <cellStyle name="Normal 11 8 3 4 2" xfId="6706"/>
    <cellStyle name="Normal 11 8 3 4 2 2" xfId="6707"/>
    <cellStyle name="Normal 11 8 3 4 3" xfId="6708"/>
    <cellStyle name="Normal 11 8 3 4 3 2" xfId="6709"/>
    <cellStyle name="Normal 11 8 3 4 4" xfId="6710"/>
    <cellStyle name="Normal 11 8 3 5" xfId="6711"/>
    <cellStyle name="Normal 11 8 3 5 2" xfId="6712"/>
    <cellStyle name="Normal 11 8 3 6" xfId="6713"/>
    <cellStyle name="Normal 11 8 3 6 2" xfId="6714"/>
    <cellStyle name="Normal 11 8 3 7" xfId="6715"/>
    <cellStyle name="Normal 11 8 4" xfId="6716"/>
    <cellStyle name="Normal 11 8 4 2" xfId="6717"/>
    <cellStyle name="Normal 11 8 4 2 2" xfId="6718"/>
    <cellStyle name="Normal 11 8 4 2 2 2" xfId="6719"/>
    <cellStyle name="Normal 11 8 4 2 3" xfId="6720"/>
    <cellStyle name="Normal 11 8 4 2 3 2" xfId="6721"/>
    <cellStyle name="Normal 11 8 4 2 4" xfId="6722"/>
    <cellStyle name="Normal 11 8 4 3" xfId="6723"/>
    <cellStyle name="Normal 11 8 4 3 2" xfId="6724"/>
    <cellStyle name="Normal 11 8 4 3 2 2" xfId="6725"/>
    <cellStyle name="Normal 11 8 4 3 3" xfId="6726"/>
    <cellStyle name="Normal 11 8 4 3 3 2" xfId="6727"/>
    <cellStyle name="Normal 11 8 4 3 4" xfId="6728"/>
    <cellStyle name="Normal 11 8 4 4" xfId="6729"/>
    <cellStyle name="Normal 11 8 4 4 2" xfId="6730"/>
    <cellStyle name="Normal 11 8 4 4 2 2" xfId="6731"/>
    <cellStyle name="Normal 11 8 4 4 3" xfId="6732"/>
    <cellStyle name="Normal 11 8 4 4 3 2" xfId="6733"/>
    <cellStyle name="Normal 11 8 4 4 4" xfId="6734"/>
    <cellStyle name="Normal 11 8 4 5" xfId="6735"/>
    <cellStyle name="Normal 11 8 4 5 2" xfId="6736"/>
    <cellStyle name="Normal 11 8 4 6" xfId="6737"/>
    <cellStyle name="Normal 11 8 4 6 2" xfId="6738"/>
    <cellStyle name="Normal 11 8 4 7" xfId="6739"/>
    <cellStyle name="Normal 11 8 5" xfId="6740"/>
    <cellStyle name="Normal 11 8 5 2" xfId="6741"/>
    <cellStyle name="Normal 11 8 5 2 2" xfId="6742"/>
    <cellStyle name="Normal 11 8 5 2 2 2" xfId="6743"/>
    <cellStyle name="Normal 11 8 5 2 3" xfId="6744"/>
    <cellStyle name="Normal 11 8 5 2 3 2" xfId="6745"/>
    <cellStyle name="Normal 11 8 5 2 4" xfId="6746"/>
    <cellStyle name="Normal 11 8 5 3" xfId="6747"/>
    <cellStyle name="Normal 11 8 5 3 2" xfId="6748"/>
    <cellStyle name="Normal 11 8 5 3 2 2" xfId="6749"/>
    <cellStyle name="Normal 11 8 5 3 3" xfId="6750"/>
    <cellStyle name="Normal 11 8 5 3 3 2" xfId="6751"/>
    <cellStyle name="Normal 11 8 5 3 4" xfId="6752"/>
    <cellStyle name="Normal 11 8 5 4" xfId="6753"/>
    <cellStyle name="Normal 11 8 5 4 2" xfId="6754"/>
    <cellStyle name="Normal 11 8 5 4 2 2" xfId="6755"/>
    <cellStyle name="Normal 11 8 5 4 3" xfId="6756"/>
    <cellStyle name="Normal 11 8 5 4 3 2" xfId="6757"/>
    <cellStyle name="Normal 11 8 5 4 4" xfId="6758"/>
    <cellStyle name="Normal 11 8 5 5" xfId="6759"/>
    <cellStyle name="Normal 11 8 5 5 2" xfId="6760"/>
    <cellStyle name="Normal 11 8 5 6" xfId="6761"/>
    <cellStyle name="Normal 11 8 5 6 2" xfId="6762"/>
    <cellStyle name="Normal 11 8 5 7" xfId="6763"/>
    <cellStyle name="Normal 11 8 6" xfId="6764"/>
    <cellStyle name="Normal 11 8 6 2" xfId="6765"/>
    <cellStyle name="Normal 11 8 6 2 2" xfId="6766"/>
    <cellStyle name="Normal 11 8 6 2 2 2" xfId="6767"/>
    <cellStyle name="Normal 11 8 6 2 3" xfId="6768"/>
    <cellStyle name="Normal 11 8 6 2 3 2" xfId="6769"/>
    <cellStyle name="Normal 11 8 6 2 4" xfId="6770"/>
    <cellStyle name="Normal 11 8 6 3" xfId="6771"/>
    <cellStyle name="Normal 11 8 6 3 2" xfId="6772"/>
    <cellStyle name="Normal 11 8 6 3 2 2" xfId="6773"/>
    <cellStyle name="Normal 11 8 6 3 3" xfId="6774"/>
    <cellStyle name="Normal 11 8 6 3 3 2" xfId="6775"/>
    <cellStyle name="Normal 11 8 6 3 4" xfId="6776"/>
    <cellStyle name="Normal 11 8 6 4" xfId="6777"/>
    <cellStyle name="Normal 11 8 6 4 2" xfId="6778"/>
    <cellStyle name="Normal 11 8 6 4 2 2" xfId="6779"/>
    <cellStyle name="Normal 11 8 6 4 3" xfId="6780"/>
    <cellStyle name="Normal 11 8 6 4 3 2" xfId="6781"/>
    <cellStyle name="Normal 11 8 6 4 4" xfId="6782"/>
    <cellStyle name="Normal 11 8 6 5" xfId="6783"/>
    <cellStyle name="Normal 11 8 6 5 2" xfId="6784"/>
    <cellStyle name="Normal 11 8 6 6" xfId="6785"/>
    <cellStyle name="Normal 11 8 6 6 2" xfId="6786"/>
    <cellStyle name="Normal 11 8 6 7" xfId="6787"/>
    <cellStyle name="Normal 11 8 7" xfId="6788"/>
    <cellStyle name="Normal 11 8 7 2" xfId="6789"/>
    <cellStyle name="Normal 11 8 7 2 2" xfId="6790"/>
    <cellStyle name="Normal 11 8 7 2 2 2" xfId="6791"/>
    <cellStyle name="Normal 11 8 7 2 3" xfId="6792"/>
    <cellStyle name="Normal 11 8 7 2 3 2" xfId="6793"/>
    <cellStyle name="Normal 11 8 7 2 4" xfId="6794"/>
    <cellStyle name="Normal 11 8 7 3" xfId="6795"/>
    <cellStyle name="Normal 11 8 7 3 2" xfId="6796"/>
    <cellStyle name="Normal 11 8 7 3 2 2" xfId="6797"/>
    <cellStyle name="Normal 11 8 7 3 3" xfId="6798"/>
    <cellStyle name="Normal 11 8 7 3 3 2" xfId="6799"/>
    <cellStyle name="Normal 11 8 7 3 4" xfId="6800"/>
    <cellStyle name="Normal 11 8 7 4" xfId="6801"/>
    <cellStyle name="Normal 11 8 7 4 2" xfId="6802"/>
    <cellStyle name="Normal 11 8 7 4 2 2" xfId="6803"/>
    <cellStyle name="Normal 11 8 7 4 3" xfId="6804"/>
    <cellStyle name="Normal 11 8 7 4 3 2" xfId="6805"/>
    <cellStyle name="Normal 11 8 7 4 4" xfId="6806"/>
    <cellStyle name="Normal 11 8 7 5" xfId="6807"/>
    <cellStyle name="Normal 11 8 7 5 2" xfId="6808"/>
    <cellStyle name="Normal 11 8 7 6" xfId="6809"/>
    <cellStyle name="Normal 11 8 7 6 2" xfId="6810"/>
    <cellStyle name="Normal 11 8 7 7" xfId="6811"/>
    <cellStyle name="Normal 11 8 8" xfId="6812"/>
    <cellStyle name="Normal 11 8 8 2" xfId="6813"/>
    <cellStyle name="Normal 11 8 8 2 2" xfId="6814"/>
    <cellStyle name="Normal 11 8 8 2 2 2" xfId="6815"/>
    <cellStyle name="Normal 11 8 8 2 3" xfId="6816"/>
    <cellStyle name="Normal 11 8 8 2 3 2" xfId="6817"/>
    <cellStyle name="Normal 11 8 8 2 4" xfId="6818"/>
    <cellStyle name="Normal 11 8 8 3" xfId="6819"/>
    <cellStyle name="Normal 11 8 8 3 2" xfId="6820"/>
    <cellStyle name="Normal 11 8 8 3 2 2" xfId="6821"/>
    <cellStyle name="Normal 11 8 8 3 3" xfId="6822"/>
    <cellStyle name="Normal 11 8 8 3 3 2" xfId="6823"/>
    <cellStyle name="Normal 11 8 8 3 4" xfId="6824"/>
    <cellStyle name="Normal 11 8 8 4" xfId="6825"/>
    <cellStyle name="Normal 11 8 8 4 2" xfId="6826"/>
    <cellStyle name="Normal 11 8 8 4 2 2" xfId="6827"/>
    <cellStyle name="Normal 11 8 8 4 3" xfId="6828"/>
    <cellStyle name="Normal 11 8 8 4 3 2" xfId="6829"/>
    <cellStyle name="Normal 11 8 8 4 4" xfId="6830"/>
    <cellStyle name="Normal 11 8 8 5" xfId="6831"/>
    <cellStyle name="Normal 11 8 8 5 2" xfId="6832"/>
    <cellStyle name="Normal 11 8 8 6" xfId="6833"/>
    <cellStyle name="Normal 11 8 8 6 2" xfId="6834"/>
    <cellStyle name="Normal 11 8 8 7" xfId="6835"/>
    <cellStyle name="Normal 11 8 9" xfId="6836"/>
    <cellStyle name="Normal 11 8 9 2" xfId="6837"/>
    <cellStyle name="Normal 11 8 9 2 2" xfId="6838"/>
    <cellStyle name="Normal 11 8 9 2 2 2" xfId="6839"/>
    <cellStyle name="Normal 11 8 9 2 3" xfId="6840"/>
    <cellStyle name="Normal 11 8 9 2 3 2" xfId="6841"/>
    <cellStyle name="Normal 11 8 9 2 4" xfId="6842"/>
    <cellStyle name="Normal 11 8 9 3" xfId="6843"/>
    <cellStyle name="Normal 11 8 9 3 2" xfId="6844"/>
    <cellStyle name="Normal 11 8 9 3 2 2" xfId="6845"/>
    <cellStyle name="Normal 11 8 9 3 3" xfId="6846"/>
    <cellStyle name="Normal 11 8 9 3 3 2" xfId="6847"/>
    <cellStyle name="Normal 11 8 9 3 4" xfId="6848"/>
    <cellStyle name="Normal 11 8 9 4" xfId="6849"/>
    <cellStyle name="Normal 11 8 9 4 2" xfId="6850"/>
    <cellStyle name="Normal 11 8 9 4 2 2" xfId="6851"/>
    <cellStyle name="Normal 11 8 9 4 3" xfId="6852"/>
    <cellStyle name="Normal 11 8 9 4 3 2" xfId="6853"/>
    <cellStyle name="Normal 11 8 9 4 4" xfId="6854"/>
    <cellStyle name="Normal 11 8 9 5" xfId="6855"/>
    <cellStyle name="Normal 11 8 9 5 2" xfId="6856"/>
    <cellStyle name="Normal 11 8 9 6" xfId="6857"/>
    <cellStyle name="Normal 11 8 9 6 2" xfId="6858"/>
    <cellStyle name="Normal 11 8 9 7" xfId="6859"/>
    <cellStyle name="Normal 12" xfId="6860"/>
    <cellStyle name="Normal 12 2" xfId="6861"/>
    <cellStyle name="Normal 12 2 2" xfId="6862"/>
    <cellStyle name="Normal 12 2 3" xfId="6863"/>
    <cellStyle name="Normal 12 2 4" xfId="6864"/>
    <cellStyle name="Normal 12 2 5" xfId="6865"/>
    <cellStyle name="Normal 12 3" xfId="6866"/>
    <cellStyle name="Normal 12 4" xfId="6867"/>
    <cellStyle name="Normal 12 5" xfId="6868"/>
    <cellStyle name="Normal 12 5 2" xfId="6869"/>
    <cellStyle name="Normal 12 5 2 2" xfId="6870"/>
    <cellStyle name="Normal 12 5 2 2 2" xfId="6871"/>
    <cellStyle name="Normal 12 5 2 2 2 2" xfId="6872"/>
    <cellStyle name="Normal 12 5 2 2 3" xfId="6873"/>
    <cellStyle name="Normal 12 5 2 2 3 2" xfId="6874"/>
    <cellStyle name="Normal 12 5 2 2 4" xfId="6875"/>
    <cellStyle name="Normal 12 5 2 3" xfId="6876"/>
    <cellStyle name="Normal 12 5 2 3 2" xfId="6877"/>
    <cellStyle name="Normal 12 5 2 4" xfId="6878"/>
    <cellStyle name="Normal 12 5 2 4 2" xfId="6879"/>
    <cellStyle name="Normal 12 5 2 5" xfId="6880"/>
    <cellStyle name="Normal 12 5 3" xfId="6881"/>
    <cellStyle name="Normal 12 5 3 2" xfId="6882"/>
    <cellStyle name="Normal 12 5 3 2 2" xfId="6883"/>
    <cellStyle name="Normal 12 5 3 2 2 2" xfId="6884"/>
    <cellStyle name="Normal 12 5 3 2 3" xfId="6885"/>
    <cellStyle name="Normal 12 5 3 2 3 2" xfId="6886"/>
    <cellStyle name="Normal 12 5 3 2 4" xfId="6887"/>
    <cellStyle name="Normal 12 5 3 3" xfId="6888"/>
    <cellStyle name="Normal 12 5 3 3 2" xfId="6889"/>
    <cellStyle name="Normal 12 5 3 3 2 2" xfId="6890"/>
    <cellStyle name="Normal 12 5 3 3 3" xfId="6891"/>
    <cellStyle name="Normal 12 5 3 3 3 2" xfId="6892"/>
    <cellStyle name="Normal 12 5 3 3 4" xfId="6893"/>
    <cellStyle name="Normal 12 5 3 4" xfId="6894"/>
    <cellStyle name="Normal 12 5 3 4 2" xfId="6895"/>
    <cellStyle name="Normal 12 5 3 5" xfId="6896"/>
    <cellStyle name="Normal 12 5 3 5 2" xfId="6897"/>
    <cellStyle name="Normal 12 5 3 6" xfId="6898"/>
    <cellStyle name="Normal 12 5 4" xfId="6899"/>
    <cellStyle name="Normal 12 5 4 2" xfId="6900"/>
    <cellStyle name="Normal 12 5 4 2 2" xfId="6901"/>
    <cellStyle name="Normal 12 5 4 3" xfId="6902"/>
    <cellStyle name="Normal 12 5 4 3 2" xfId="6903"/>
    <cellStyle name="Normal 12 5 4 4" xfId="6904"/>
    <cellStyle name="Normal 12 5 5" xfId="6905"/>
    <cellStyle name="Normal 12 5 5 2" xfId="6906"/>
    <cellStyle name="Normal 12 5 6" xfId="6907"/>
    <cellStyle name="Normal 12 5 6 2" xfId="6908"/>
    <cellStyle name="Normal 12 5 7" xfId="6909"/>
    <cellStyle name="Normal 12 6" xfId="6910"/>
    <cellStyle name="Normal 12 6 2" xfId="6911"/>
    <cellStyle name="Normal 12 6 2 2" xfId="6912"/>
    <cellStyle name="Normal 12 6 2 2 2" xfId="6913"/>
    <cellStyle name="Normal 12 6 2 3" xfId="6914"/>
    <cellStyle name="Normal 12 6 2 3 2" xfId="6915"/>
    <cellStyle name="Normal 12 6 2 4" xfId="6916"/>
    <cellStyle name="Normal 12 6 3" xfId="6917"/>
    <cellStyle name="Normal 12 6 3 2" xfId="6918"/>
    <cellStyle name="Normal 12 6 4" xfId="6919"/>
    <cellStyle name="Normal 12 6 4 2" xfId="6920"/>
    <cellStyle name="Normal 12 6 5" xfId="6921"/>
    <cellStyle name="Normal 13" xfId="6922"/>
    <cellStyle name="Normal 13 2" xfId="6923"/>
    <cellStyle name="Normal 13 3" xfId="6924"/>
    <cellStyle name="Normal 13 4" xfId="6925"/>
    <cellStyle name="Normal 13 4 2" xfId="6926"/>
    <cellStyle name="Normal 13 4 2 2" xfId="6927"/>
    <cellStyle name="Normal 13 4 2 2 2" xfId="6928"/>
    <cellStyle name="Normal 13 4 2 2 2 2" xfId="6929"/>
    <cellStyle name="Normal 13 4 2 2 3" xfId="6930"/>
    <cellStyle name="Normal 13 4 2 2 3 2" xfId="6931"/>
    <cellStyle name="Normal 13 4 2 2 4" xfId="6932"/>
    <cellStyle name="Normal 13 4 2 3" xfId="6933"/>
    <cellStyle name="Normal 13 4 2 3 2" xfId="6934"/>
    <cellStyle name="Normal 13 4 2 4" xfId="6935"/>
    <cellStyle name="Normal 13 4 2 4 2" xfId="6936"/>
    <cellStyle name="Normal 13 4 2 5" xfId="6937"/>
    <cellStyle name="Normal 13 4 3" xfId="6938"/>
    <cellStyle name="Normal 13 4 3 2" xfId="6939"/>
    <cellStyle name="Normal 13 4 3 2 2" xfId="6940"/>
    <cellStyle name="Normal 13 4 3 2 2 2" xfId="6941"/>
    <cellStyle name="Normal 13 4 3 2 3" xfId="6942"/>
    <cellStyle name="Normal 13 4 3 2 3 2" xfId="6943"/>
    <cellStyle name="Normal 13 4 3 2 4" xfId="6944"/>
    <cellStyle name="Normal 13 4 3 3" xfId="6945"/>
    <cellStyle name="Normal 13 4 3 3 2" xfId="6946"/>
    <cellStyle name="Normal 13 4 3 3 2 2" xfId="6947"/>
    <cellStyle name="Normal 13 4 3 3 3" xfId="6948"/>
    <cellStyle name="Normal 13 4 3 3 3 2" xfId="6949"/>
    <cellStyle name="Normal 13 4 3 3 4" xfId="6950"/>
    <cellStyle name="Normal 13 4 3 4" xfId="6951"/>
    <cellStyle name="Normal 13 4 3 4 2" xfId="6952"/>
    <cellStyle name="Normal 13 4 3 5" xfId="6953"/>
    <cellStyle name="Normal 13 4 3 5 2" xfId="6954"/>
    <cellStyle name="Normal 13 4 3 6" xfId="6955"/>
    <cellStyle name="Normal 13 4 4" xfId="6956"/>
    <cellStyle name="Normal 13 4 4 2" xfId="6957"/>
    <cellStyle name="Normal 13 4 4 2 2" xfId="6958"/>
    <cellStyle name="Normal 13 4 4 3" xfId="6959"/>
    <cellStyle name="Normal 13 4 4 3 2" xfId="6960"/>
    <cellStyle name="Normal 13 4 4 4" xfId="6961"/>
    <cellStyle name="Normal 13 4 5" xfId="6962"/>
    <cellStyle name="Normal 13 4 5 2" xfId="6963"/>
    <cellStyle name="Normal 13 4 6" xfId="6964"/>
    <cellStyle name="Normal 13 4 6 2" xfId="6965"/>
    <cellStyle name="Normal 13 4 7" xfId="6966"/>
    <cellStyle name="Normal 13 5" xfId="6967"/>
    <cellStyle name="Normal 13 5 2" xfId="6968"/>
    <cellStyle name="Normal 13 5 2 2" xfId="6969"/>
    <cellStyle name="Normal 13 5 2 2 2" xfId="6970"/>
    <cellStyle name="Normal 13 5 2 3" xfId="6971"/>
    <cellStyle name="Normal 13 5 2 3 2" xfId="6972"/>
    <cellStyle name="Normal 13 5 2 4" xfId="6973"/>
    <cellStyle name="Normal 13 5 3" xfId="6974"/>
    <cellStyle name="Normal 13 5 3 2" xfId="6975"/>
    <cellStyle name="Normal 13 5 4" xfId="6976"/>
    <cellStyle name="Normal 13 5 4 2" xfId="6977"/>
    <cellStyle name="Normal 13 5 5" xfId="6978"/>
    <cellStyle name="Normal 14" xfId="6979"/>
    <cellStyle name="Normal 14 2" xfId="6980"/>
    <cellStyle name="Normal 14 3" xfId="6981"/>
    <cellStyle name="Normal 15" xfId="6982"/>
    <cellStyle name="Normal 15 2" xfId="6983"/>
    <cellStyle name="Normal 15 3" xfId="6984"/>
    <cellStyle name="Normal 16" xfId="6985"/>
    <cellStyle name="Normal 16 2" xfId="6986"/>
    <cellStyle name="Normal 16 3" xfId="6987"/>
    <cellStyle name="Normal 17" xfId="6988"/>
    <cellStyle name="Normal 17 2" xfId="6989"/>
    <cellStyle name="Normal 17 3" xfId="6990"/>
    <cellStyle name="Normal 18" xfId="6991"/>
    <cellStyle name="Normal 18 2" xfId="6992"/>
    <cellStyle name="Normal 18 3" xfId="6993"/>
    <cellStyle name="Normal 19" xfId="6994"/>
    <cellStyle name="Normal 19 2" xfId="6995"/>
    <cellStyle name="Normal 19 3" xfId="6996"/>
    <cellStyle name="Normal 2" xfId="6997"/>
    <cellStyle name="Normal 2 10" xfId="6998"/>
    <cellStyle name="Normal 2 10 2" xfId="6999"/>
    <cellStyle name="Normal 2 10 3" xfId="7000"/>
    <cellStyle name="Normal 2 10 4" xfId="7001"/>
    <cellStyle name="Normal 2 11" xfId="7002"/>
    <cellStyle name="Normal 2 11 2" xfId="7003"/>
    <cellStyle name="Normal 2 11 3" xfId="7004"/>
    <cellStyle name="Normal 2 11 4" xfId="7005"/>
    <cellStyle name="Normal 2 11 5" xfId="7006"/>
    <cellStyle name="Normal 2 12" xfId="7007"/>
    <cellStyle name="Normal 2 13" xfId="7008"/>
    <cellStyle name="Normal 2 14" xfId="7009"/>
    <cellStyle name="Normal 2 15" xfId="7010"/>
    <cellStyle name="Normal 2 16" xfId="7011"/>
    <cellStyle name="Normal 2 2" xfId="7012"/>
    <cellStyle name="Normal 2 2 10" xfId="7013"/>
    <cellStyle name="Normal 2 2 11" xfId="7014"/>
    <cellStyle name="Normal 2 2 2" xfId="7015"/>
    <cellStyle name="Normal 2 2 2 2" xfId="7016"/>
    <cellStyle name="Normal 2 2 2 2 2" xfId="7017"/>
    <cellStyle name="Normal 2 2 2 2 2 2" xfId="7018"/>
    <cellStyle name="Normal 2 2 2 2 2 3" xfId="7019"/>
    <cellStyle name="Normal 2 2 2 2 3" xfId="7020"/>
    <cellStyle name="Normal 2 2 2 2 3 2" xfId="7021"/>
    <cellStyle name="Normal 2 2 2 2 4" xfId="7022"/>
    <cellStyle name="Normal 2 2 2 2 5" xfId="7023"/>
    <cellStyle name="Normal 2 2 2 3" xfId="7024"/>
    <cellStyle name="Normal 2 2 2 3 2" xfId="7025"/>
    <cellStyle name="Normal 2 2 2 3 2 2" xfId="7026"/>
    <cellStyle name="Normal 2 2 2 3 2 3" xfId="7027"/>
    <cellStyle name="Normal 2 2 2 3 2 4" xfId="7028"/>
    <cellStyle name="Normal 2 2 2 3 3" xfId="7029"/>
    <cellStyle name="Normal 2 2 2 3 3 2" xfId="7030"/>
    <cellStyle name="Normal 2 2 2 3 3 3" xfId="7031"/>
    <cellStyle name="Normal 2 2 2 3 4" xfId="7032"/>
    <cellStyle name="Normal 2 2 2 3 5" xfId="7033"/>
    <cellStyle name="Normal 2 2 2 3 6" xfId="7034"/>
    <cellStyle name="Normal 2 2 2 4" xfId="7035"/>
    <cellStyle name="Normal 2 2 2 4 2" xfId="7036"/>
    <cellStyle name="Normal 2 2 2 4 3" xfId="7037"/>
    <cellStyle name="Normal 2 2 2 4 4" xfId="7038"/>
    <cellStyle name="Normal 2 2 2 5" xfId="7039"/>
    <cellStyle name="Normal 2 2 2 5 2" xfId="7040"/>
    <cellStyle name="Normal 2 2 2 5 3" xfId="7041"/>
    <cellStyle name="Normal 2 2 2 5 4" xfId="7042"/>
    <cellStyle name="Normal 2 2 2 5 5" xfId="7043"/>
    <cellStyle name="Normal 2 2 2 6" xfId="7044"/>
    <cellStyle name="Normal 2 2 2 7" xfId="7045"/>
    <cellStyle name="Normal 2 2 2 8" xfId="7046"/>
    <cellStyle name="Normal 2 2 3" xfId="7047"/>
    <cellStyle name="Normal 2 2 3 2" xfId="7048"/>
    <cellStyle name="Normal 2 2 3 2 2" xfId="7049"/>
    <cellStyle name="Normal 2 2 3 2 3" xfId="7050"/>
    <cellStyle name="Normal 2 2 3 2 4" xfId="7051"/>
    <cellStyle name="Normal 2 2 3 3" xfId="7052"/>
    <cellStyle name="Normal 2 2 3 3 2" xfId="7053"/>
    <cellStyle name="Normal 2 2 3 3 3" xfId="7054"/>
    <cellStyle name="Normal 2 2 3 4" xfId="7055"/>
    <cellStyle name="Normal 2 2 3 5" xfId="7056"/>
    <cellStyle name="Normal 2 2 3 6" xfId="7057"/>
    <cellStyle name="Normal 2 2 4" xfId="7058"/>
    <cellStyle name="Normal 2 2 4 2" xfId="7059"/>
    <cellStyle name="Normal 2 2 4 2 2" xfId="7060"/>
    <cellStyle name="Normal 2 2 4 2 2 2" xfId="7061"/>
    <cellStyle name="Normal 2 2 4 2 2 3" xfId="7062"/>
    <cellStyle name="Normal 2 2 4 2 3" xfId="7063"/>
    <cellStyle name="Normal 2 2 4 2 4" xfId="7064"/>
    <cellStyle name="Normal 2 2 4 2 5" xfId="7065"/>
    <cellStyle name="Normal 2 2 4 3" xfId="7066"/>
    <cellStyle name="Normal 2 2 4 3 2" xfId="7067"/>
    <cellStyle name="Normal 2 2 4 3 3" xfId="7068"/>
    <cellStyle name="Normal 2 2 4 4" xfId="7069"/>
    <cellStyle name="Normal 2 2 4 5" xfId="7070"/>
    <cellStyle name="Normal 2 2 4 6" xfId="7071"/>
    <cellStyle name="Normal 2 2 5" xfId="7072"/>
    <cellStyle name="Normal 2 2 5 2" xfId="7073"/>
    <cellStyle name="Normal 2 2 5 3" xfId="7074"/>
    <cellStyle name="Normal 2 2 5 4" xfId="7075"/>
    <cellStyle name="Normal 2 2 6" xfId="7076"/>
    <cellStyle name="Normal 2 2 6 2" xfId="7077"/>
    <cellStyle name="Normal 2 2 6 3" xfId="7078"/>
    <cellStyle name="Normal 2 2 6 4" xfId="7079"/>
    <cellStyle name="Normal 2 2 6 5" xfId="7080"/>
    <cellStyle name="Normal 2 2 7" xfId="7081"/>
    <cellStyle name="Normal 2 2 8" xfId="7082"/>
    <cellStyle name="Normal 2 2 9" xfId="7083"/>
    <cellStyle name="Normal 2 3" xfId="7084"/>
    <cellStyle name="Normal 2 3 10" xfId="7085"/>
    <cellStyle name="Normal 2 3 2" xfId="7086"/>
    <cellStyle name="Normal 2 3 2 2" xfId="7087"/>
    <cellStyle name="Normal 2 3 2 2 2" xfId="7088"/>
    <cellStyle name="Normal 2 3 2 2 2 2" xfId="7089"/>
    <cellStyle name="Normal 2 3 2 2 2 2 2" xfId="7090"/>
    <cellStyle name="Normal 2 3 2 2 2 3" xfId="7091"/>
    <cellStyle name="Normal 2 3 2 2 2 4" xfId="7092"/>
    <cellStyle name="Normal 2 3 2 2 2 5" xfId="7093"/>
    <cellStyle name="Normal 2 3 2 2 3" xfId="7094"/>
    <cellStyle name="Normal 2 3 2 2 3 2" xfId="7095"/>
    <cellStyle name="Normal 2 3 2 2 3 2 2" xfId="7096"/>
    <cellStyle name="Normal 2 3 2 2 3 2 3" xfId="7097"/>
    <cellStyle name="Normal 2 3 2 2 3 2 4" xfId="7098"/>
    <cellStyle name="Normal 2 3 2 2 3 3" xfId="7099"/>
    <cellStyle name="Normal 2 3 2 2 3 3 2" xfId="7100"/>
    <cellStyle name="Normal 2 3 2 2 3 3 3" xfId="7101"/>
    <cellStyle name="Normal 2 3 2 2 3 4" xfId="7102"/>
    <cellStyle name="Normal 2 3 2 2 3 5" xfId="7103"/>
    <cellStyle name="Normal 2 3 2 2 3 6" xfId="7104"/>
    <cellStyle name="Normal 2 3 2 2 4" xfId="7105"/>
    <cellStyle name="Normal 2 3 2 2 4 2" xfId="7106"/>
    <cellStyle name="Normal 2 3 2 2 4 3" xfId="7107"/>
    <cellStyle name="Normal 2 3 2 2 4 4" xfId="7108"/>
    <cellStyle name="Normal 2 3 2 2 5" xfId="7109"/>
    <cellStyle name="Normal 2 3 2 2 5 2" xfId="7110"/>
    <cellStyle name="Normal 2 3 2 2 5 3" xfId="7111"/>
    <cellStyle name="Normal 2 3 2 2 6" xfId="7112"/>
    <cellStyle name="Normal 2 3 2 2 7" xfId="7113"/>
    <cellStyle name="Normal 2 3 2 2 8" xfId="7114"/>
    <cellStyle name="Normal 2 3 2 3" xfId="7115"/>
    <cellStyle name="Normal 2 3 2 3 2" xfId="7116"/>
    <cellStyle name="Normal 2 3 2 3 2 2" xfId="7117"/>
    <cellStyle name="Normal 2 3 2 3 2 3" xfId="7118"/>
    <cellStyle name="Normal 2 3 2 3 2 4" xfId="7119"/>
    <cellStyle name="Normal 2 3 2 3 3" xfId="7120"/>
    <cellStyle name="Normal 2 3 2 3 3 2" xfId="7121"/>
    <cellStyle name="Normal 2 3 2 3 3 3" xfId="7122"/>
    <cellStyle name="Normal 2 3 2 3 4" xfId="7123"/>
    <cellStyle name="Normal 2 3 2 3 5" xfId="7124"/>
    <cellStyle name="Normal 2 3 2 3 6" xfId="7125"/>
    <cellStyle name="Normal 2 3 2 4" xfId="7126"/>
    <cellStyle name="Normal 2 3 2 4 2" xfId="7127"/>
    <cellStyle name="Normal 2 3 2 4 2 2" xfId="7128"/>
    <cellStyle name="Normal 2 3 2 4 2 2 2" xfId="7129"/>
    <cellStyle name="Normal 2 3 2 4 2 2 3" xfId="7130"/>
    <cellStyle name="Normal 2 3 2 4 2 3" xfId="7131"/>
    <cellStyle name="Normal 2 3 2 4 2 4" xfId="7132"/>
    <cellStyle name="Normal 2 3 2 4 2 5" xfId="7133"/>
    <cellStyle name="Normal 2 3 2 4 3" xfId="7134"/>
    <cellStyle name="Normal 2 3 2 4 3 2" xfId="7135"/>
    <cellStyle name="Normal 2 3 2 4 3 3" xfId="7136"/>
    <cellStyle name="Normal 2 3 2 4 4" xfId="7137"/>
    <cellStyle name="Normal 2 3 2 4 5" xfId="7138"/>
    <cellStyle name="Normal 2 3 2 4 6" xfId="7139"/>
    <cellStyle name="Normal 2 3 2 5" xfId="7140"/>
    <cellStyle name="Normal 2 3 2 5 2" xfId="7141"/>
    <cellStyle name="Normal 2 3 2 5 3" xfId="7142"/>
    <cellStyle name="Normal 2 3 2 5 4" xfId="7143"/>
    <cellStyle name="Normal 2 3 2 6" xfId="7144"/>
    <cellStyle name="Normal 2 3 2 6 2" xfId="7145"/>
    <cellStyle name="Normal 2 3 2 6 3" xfId="7146"/>
    <cellStyle name="Normal 2 3 2 6 4" xfId="7147"/>
    <cellStyle name="Normal 2 3 2 6 5" xfId="7148"/>
    <cellStyle name="Normal 2 3 2 7" xfId="7149"/>
    <cellStyle name="Normal 2 3 2 8" xfId="7150"/>
    <cellStyle name="Normal 2 3 2 9" xfId="7151"/>
    <cellStyle name="Normal 2 3 3" xfId="7152"/>
    <cellStyle name="Normal 2 3 3 2" xfId="7153"/>
    <cellStyle name="Normal 2 3 3 2 2" xfId="7154"/>
    <cellStyle name="Normal 2 3 3 2 2 2" xfId="7155"/>
    <cellStyle name="Normal 2 3 3 2 3" xfId="7156"/>
    <cellStyle name="Normal 2 3 3 2 4" xfId="7157"/>
    <cellStyle name="Normal 2 3 3 2 5" xfId="7158"/>
    <cellStyle name="Normal 2 3 3 3" xfId="7159"/>
    <cellStyle name="Normal 2 3 3 3 2" xfId="7160"/>
    <cellStyle name="Normal 2 3 3 3 2 2" xfId="7161"/>
    <cellStyle name="Normal 2 3 3 3 2 3" xfId="7162"/>
    <cellStyle name="Normal 2 3 3 3 2 4" xfId="7163"/>
    <cellStyle name="Normal 2 3 3 3 3" xfId="7164"/>
    <cellStyle name="Normal 2 3 3 3 3 2" xfId="7165"/>
    <cellStyle name="Normal 2 3 3 3 3 3" xfId="7166"/>
    <cellStyle name="Normal 2 3 3 3 4" xfId="7167"/>
    <cellStyle name="Normal 2 3 3 3 5" xfId="7168"/>
    <cellStyle name="Normal 2 3 3 3 6" xfId="7169"/>
    <cellStyle name="Normal 2 3 3 4" xfId="7170"/>
    <cellStyle name="Normal 2 3 3 4 2" xfId="7171"/>
    <cellStyle name="Normal 2 3 3 4 3" xfId="7172"/>
    <cellStyle name="Normal 2 3 3 4 4" xfId="7173"/>
    <cellStyle name="Normal 2 3 3 5" xfId="7174"/>
    <cellStyle name="Normal 2 3 3 5 2" xfId="7175"/>
    <cellStyle name="Normal 2 3 3 5 3" xfId="7176"/>
    <cellStyle name="Normal 2 3 3 6" xfId="7177"/>
    <cellStyle name="Normal 2 3 3 7" xfId="7178"/>
    <cellStyle name="Normal 2 3 3 8" xfId="7179"/>
    <cellStyle name="Normal 2 3 4" xfId="7180"/>
    <cellStyle name="Normal 2 3 4 2" xfId="7181"/>
    <cellStyle name="Normal 2 3 4 2 2" xfId="7182"/>
    <cellStyle name="Normal 2 3 4 2 3" xfId="7183"/>
    <cellStyle name="Normal 2 3 4 2 4" xfId="7184"/>
    <cellStyle name="Normal 2 3 4 3" xfId="7185"/>
    <cellStyle name="Normal 2 3 4 3 2" xfId="7186"/>
    <cellStyle name="Normal 2 3 4 3 3" xfId="7187"/>
    <cellStyle name="Normal 2 3 4 4" xfId="7188"/>
    <cellStyle name="Normal 2 3 4 5" xfId="7189"/>
    <cellStyle name="Normal 2 3 4 6" xfId="7190"/>
    <cellStyle name="Normal 2 3 5" xfId="7191"/>
    <cellStyle name="Normal 2 3 5 2" xfId="7192"/>
    <cellStyle name="Normal 2 3 5 2 2" xfId="7193"/>
    <cellStyle name="Normal 2 3 5 2 2 2" xfId="7194"/>
    <cellStyle name="Normal 2 3 5 2 2 3" xfId="7195"/>
    <cellStyle name="Normal 2 3 5 2 3" xfId="7196"/>
    <cellStyle name="Normal 2 3 5 2 4" xfId="7197"/>
    <cellStyle name="Normal 2 3 5 2 5" xfId="7198"/>
    <cellStyle name="Normal 2 3 5 3" xfId="7199"/>
    <cellStyle name="Normal 2 3 5 3 2" xfId="7200"/>
    <cellStyle name="Normal 2 3 5 3 3" xfId="7201"/>
    <cellStyle name="Normal 2 3 5 4" xfId="7202"/>
    <cellStyle name="Normal 2 3 5 5" xfId="7203"/>
    <cellStyle name="Normal 2 3 5 6" xfId="7204"/>
    <cellStyle name="Normal 2 3 6" xfId="7205"/>
    <cellStyle name="Normal 2 3 6 2" xfId="7206"/>
    <cellStyle name="Normal 2 3 6 3" xfId="7207"/>
    <cellStyle name="Normal 2 3 6 4" xfId="7208"/>
    <cellStyle name="Normal 2 3 7" xfId="7209"/>
    <cellStyle name="Normal 2 3 7 2" xfId="7210"/>
    <cellStyle name="Normal 2 3 7 3" xfId="7211"/>
    <cellStyle name="Normal 2 3 7 4" xfId="7212"/>
    <cellStyle name="Normal 2 3 7 5" xfId="7213"/>
    <cellStyle name="Normal 2 3 8" xfId="7214"/>
    <cellStyle name="Normal 2 3 9" xfId="7215"/>
    <cellStyle name="Normal 2 3_(01-03) C-SCADA_UserManagement_ST_Testcase" xfId="7216"/>
    <cellStyle name="Normal 2 4" xfId="7217"/>
    <cellStyle name="Normal 2 4 2" xfId="7218"/>
    <cellStyle name="Normal 2 4 2 2" xfId="7219"/>
    <cellStyle name="Normal 2 4 2 2 2" xfId="7220"/>
    <cellStyle name="Normal 2 4 2 2 2 2" xfId="7221"/>
    <cellStyle name="Normal 2 4 2 2 3" xfId="7222"/>
    <cellStyle name="Normal 2 4 2 2 4" xfId="7223"/>
    <cellStyle name="Normal 2 4 2 2 5" xfId="7224"/>
    <cellStyle name="Normal 2 4 2 3" xfId="7225"/>
    <cellStyle name="Normal 2 4 2 3 2" xfId="7226"/>
    <cellStyle name="Normal 2 4 2 3 2 2" xfId="7227"/>
    <cellStyle name="Normal 2 4 2 3 2 3" xfId="7228"/>
    <cellStyle name="Normal 2 4 2 3 2 4" xfId="7229"/>
    <cellStyle name="Normal 2 4 2 3 3" xfId="7230"/>
    <cellStyle name="Normal 2 4 2 3 3 2" xfId="7231"/>
    <cellStyle name="Normal 2 4 2 3 3 3" xfId="7232"/>
    <cellStyle name="Normal 2 4 2 3 4" xfId="7233"/>
    <cellStyle name="Normal 2 4 2 3 5" xfId="7234"/>
    <cellStyle name="Normal 2 4 2 3 6" xfId="7235"/>
    <cellStyle name="Normal 2 4 2 4" xfId="7236"/>
    <cellStyle name="Normal 2 4 2 4 2" xfId="7237"/>
    <cellStyle name="Normal 2 4 2 4 3" xfId="7238"/>
    <cellStyle name="Normal 2 4 2 4 4" xfId="7239"/>
    <cellStyle name="Normal 2 4 2 5" xfId="7240"/>
    <cellStyle name="Normal 2 4 2 5 2" xfId="7241"/>
    <cellStyle name="Normal 2 4 2 5 3" xfId="7242"/>
    <cellStyle name="Normal 2 4 2 6" xfId="7243"/>
    <cellStyle name="Normal 2 4 2 7" xfId="7244"/>
    <cellStyle name="Normal 2 4 2 8" xfId="7245"/>
    <cellStyle name="Normal 2 4 3" xfId="7246"/>
    <cellStyle name="Normal 2 4 3 2" xfId="7247"/>
    <cellStyle name="Normal 2 4 3 2 2" xfId="7248"/>
    <cellStyle name="Normal 2 4 3 2 3" xfId="7249"/>
    <cellStyle name="Normal 2 4 3 2 4" xfId="7250"/>
    <cellStyle name="Normal 2 4 3 3" xfId="7251"/>
    <cellStyle name="Normal 2 4 3 3 2" xfId="7252"/>
    <cellStyle name="Normal 2 4 3 3 3" xfId="7253"/>
    <cellStyle name="Normal 2 4 3 4" xfId="7254"/>
    <cellStyle name="Normal 2 4 3 5" xfId="7255"/>
    <cellStyle name="Normal 2 4 3 6" xfId="7256"/>
    <cellStyle name="Normal 2 4 4" xfId="7257"/>
    <cellStyle name="Normal 2 4 4 2" xfId="7258"/>
    <cellStyle name="Normal 2 4 4 2 2" xfId="7259"/>
    <cellStyle name="Normal 2 4 4 2 2 2" xfId="7260"/>
    <cellStyle name="Normal 2 4 4 2 2 3" xfId="7261"/>
    <cellStyle name="Normal 2 4 4 2 3" xfId="7262"/>
    <cellStyle name="Normal 2 4 4 2 4" xfId="7263"/>
    <cellStyle name="Normal 2 4 4 2 5" xfId="7264"/>
    <cellStyle name="Normal 2 4 4 3" xfId="7265"/>
    <cellStyle name="Normal 2 4 4 3 2" xfId="7266"/>
    <cellStyle name="Normal 2 4 4 3 3" xfId="7267"/>
    <cellStyle name="Normal 2 4 4 4" xfId="7268"/>
    <cellStyle name="Normal 2 4 4 5" xfId="7269"/>
    <cellStyle name="Normal 2 4 4 6" xfId="7270"/>
    <cellStyle name="Normal 2 4 5" xfId="7271"/>
    <cellStyle name="Normal 2 4 5 2" xfId="7272"/>
    <cellStyle name="Normal 2 4 5 3" xfId="7273"/>
    <cellStyle name="Normal 2 4 5 4" xfId="7274"/>
    <cellStyle name="Normal 2 4 6" xfId="7275"/>
    <cellStyle name="Normal 2 4 6 2" xfId="7276"/>
    <cellStyle name="Normal 2 4 6 3" xfId="7277"/>
    <cellStyle name="Normal 2 4 6 4" xfId="7278"/>
    <cellStyle name="Normal 2 4 6 5" xfId="7279"/>
    <cellStyle name="Normal 2 4 7" xfId="7280"/>
    <cellStyle name="Normal 2 4 8" xfId="7281"/>
    <cellStyle name="Normal 2 4 9" xfId="7282"/>
    <cellStyle name="Normal 2 5" xfId="7283"/>
    <cellStyle name="Normal 2 5 2" xfId="7284"/>
    <cellStyle name="Normal 2 5 2 2" xfId="7285"/>
    <cellStyle name="Normal 2 5 2 2 2" xfId="7286"/>
    <cellStyle name="Normal 2 5 2 2 3" xfId="7287"/>
    <cellStyle name="Normal 2 5 2 2 4" xfId="7288"/>
    <cellStyle name="Normal 2 5 2 3" xfId="7289"/>
    <cellStyle name="Normal 2 5 2 4" xfId="7290"/>
    <cellStyle name="Normal 2 5 2 5" xfId="7291"/>
    <cellStyle name="Normal 2 5 3" xfId="7292"/>
    <cellStyle name="Normal 2 5 3 2" xfId="7293"/>
    <cellStyle name="Normal 2 5 3 2 2" xfId="7294"/>
    <cellStyle name="Normal 2 5 3 2 3" xfId="7295"/>
    <cellStyle name="Normal 2 5 3 2 4" xfId="7296"/>
    <cellStyle name="Normal 2 5 3 3" xfId="7297"/>
    <cellStyle name="Normal 2 5 3 3 2" xfId="7298"/>
    <cellStyle name="Normal 2 5 3 3 3" xfId="7299"/>
    <cellStyle name="Normal 2 5 3 4" xfId="7300"/>
    <cellStyle name="Normal 2 5 3 5" xfId="7301"/>
    <cellStyle name="Normal 2 5 3 6" xfId="7302"/>
    <cellStyle name="Normal 2 5 4" xfId="7303"/>
    <cellStyle name="Normal 2 5 4 2" xfId="7304"/>
    <cellStyle name="Normal 2 5 4 3" xfId="7305"/>
    <cellStyle name="Normal 2 5 4 4" xfId="7306"/>
    <cellStyle name="Normal 2 5 4 4 2" xfId="7307"/>
    <cellStyle name="Normal 2 5 4 4 2 2" xfId="7308"/>
    <cellStyle name="Normal 2 5 4 4 2 2 2" xfId="7309"/>
    <cellStyle name="Normal 2 5 4 4 2 2 2 2" xfId="7310"/>
    <cellStyle name="Normal 2 5 4 4 2 2 3" xfId="7311"/>
    <cellStyle name="Normal 2 5 4 4 2 2 3 2" xfId="7312"/>
    <cellStyle name="Normal 2 5 4 4 2 2 4" xfId="7313"/>
    <cellStyle name="Normal 2 5 4 4 2 3" xfId="7314"/>
    <cellStyle name="Normal 2 5 4 4 2 3 2" xfId="7315"/>
    <cellStyle name="Normal 2 5 4 4 2 4" xfId="7316"/>
    <cellStyle name="Normal 2 5 4 4 2 4 2" xfId="7317"/>
    <cellStyle name="Normal 2 5 4 4 2 5" xfId="7318"/>
    <cellStyle name="Normal 2 5 4 4 3" xfId="7319"/>
    <cellStyle name="Normal 2 5 4 4 3 2" xfId="7320"/>
    <cellStyle name="Normal 2 5 4 4 3 2 2" xfId="7321"/>
    <cellStyle name="Normal 2 5 4 4 3 2 2 2" xfId="7322"/>
    <cellStyle name="Normal 2 5 4 4 3 2 3" xfId="7323"/>
    <cellStyle name="Normal 2 5 4 4 3 2 3 2" xfId="7324"/>
    <cellStyle name="Normal 2 5 4 4 3 2 4" xfId="7325"/>
    <cellStyle name="Normal 2 5 4 4 3 3" xfId="7326"/>
    <cellStyle name="Normal 2 5 4 4 3 3 2" xfId="7327"/>
    <cellStyle name="Normal 2 5 4 4 3 3 2 2" xfId="7328"/>
    <cellStyle name="Normal 2 5 4 4 3 3 3" xfId="7329"/>
    <cellStyle name="Normal 2 5 4 4 3 3 3 2" xfId="7330"/>
    <cellStyle name="Normal 2 5 4 4 3 3 4" xfId="7331"/>
    <cellStyle name="Normal 2 5 4 4 3 4" xfId="7332"/>
    <cellStyle name="Normal 2 5 4 4 3 4 2" xfId="7333"/>
    <cellStyle name="Normal 2 5 4 4 3 5" xfId="7334"/>
    <cellStyle name="Normal 2 5 4 4 3 5 2" xfId="7335"/>
    <cellStyle name="Normal 2 5 4 4 3 6" xfId="7336"/>
    <cellStyle name="Normal 2 5 4 4 4" xfId="7337"/>
    <cellStyle name="Normal 2 5 4 4 4 2" xfId="7338"/>
    <cellStyle name="Normal 2 5 4 4 4 2 2" xfId="7339"/>
    <cellStyle name="Normal 2 5 4 4 4 3" xfId="7340"/>
    <cellStyle name="Normal 2 5 4 4 4 3 2" xfId="7341"/>
    <cellStyle name="Normal 2 5 4 4 4 4" xfId="7342"/>
    <cellStyle name="Normal 2 5 4 4 5" xfId="7343"/>
    <cellStyle name="Normal 2 5 4 4 5 2" xfId="7344"/>
    <cellStyle name="Normal 2 5 4 4 6" xfId="7345"/>
    <cellStyle name="Normal 2 5 4 4 6 2" xfId="7346"/>
    <cellStyle name="Normal 2 5 4 4 7" xfId="7347"/>
    <cellStyle name="Normal 2 5 4 5" xfId="7348"/>
    <cellStyle name="Normal 2 5 4 5 2" xfId="7349"/>
    <cellStyle name="Normal 2 5 4 5 2 2" xfId="7350"/>
    <cellStyle name="Normal 2 5 4 5 2 2 2" xfId="7351"/>
    <cellStyle name="Normal 2 5 4 5 2 3" xfId="7352"/>
    <cellStyle name="Normal 2 5 4 5 2 3 2" xfId="7353"/>
    <cellStyle name="Normal 2 5 4 5 2 4" xfId="7354"/>
    <cellStyle name="Normal 2 5 4 5 3" xfId="7355"/>
    <cellStyle name="Normal 2 5 4 5 3 2" xfId="7356"/>
    <cellStyle name="Normal 2 5 4 5 4" xfId="7357"/>
    <cellStyle name="Normal 2 5 4 5 4 2" xfId="7358"/>
    <cellStyle name="Normal 2 5 4 5 5" xfId="7359"/>
    <cellStyle name="Normal 2 5 5" xfId="7360"/>
    <cellStyle name="Normal 2 5 5 2" xfId="7361"/>
    <cellStyle name="Normal 2 5 5 3" xfId="7362"/>
    <cellStyle name="Normal 2 5 6" xfId="7363"/>
    <cellStyle name="Normal 2 5 7" xfId="7364"/>
    <cellStyle name="Normal 2 5 8" xfId="7365"/>
    <cellStyle name="Normal 2 5 9" xfId="7366"/>
    <cellStyle name="Normal 2 6" xfId="7367"/>
    <cellStyle name="Normal 2 6 10" xfId="7368"/>
    <cellStyle name="Normal 2 6 2" xfId="7369"/>
    <cellStyle name="Normal 2 6 2 2" xfId="7370"/>
    <cellStyle name="Normal 2 6 2 2 2" xfId="7371"/>
    <cellStyle name="Normal 2 6 2 2 2 2" xfId="7372"/>
    <cellStyle name="Normal 2 6 2 2 2 3" xfId="7373"/>
    <cellStyle name="Normal 2 6 2 2 2 4" xfId="7374"/>
    <cellStyle name="Normal 2 6 2 2 3" xfId="7375"/>
    <cellStyle name="Normal 2 6 2 2 3 2" xfId="7376"/>
    <cellStyle name="Normal 2 6 2 2 3 3" xfId="7377"/>
    <cellStyle name="Normal 2 6 2 2 4" xfId="7378"/>
    <cellStyle name="Normal 2 6 2 2 5" xfId="7379"/>
    <cellStyle name="Normal 2 6 2 2 6" xfId="7380"/>
    <cellStyle name="Normal 2 6 2 3" xfId="7381"/>
    <cellStyle name="Normal 2 6 2 3 2" xfId="7382"/>
    <cellStyle name="Normal 2 6 2 3 2 2" xfId="7383"/>
    <cellStyle name="Normal 2 6 2 3 2 3" xfId="7384"/>
    <cellStyle name="Normal 2 6 2 3 2 4" xfId="7385"/>
    <cellStyle name="Normal 2 6 2 3 3" xfId="7386"/>
    <cellStyle name="Normal 2 6 2 3 3 2" xfId="7387"/>
    <cellStyle name="Normal 2 6 2 3 3 3" xfId="7388"/>
    <cellStyle name="Normal 2 6 2 3 4" xfId="7389"/>
    <cellStyle name="Normal 2 6 2 3 5" xfId="7390"/>
    <cellStyle name="Normal 2 6 2 3 6" xfId="7391"/>
    <cellStyle name="Normal 2 6 2 4" xfId="7392"/>
    <cellStyle name="Normal 2 6 2 4 2" xfId="7393"/>
    <cellStyle name="Normal 2 6 2 4 3" xfId="7394"/>
    <cellStyle name="Normal 2 6 2 4 4" xfId="7395"/>
    <cellStyle name="Normal 2 6 2 5" xfId="7396"/>
    <cellStyle name="Normal 2 6 2 5 2" xfId="7397"/>
    <cellStyle name="Normal 2 6 2 5 3" xfId="7398"/>
    <cellStyle name="Normal 2 6 2 6" xfId="7399"/>
    <cellStyle name="Normal 2 6 2 7" xfId="7400"/>
    <cellStyle name="Normal 2 6 2 8" xfId="7401"/>
    <cellStyle name="Normal 2 6 3" xfId="7402"/>
    <cellStyle name="Normal 2 6 3 2" xfId="7403"/>
    <cellStyle name="Normal 2 6 3 2 2" xfId="7404"/>
    <cellStyle name="Normal 2 6 3 2 3" xfId="7405"/>
    <cellStyle name="Normal 2 6 3 2 4" xfId="7406"/>
    <cellStyle name="Normal 2 6 3 3" xfId="7407"/>
    <cellStyle name="Normal 2 6 3 3 2" xfId="7408"/>
    <cellStyle name="Normal 2 6 3 3 3" xfId="7409"/>
    <cellStyle name="Normal 2 6 3 4" xfId="7410"/>
    <cellStyle name="Normal 2 6 3 5" xfId="7411"/>
    <cellStyle name="Normal 2 6 3 6" xfId="7412"/>
    <cellStyle name="Normal 2 6 4" xfId="7413"/>
    <cellStyle name="Normal 2 6 4 2" xfId="7414"/>
    <cellStyle name="Normal 2 6 4 2 2" xfId="7415"/>
    <cellStyle name="Normal 2 6 4 2 3" xfId="7416"/>
    <cellStyle name="Normal 2 6 4 2 4" xfId="7417"/>
    <cellStyle name="Normal 2 6 4 3" xfId="7418"/>
    <cellStyle name="Normal 2 6 4 3 2" xfId="7419"/>
    <cellStyle name="Normal 2 6 4 3 3" xfId="7420"/>
    <cellStyle name="Normal 2 6 4 4" xfId="7421"/>
    <cellStyle name="Normal 2 6 4 5" xfId="7422"/>
    <cellStyle name="Normal 2 6 4 6" xfId="7423"/>
    <cellStyle name="Normal 2 6 5" xfId="7424"/>
    <cellStyle name="Normal 2 6 5 2" xfId="7425"/>
    <cellStyle name="Normal 2 6 5 3" xfId="7426"/>
    <cellStyle name="Normal 2 6 5 4" xfId="7427"/>
    <cellStyle name="Normal 2 6 6" xfId="7428"/>
    <cellStyle name="Normal 2 6 6 2" xfId="7429"/>
    <cellStyle name="Normal 2 6 6 3" xfId="7430"/>
    <cellStyle name="Normal 2 6 7" xfId="7431"/>
    <cellStyle name="Normal 2 6 8" xfId="7432"/>
    <cellStyle name="Normal 2 6 9" xfId="7433"/>
    <cellStyle name="Normal 2 7" xfId="7434"/>
    <cellStyle name="Normal 2 7 2" xfId="7435"/>
    <cellStyle name="Normal 2 7 2 2" xfId="7436"/>
    <cellStyle name="Normal 2 7 2 2 2" xfId="7437"/>
    <cellStyle name="Normal 2 7 2 2 3" xfId="7438"/>
    <cellStyle name="Normal 2 7 2 3" xfId="7439"/>
    <cellStyle name="Normal 2 7 2 4" xfId="7440"/>
    <cellStyle name="Normal 2 7 2 5" xfId="7441"/>
    <cellStyle name="Normal 2 7 3" xfId="7442"/>
    <cellStyle name="Normal 2 7 3 2" xfId="7443"/>
    <cellStyle name="Normal 2 7 3 3" xfId="7444"/>
    <cellStyle name="Normal 2 7 4" xfId="7445"/>
    <cellStyle name="Normal 2 7 5" xfId="7446"/>
    <cellStyle name="Normal 2 7 6" xfId="7447"/>
    <cellStyle name="Normal 2 7 7" xfId="12411"/>
    <cellStyle name="Normal 2 8" xfId="7448"/>
    <cellStyle name="Normal 2 8 2" xfId="7449"/>
    <cellStyle name="Normal 2 8 2 2" xfId="7450"/>
    <cellStyle name="Normal 2 8 2 3" xfId="7451"/>
    <cellStyle name="Normal 2 8 2 4" xfId="7452"/>
    <cellStyle name="Normal 2 8 3" xfId="7453"/>
    <cellStyle name="Normal 2 8 3 2" xfId="7454"/>
    <cellStyle name="Normal 2 8 3 3" xfId="7455"/>
    <cellStyle name="Normal 2 8 4" xfId="7456"/>
    <cellStyle name="Normal 2 8 5" xfId="7457"/>
    <cellStyle name="Normal 2 8 6" xfId="7458"/>
    <cellStyle name="Normal 2 8 7" xfId="12413"/>
    <cellStyle name="Normal 2 9" xfId="7459"/>
    <cellStyle name="Normal 2 9 2" xfId="7460"/>
    <cellStyle name="Normal 2 9 2 2" xfId="7461"/>
    <cellStyle name="Normal 2 9 2 3" xfId="7462"/>
    <cellStyle name="Normal 2 9 2 4" xfId="7463"/>
    <cellStyle name="Normal 2 9 3" xfId="7464"/>
    <cellStyle name="Normal 2 9 3 2" xfId="7465"/>
    <cellStyle name="Normal 2 9 3 3" xfId="7466"/>
    <cellStyle name="Normal 2 9 4" xfId="7467"/>
    <cellStyle name="Normal 2 9 5" xfId="7468"/>
    <cellStyle name="Normal 2 9 6" xfId="7469"/>
    <cellStyle name="Normal 2_(01-03) C-SCADA_UserManagement_ST_Testcase" xfId="7470"/>
    <cellStyle name="Normal 20" xfId="7471"/>
    <cellStyle name="Normal 20 2" xfId="7472"/>
    <cellStyle name="Normal 20 3" xfId="7473"/>
    <cellStyle name="Normal 21" xfId="7474"/>
    <cellStyle name="Normal 21 2" xfId="7475"/>
    <cellStyle name="Normal 21 3" xfId="7476"/>
    <cellStyle name="Normal 22" xfId="7477"/>
    <cellStyle name="Normal 22 2" xfId="7478"/>
    <cellStyle name="Normal 22 3" xfId="7479"/>
    <cellStyle name="Normal 23" xfId="7480"/>
    <cellStyle name="Normal 23 2" xfId="7481"/>
    <cellStyle name="Normal 23 3" xfId="7482"/>
    <cellStyle name="Normal 24" xfId="7483"/>
    <cellStyle name="Normal 24 2" xfId="7484"/>
    <cellStyle name="Normal 24 3" xfId="7485"/>
    <cellStyle name="Normal 25" xfId="7486"/>
    <cellStyle name="Normal 25 2" xfId="7487"/>
    <cellStyle name="Normal 25 3" xfId="7488"/>
    <cellStyle name="Normal 26" xfId="4"/>
    <cellStyle name="Normal 26 2" xfId="7489"/>
    <cellStyle name="Normal 26 3" xfId="7490"/>
    <cellStyle name="Normal 26 4" xfId="7491"/>
    <cellStyle name="Normal 27" xfId="7492"/>
    <cellStyle name="Normal 27 10" xfId="7493"/>
    <cellStyle name="Normal 27 10 2" xfId="7494"/>
    <cellStyle name="Normal 27 11" xfId="7495"/>
    <cellStyle name="Normal 27 2" xfId="7496"/>
    <cellStyle name="Normal 27 2 2" xfId="7497"/>
    <cellStyle name="Normal 27 2 2 2" xfId="7498"/>
    <cellStyle name="Normal 27 2 2 2 2" xfId="7499"/>
    <cellStyle name="Normal 27 2 2 2 2 2" xfId="7500"/>
    <cellStyle name="Normal 27 2 2 2 3" xfId="7501"/>
    <cellStyle name="Normal 27 2 2 2 3 2" xfId="7502"/>
    <cellStyle name="Normal 27 2 2 2 4" xfId="7503"/>
    <cellStyle name="Normal 27 2 2 3" xfId="7504"/>
    <cellStyle name="Normal 27 2 2 3 2" xfId="7505"/>
    <cellStyle name="Normal 27 2 2 4" xfId="7506"/>
    <cellStyle name="Normal 27 2 2 4 2" xfId="7507"/>
    <cellStyle name="Normal 27 2 2 5" xfId="7508"/>
    <cellStyle name="Normal 27 2 3" xfId="7509"/>
    <cellStyle name="Normal 27 2 3 2" xfId="7510"/>
    <cellStyle name="Normal 27 2 3 2 2" xfId="7511"/>
    <cellStyle name="Normal 27 2 3 2 2 2" xfId="7512"/>
    <cellStyle name="Normal 27 2 3 2 3" xfId="7513"/>
    <cellStyle name="Normal 27 2 3 2 3 2" xfId="7514"/>
    <cellStyle name="Normal 27 2 3 2 4" xfId="7515"/>
    <cellStyle name="Normal 27 2 3 3" xfId="7516"/>
    <cellStyle name="Normal 27 2 3 3 2" xfId="7517"/>
    <cellStyle name="Normal 27 2 3 3 2 2" xfId="7518"/>
    <cellStyle name="Normal 27 2 3 3 3" xfId="7519"/>
    <cellStyle name="Normal 27 2 3 3 3 2" xfId="7520"/>
    <cellStyle name="Normal 27 2 3 3 4" xfId="7521"/>
    <cellStyle name="Normal 27 2 3 4" xfId="7522"/>
    <cellStyle name="Normal 27 2 3 4 2" xfId="7523"/>
    <cellStyle name="Normal 27 2 3 5" xfId="7524"/>
    <cellStyle name="Normal 27 2 3 5 2" xfId="7525"/>
    <cellStyle name="Normal 27 2 3 6" xfId="7526"/>
    <cellStyle name="Normal 27 2 4" xfId="7527"/>
    <cellStyle name="Normal 27 2 4 2" xfId="7528"/>
    <cellStyle name="Normal 27 2 4 2 2" xfId="7529"/>
    <cellStyle name="Normal 27 2 4 3" xfId="7530"/>
    <cellStyle name="Normal 27 2 4 3 2" xfId="7531"/>
    <cellStyle name="Normal 27 2 4 4" xfId="7532"/>
    <cellStyle name="Normal 27 2 5" xfId="7533"/>
    <cellStyle name="Normal 27 2 5 2" xfId="7534"/>
    <cellStyle name="Normal 27 2 6" xfId="7535"/>
    <cellStyle name="Normal 27 2 6 2" xfId="7536"/>
    <cellStyle name="Normal 27 2 7" xfId="7537"/>
    <cellStyle name="Normal 27 3" xfId="7538"/>
    <cellStyle name="Normal 27 3 2" xfId="7539"/>
    <cellStyle name="Normal 27 3 2 2" xfId="7540"/>
    <cellStyle name="Normal 27 3 2 2 2" xfId="7541"/>
    <cellStyle name="Normal 27 3 2 2 2 2" xfId="7542"/>
    <cellStyle name="Normal 27 3 2 2 3" xfId="7543"/>
    <cellStyle name="Normal 27 3 2 2 3 2" xfId="7544"/>
    <cellStyle name="Normal 27 3 2 2 4" xfId="7545"/>
    <cellStyle name="Normal 27 3 2 3" xfId="7546"/>
    <cellStyle name="Normal 27 3 2 3 2" xfId="7547"/>
    <cellStyle name="Normal 27 3 2 4" xfId="7548"/>
    <cellStyle name="Normal 27 3 2 4 2" xfId="7549"/>
    <cellStyle name="Normal 27 3 2 5" xfId="7550"/>
    <cellStyle name="Normal 27 3 3" xfId="7551"/>
    <cellStyle name="Normal 27 3 3 2" xfId="7552"/>
    <cellStyle name="Normal 27 3 3 2 2" xfId="7553"/>
    <cellStyle name="Normal 27 3 3 2 2 2" xfId="7554"/>
    <cellStyle name="Normal 27 3 3 2 3" xfId="7555"/>
    <cellStyle name="Normal 27 3 3 2 3 2" xfId="7556"/>
    <cellStyle name="Normal 27 3 3 2 4" xfId="7557"/>
    <cellStyle name="Normal 27 3 3 3" xfId="7558"/>
    <cellStyle name="Normal 27 3 3 3 2" xfId="7559"/>
    <cellStyle name="Normal 27 3 3 3 2 2" xfId="7560"/>
    <cellStyle name="Normal 27 3 3 3 3" xfId="7561"/>
    <cellStyle name="Normal 27 3 3 3 3 2" xfId="7562"/>
    <cellStyle name="Normal 27 3 3 3 4" xfId="7563"/>
    <cellStyle name="Normal 27 3 3 4" xfId="7564"/>
    <cellStyle name="Normal 27 3 3 4 2" xfId="7565"/>
    <cellStyle name="Normal 27 3 3 5" xfId="7566"/>
    <cellStyle name="Normal 27 3 3 5 2" xfId="7567"/>
    <cellStyle name="Normal 27 3 3 6" xfId="7568"/>
    <cellStyle name="Normal 27 3 4" xfId="7569"/>
    <cellStyle name="Normal 27 3 4 2" xfId="7570"/>
    <cellStyle name="Normal 27 3 4 2 2" xfId="7571"/>
    <cellStyle name="Normal 27 3 4 3" xfId="7572"/>
    <cellStyle name="Normal 27 3 4 3 2" xfId="7573"/>
    <cellStyle name="Normal 27 3 4 4" xfId="7574"/>
    <cellStyle name="Normal 27 3 5" xfId="7575"/>
    <cellStyle name="Normal 27 3 5 2" xfId="7576"/>
    <cellStyle name="Normal 27 3 6" xfId="7577"/>
    <cellStyle name="Normal 27 3 6 2" xfId="7578"/>
    <cellStyle name="Normal 27 3 7" xfId="7579"/>
    <cellStyle name="Normal 27 4" xfId="7580"/>
    <cellStyle name="Normal 27 4 2" xfId="7581"/>
    <cellStyle name="Normal 27 4 2 2" xfId="7582"/>
    <cellStyle name="Normal 27 4 2 2 2" xfId="7583"/>
    <cellStyle name="Normal 27 4 2 2 2 2" xfId="7584"/>
    <cellStyle name="Normal 27 4 2 2 3" xfId="7585"/>
    <cellStyle name="Normal 27 4 2 2 3 2" xfId="7586"/>
    <cellStyle name="Normal 27 4 2 2 4" xfId="7587"/>
    <cellStyle name="Normal 27 4 2 3" xfId="7588"/>
    <cellStyle name="Normal 27 4 2 3 2" xfId="7589"/>
    <cellStyle name="Normal 27 4 2 4" xfId="7590"/>
    <cellStyle name="Normal 27 4 2 4 2" xfId="7591"/>
    <cellStyle name="Normal 27 4 2 5" xfId="7592"/>
    <cellStyle name="Normal 27 4 3" xfId="7593"/>
    <cellStyle name="Normal 27 4 3 2" xfId="7594"/>
    <cellStyle name="Normal 27 4 3 2 2" xfId="7595"/>
    <cellStyle name="Normal 27 4 3 2 2 2" xfId="7596"/>
    <cellStyle name="Normal 27 4 3 2 3" xfId="7597"/>
    <cellStyle name="Normal 27 4 3 2 3 2" xfId="7598"/>
    <cellStyle name="Normal 27 4 3 2 4" xfId="7599"/>
    <cellStyle name="Normal 27 4 3 3" xfId="7600"/>
    <cellStyle name="Normal 27 4 3 3 2" xfId="7601"/>
    <cellStyle name="Normal 27 4 3 3 2 2" xfId="7602"/>
    <cellStyle name="Normal 27 4 3 3 3" xfId="7603"/>
    <cellStyle name="Normal 27 4 3 3 3 2" xfId="7604"/>
    <cellStyle name="Normal 27 4 3 3 4" xfId="7605"/>
    <cellStyle name="Normal 27 4 3 4" xfId="7606"/>
    <cellStyle name="Normal 27 4 3 4 2" xfId="7607"/>
    <cellStyle name="Normal 27 4 3 5" xfId="7608"/>
    <cellStyle name="Normal 27 4 3 5 2" xfId="7609"/>
    <cellStyle name="Normal 27 4 3 6" xfId="7610"/>
    <cellStyle name="Normal 27 4 4" xfId="7611"/>
    <cellStyle name="Normal 27 4 4 2" xfId="7612"/>
    <cellStyle name="Normal 27 4 4 2 2" xfId="7613"/>
    <cellStyle name="Normal 27 4 4 3" xfId="7614"/>
    <cellStyle name="Normal 27 4 4 3 2" xfId="7615"/>
    <cellStyle name="Normal 27 4 4 4" xfId="7616"/>
    <cellStyle name="Normal 27 4 5" xfId="7617"/>
    <cellStyle name="Normal 27 4 5 2" xfId="7618"/>
    <cellStyle name="Normal 27 4 6" xfId="7619"/>
    <cellStyle name="Normal 27 4 6 2" xfId="7620"/>
    <cellStyle name="Normal 27 4 7" xfId="7621"/>
    <cellStyle name="Normal 27 5" xfId="7622"/>
    <cellStyle name="Normal 27 5 2" xfId="7623"/>
    <cellStyle name="Normal 27 5 2 2" xfId="7624"/>
    <cellStyle name="Normal 27 5 2 2 2" xfId="7625"/>
    <cellStyle name="Normal 27 5 2 2 2 2" xfId="7626"/>
    <cellStyle name="Normal 27 5 2 2 3" xfId="7627"/>
    <cellStyle name="Normal 27 5 2 2 3 2" xfId="7628"/>
    <cellStyle name="Normal 27 5 2 2 4" xfId="7629"/>
    <cellStyle name="Normal 27 5 2 3" xfId="7630"/>
    <cellStyle name="Normal 27 5 2 3 2" xfId="7631"/>
    <cellStyle name="Normal 27 5 2 4" xfId="7632"/>
    <cellStyle name="Normal 27 5 2 4 2" xfId="7633"/>
    <cellStyle name="Normal 27 5 2 5" xfId="7634"/>
    <cellStyle name="Normal 27 5 3" xfId="7635"/>
    <cellStyle name="Normal 27 5 3 2" xfId="7636"/>
    <cellStyle name="Normal 27 5 3 2 2" xfId="7637"/>
    <cellStyle name="Normal 27 5 3 2 2 2" xfId="7638"/>
    <cellStyle name="Normal 27 5 3 2 3" xfId="7639"/>
    <cellStyle name="Normal 27 5 3 2 3 2" xfId="7640"/>
    <cellStyle name="Normal 27 5 3 2 4" xfId="7641"/>
    <cellStyle name="Normal 27 5 3 3" xfId="7642"/>
    <cellStyle name="Normal 27 5 3 3 2" xfId="7643"/>
    <cellStyle name="Normal 27 5 3 3 2 2" xfId="7644"/>
    <cellStyle name="Normal 27 5 3 3 3" xfId="7645"/>
    <cellStyle name="Normal 27 5 3 3 3 2" xfId="7646"/>
    <cellStyle name="Normal 27 5 3 3 4" xfId="7647"/>
    <cellStyle name="Normal 27 5 3 4" xfId="7648"/>
    <cellStyle name="Normal 27 5 3 4 2" xfId="7649"/>
    <cellStyle name="Normal 27 5 3 5" xfId="7650"/>
    <cellStyle name="Normal 27 5 3 5 2" xfId="7651"/>
    <cellStyle name="Normal 27 5 3 6" xfId="7652"/>
    <cellStyle name="Normal 27 5 4" xfId="7653"/>
    <cellStyle name="Normal 27 5 4 2" xfId="7654"/>
    <cellStyle name="Normal 27 5 4 2 2" xfId="7655"/>
    <cellStyle name="Normal 27 5 4 3" xfId="7656"/>
    <cellStyle name="Normal 27 5 4 3 2" xfId="7657"/>
    <cellStyle name="Normal 27 5 4 4" xfId="7658"/>
    <cellStyle name="Normal 27 5 5" xfId="7659"/>
    <cellStyle name="Normal 27 5 5 2" xfId="7660"/>
    <cellStyle name="Normal 27 5 6" xfId="7661"/>
    <cellStyle name="Normal 27 5 6 2" xfId="7662"/>
    <cellStyle name="Normal 27 5 7" xfId="7663"/>
    <cellStyle name="Normal 27 6" xfId="7664"/>
    <cellStyle name="Normal 27 6 2" xfId="7665"/>
    <cellStyle name="Normal 27 6 2 2" xfId="7666"/>
    <cellStyle name="Normal 27 6 2 2 2" xfId="7667"/>
    <cellStyle name="Normal 27 6 2 3" xfId="7668"/>
    <cellStyle name="Normal 27 6 2 3 2" xfId="7669"/>
    <cellStyle name="Normal 27 6 2 4" xfId="7670"/>
    <cellStyle name="Normal 27 6 3" xfId="7671"/>
    <cellStyle name="Normal 27 6 3 2" xfId="7672"/>
    <cellStyle name="Normal 27 6 4" xfId="7673"/>
    <cellStyle name="Normal 27 6 4 2" xfId="7674"/>
    <cellStyle name="Normal 27 6 5" xfId="7675"/>
    <cellStyle name="Normal 27 7" xfId="7676"/>
    <cellStyle name="Normal 27 7 2" xfId="7677"/>
    <cellStyle name="Normal 27 7 2 2" xfId="7678"/>
    <cellStyle name="Normal 27 7 2 2 2" xfId="7679"/>
    <cellStyle name="Normal 27 7 2 3" xfId="7680"/>
    <cellStyle name="Normal 27 7 2 3 2" xfId="7681"/>
    <cellStyle name="Normal 27 7 2 4" xfId="7682"/>
    <cellStyle name="Normal 27 7 3" xfId="7683"/>
    <cellStyle name="Normal 27 7 3 2" xfId="7684"/>
    <cellStyle name="Normal 27 7 3 2 2" xfId="7685"/>
    <cellStyle name="Normal 27 7 3 3" xfId="7686"/>
    <cellStyle name="Normal 27 7 3 3 2" xfId="7687"/>
    <cellStyle name="Normal 27 7 3 4" xfId="7688"/>
    <cellStyle name="Normal 27 7 4" xfId="7689"/>
    <cellStyle name="Normal 27 7 4 2" xfId="7690"/>
    <cellStyle name="Normal 27 7 5" xfId="7691"/>
    <cellStyle name="Normal 27 7 5 2" xfId="7692"/>
    <cellStyle name="Normal 27 7 6" xfId="7693"/>
    <cellStyle name="Normal 27 8" xfId="7694"/>
    <cellStyle name="Normal 27 8 2" xfId="7695"/>
    <cellStyle name="Normal 27 8 2 2" xfId="7696"/>
    <cellStyle name="Normal 27 8 3" xfId="7697"/>
    <cellStyle name="Normal 27 8 3 2" xfId="7698"/>
    <cellStyle name="Normal 27 8 4" xfId="7699"/>
    <cellStyle name="Normal 27 9" xfId="7700"/>
    <cellStyle name="Normal 27 9 2" xfId="7701"/>
    <cellStyle name="Normal 28" xfId="7702"/>
    <cellStyle name="Normal 29" xfId="7703"/>
    <cellStyle name="Normal 3" xfId="7704"/>
    <cellStyle name="Normal 3 10" xfId="7705"/>
    <cellStyle name="Normal 3 11" xfId="7706"/>
    <cellStyle name="Normal 3 12" xfId="7707"/>
    <cellStyle name="Normal 3 13" xfId="7708"/>
    <cellStyle name="Normal 3 14" xfId="7709"/>
    <cellStyle name="Normal 3 2" xfId="7710"/>
    <cellStyle name="Normal 3 2 10" xfId="7711"/>
    <cellStyle name="Normal 3 2 11" xfId="7712"/>
    <cellStyle name="Normal 3 2 2" xfId="7713"/>
    <cellStyle name="Normal 3 2 2 10" xfId="7714"/>
    <cellStyle name="Normal 3 2 2 2" xfId="7715"/>
    <cellStyle name="Normal 3 2 2 2 10" xfId="7716"/>
    <cellStyle name="Normal 3 2 2 2 2" xfId="7717"/>
    <cellStyle name="Normal 3 2 2 2 2 2" xfId="7718"/>
    <cellStyle name="Normal 3 2 2 2 2 2 2" xfId="7719"/>
    <cellStyle name="Normal 3 2 2 2 2 2 2 2" xfId="7720"/>
    <cellStyle name="Normal 3 2 2 2 2 2 2 2 2" xfId="7721"/>
    <cellStyle name="Normal 3 2 2 2 2 2 2 3" xfId="7722"/>
    <cellStyle name="Normal 3 2 2 2 2 2 2 4" xfId="7723"/>
    <cellStyle name="Normal 3 2 2 2 2 2 2 5" xfId="7724"/>
    <cellStyle name="Normal 3 2 2 2 2 2 3" xfId="7725"/>
    <cellStyle name="Normal 3 2 2 2 2 2 3 2" xfId="7726"/>
    <cellStyle name="Normal 3 2 2 2 2 2 3 2 2" xfId="7727"/>
    <cellStyle name="Normal 3 2 2 2 2 2 3 2 3" xfId="7728"/>
    <cellStyle name="Normal 3 2 2 2 2 2 3 2 4" xfId="7729"/>
    <cellStyle name="Normal 3 2 2 2 2 2 3 3" xfId="7730"/>
    <cellStyle name="Normal 3 2 2 2 2 2 3 3 2" xfId="7731"/>
    <cellStyle name="Normal 3 2 2 2 2 2 3 3 3" xfId="7732"/>
    <cellStyle name="Normal 3 2 2 2 2 2 3 4" xfId="7733"/>
    <cellStyle name="Normal 3 2 2 2 2 2 3 5" xfId="7734"/>
    <cellStyle name="Normal 3 2 2 2 2 2 3 6" xfId="7735"/>
    <cellStyle name="Normal 3 2 2 2 2 2 4" xfId="7736"/>
    <cellStyle name="Normal 3 2 2 2 2 2 4 2" xfId="7737"/>
    <cellStyle name="Normal 3 2 2 2 2 2 4 3" xfId="7738"/>
    <cellStyle name="Normal 3 2 2 2 2 2 4 4" xfId="7739"/>
    <cellStyle name="Normal 3 2 2 2 2 2 5" xfId="7740"/>
    <cellStyle name="Normal 3 2 2 2 2 2 5 2" xfId="7741"/>
    <cellStyle name="Normal 3 2 2 2 2 2 5 3" xfId="7742"/>
    <cellStyle name="Normal 3 2 2 2 2 2 6" xfId="7743"/>
    <cellStyle name="Normal 3 2 2 2 2 2 7" xfId="7744"/>
    <cellStyle name="Normal 3 2 2 2 2 2 8" xfId="7745"/>
    <cellStyle name="Normal 3 2 2 2 2 3" xfId="7746"/>
    <cellStyle name="Normal 3 2 2 2 2 3 2" xfId="7747"/>
    <cellStyle name="Normal 3 2 2 2 2 3 2 2" xfId="7748"/>
    <cellStyle name="Normal 3 2 2 2 2 3 2 3" xfId="7749"/>
    <cellStyle name="Normal 3 2 2 2 2 3 2 4" xfId="7750"/>
    <cellStyle name="Normal 3 2 2 2 2 3 3" xfId="7751"/>
    <cellStyle name="Normal 3 2 2 2 2 3 3 2" xfId="7752"/>
    <cellStyle name="Normal 3 2 2 2 2 3 3 3" xfId="7753"/>
    <cellStyle name="Normal 3 2 2 2 2 3 4" xfId="7754"/>
    <cellStyle name="Normal 3 2 2 2 2 3 5" xfId="7755"/>
    <cellStyle name="Normal 3 2 2 2 2 3 6" xfId="7756"/>
    <cellStyle name="Normal 3 2 2 2 2 4" xfId="7757"/>
    <cellStyle name="Normal 3 2 2 2 2 4 2" xfId="7758"/>
    <cellStyle name="Normal 3 2 2 2 2 4 2 2" xfId="7759"/>
    <cellStyle name="Normal 3 2 2 2 2 4 2 2 2" xfId="7760"/>
    <cellStyle name="Normal 3 2 2 2 2 4 2 2 3" xfId="7761"/>
    <cellStyle name="Normal 3 2 2 2 2 4 2 3" xfId="7762"/>
    <cellStyle name="Normal 3 2 2 2 2 4 2 4" xfId="7763"/>
    <cellStyle name="Normal 3 2 2 2 2 4 2 5" xfId="7764"/>
    <cellStyle name="Normal 3 2 2 2 2 4 3" xfId="7765"/>
    <cellStyle name="Normal 3 2 2 2 2 4 3 2" xfId="7766"/>
    <cellStyle name="Normal 3 2 2 2 2 4 3 3" xfId="7767"/>
    <cellStyle name="Normal 3 2 2 2 2 4 4" xfId="7768"/>
    <cellStyle name="Normal 3 2 2 2 2 4 5" xfId="7769"/>
    <cellStyle name="Normal 3 2 2 2 2 4 6" xfId="7770"/>
    <cellStyle name="Normal 3 2 2 2 2 5" xfId="7771"/>
    <cellStyle name="Normal 3 2 2 2 2 5 2" xfId="7772"/>
    <cellStyle name="Normal 3 2 2 2 2 5 3" xfId="7773"/>
    <cellStyle name="Normal 3 2 2 2 2 5 4" xfId="7774"/>
    <cellStyle name="Normal 3 2 2 2 2 6" xfId="7775"/>
    <cellStyle name="Normal 3 2 2 2 2 6 2" xfId="7776"/>
    <cellStyle name="Normal 3 2 2 2 2 6 3" xfId="7777"/>
    <cellStyle name="Normal 3 2 2 2 2 7" xfId="7778"/>
    <cellStyle name="Normal 3 2 2 2 2 8" xfId="7779"/>
    <cellStyle name="Normal 3 2 2 2 2 9" xfId="7780"/>
    <cellStyle name="Normal 3 2 2 2 3" xfId="7781"/>
    <cellStyle name="Normal 3 2 2 2 3 2" xfId="7782"/>
    <cellStyle name="Normal 3 2 2 2 3 2 2" xfId="7783"/>
    <cellStyle name="Normal 3 2 2 2 3 2 2 2" xfId="7784"/>
    <cellStyle name="Normal 3 2 2 2 3 2 3" xfId="7785"/>
    <cellStyle name="Normal 3 2 2 2 3 2 4" xfId="7786"/>
    <cellStyle name="Normal 3 2 2 2 3 2 5" xfId="7787"/>
    <cellStyle name="Normal 3 2 2 2 3 3" xfId="7788"/>
    <cellStyle name="Normal 3 2 2 2 3 3 2" xfId="7789"/>
    <cellStyle name="Normal 3 2 2 2 3 3 2 2" xfId="7790"/>
    <cellStyle name="Normal 3 2 2 2 3 3 2 3" xfId="7791"/>
    <cellStyle name="Normal 3 2 2 2 3 3 2 4" xfId="7792"/>
    <cellStyle name="Normal 3 2 2 2 3 3 3" xfId="7793"/>
    <cellStyle name="Normal 3 2 2 2 3 3 3 2" xfId="7794"/>
    <cellStyle name="Normal 3 2 2 2 3 3 3 3" xfId="7795"/>
    <cellStyle name="Normal 3 2 2 2 3 3 4" xfId="7796"/>
    <cellStyle name="Normal 3 2 2 2 3 3 5" xfId="7797"/>
    <cellStyle name="Normal 3 2 2 2 3 3 6" xfId="7798"/>
    <cellStyle name="Normal 3 2 2 2 3 4" xfId="7799"/>
    <cellStyle name="Normal 3 2 2 2 3 4 2" xfId="7800"/>
    <cellStyle name="Normal 3 2 2 2 3 4 3" xfId="7801"/>
    <cellStyle name="Normal 3 2 2 2 3 4 4" xfId="7802"/>
    <cellStyle name="Normal 3 2 2 2 3 5" xfId="7803"/>
    <cellStyle name="Normal 3 2 2 2 3 5 2" xfId="7804"/>
    <cellStyle name="Normal 3 2 2 2 3 5 3" xfId="7805"/>
    <cellStyle name="Normal 3 2 2 2 3 6" xfId="7806"/>
    <cellStyle name="Normal 3 2 2 2 3 7" xfId="7807"/>
    <cellStyle name="Normal 3 2 2 2 3 8" xfId="7808"/>
    <cellStyle name="Normal 3 2 2 2 4" xfId="7809"/>
    <cellStyle name="Normal 3 2 2 2 4 2" xfId="7810"/>
    <cellStyle name="Normal 3 2 2 2 4 2 2" xfId="7811"/>
    <cellStyle name="Normal 3 2 2 2 4 2 3" xfId="7812"/>
    <cellStyle name="Normal 3 2 2 2 4 2 4" xfId="7813"/>
    <cellStyle name="Normal 3 2 2 2 4 3" xfId="7814"/>
    <cellStyle name="Normal 3 2 2 2 4 3 2" xfId="7815"/>
    <cellStyle name="Normal 3 2 2 2 4 3 3" xfId="7816"/>
    <cellStyle name="Normal 3 2 2 2 4 4" xfId="7817"/>
    <cellStyle name="Normal 3 2 2 2 4 5" xfId="7818"/>
    <cellStyle name="Normal 3 2 2 2 4 6" xfId="7819"/>
    <cellStyle name="Normal 3 2 2 2 5" xfId="7820"/>
    <cellStyle name="Normal 3 2 2 2 5 2" xfId="7821"/>
    <cellStyle name="Normal 3 2 2 2 5 2 2" xfId="7822"/>
    <cellStyle name="Normal 3 2 2 2 5 2 2 2" xfId="7823"/>
    <cellStyle name="Normal 3 2 2 2 5 2 2 3" xfId="7824"/>
    <cellStyle name="Normal 3 2 2 2 5 2 3" xfId="7825"/>
    <cellStyle name="Normal 3 2 2 2 5 2 4" xfId="7826"/>
    <cellStyle name="Normal 3 2 2 2 5 2 5" xfId="7827"/>
    <cellStyle name="Normal 3 2 2 2 5 3" xfId="7828"/>
    <cellStyle name="Normal 3 2 2 2 5 3 2" xfId="7829"/>
    <cellStyle name="Normal 3 2 2 2 5 3 3" xfId="7830"/>
    <cellStyle name="Normal 3 2 2 2 5 4" xfId="7831"/>
    <cellStyle name="Normal 3 2 2 2 5 5" xfId="7832"/>
    <cellStyle name="Normal 3 2 2 2 5 6" xfId="7833"/>
    <cellStyle name="Normal 3 2 2 2 6" xfId="7834"/>
    <cellStyle name="Normal 3 2 2 2 6 2" xfId="7835"/>
    <cellStyle name="Normal 3 2 2 2 6 3" xfId="7836"/>
    <cellStyle name="Normal 3 2 2 2 6 4" xfId="7837"/>
    <cellStyle name="Normal 3 2 2 2 7" xfId="7838"/>
    <cellStyle name="Normal 3 2 2 2 7 2" xfId="7839"/>
    <cellStyle name="Normal 3 2 2 2 7 3" xfId="7840"/>
    <cellStyle name="Normal 3 2 2 2 8" xfId="7841"/>
    <cellStyle name="Normal 3 2 2 2 9" xfId="7842"/>
    <cellStyle name="Normal 3 2 2 3" xfId="7843"/>
    <cellStyle name="Normal 3 2 2 3 2" xfId="7844"/>
    <cellStyle name="Normal 3 2 2 3 2 2" xfId="7845"/>
    <cellStyle name="Normal 3 2 2 3 2 2 2" xfId="7846"/>
    <cellStyle name="Normal 3 2 2 3 2 3" xfId="7847"/>
    <cellStyle name="Normal 3 2 2 3 2 4" xfId="7848"/>
    <cellStyle name="Normal 3 2 2 3 2 5" xfId="7849"/>
    <cellStyle name="Normal 3 2 2 3 3" xfId="7850"/>
    <cellStyle name="Normal 3 2 2 3 3 2" xfId="7851"/>
    <cellStyle name="Normal 3 2 2 3 3 2 2" xfId="7852"/>
    <cellStyle name="Normal 3 2 2 3 3 2 3" xfId="7853"/>
    <cellStyle name="Normal 3 2 2 3 3 2 4" xfId="7854"/>
    <cellStyle name="Normal 3 2 2 3 3 3" xfId="7855"/>
    <cellStyle name="Normal 3 2 2 3 3 3 2" xfId="7856"/>
    <cellStyle name="Normal 3 2 2 3 3 3 3" xfId="7857"/>
    <cellStyle name="Normal 3 2 2 3 3 4" xfId="7858"/>
    <cellStyle name="Normal 3 2 2 3 3 5" xfId="7859"/>
    <cellStyle name="Normal 3 2 2 3 3 6" xfId="7860"/>
    <cellStyle name="Normal 3 2 2 3 4" xfId="7861"/>
    <cellStyle name="Normal 3 2 2 3 4 2" xfId="7862"/>
    <cellStyle name="Normal 3 2 2 3 4 3" xfId="7863"/>
    <cellStyle name="Normal 3 2 2 3 4 4" xfId="7864"/>
    <cellStyle name="Normal 3 2 2 3 5" xfId="7865"/>
    <cellStyle name="Normal 3 2 2 3 5 2" xfId="7866"/>
    <cellStyle name="Normal 3 2 2 3 5 3" xfId="7867"/>
    <cellStyle name="Normal 3 2 2 3 6" xfId="7868"/>
    <cellStyle name="Normal 3 2 2 3 7" xfId="7869"/>
    <cellStyle name="Normal 3 2 2 3 8" xfId="7870"/>
    <cellStyle name="Normal 3 2 2 4" xfId="7871"/>
    <cellStyle name="Normal 3 2 2 4 2" xfId="7872"/>
    <cellStyle name="Normal 3 2 2 4 2 2" xfId="7873"/>
    <cellStyle name="Normal 3 2 2 4 2 3" xfId="7874"/>
    <cellStyle name="Normal 3 2 2 4 2 4" xfId="7875"/>
    <cellStyle name="Normal 3 2 2 4 3" xfId="7876"/>
    <cellStyle name="Normal 3 2 2 4 3 2" xfId="7877"/>
    <cellStyle name="Normal 3 2 2 4 3 3" xfId="7878"/>
    <cellStyle name="Normal 3 2 2 4 4" xfId="7879"/>
    <cellStyle name="Normal 3 2 2 4 5" xfId="7880"/>
    <cellStyle name="Normal 3 2 2 4 6" xfId="7881"/>
    <cellStyle name="Normal 3 2 2 5" xfId="7882"/>
    <cellStyle name="Normal 3 2 2 5 2" xfId="7883"/>
    <cellStyle name="Normal 3 2 2 5 2 2" xfId="7884"/>
    <cellStyle name="Normal 3 2 2 5 2 2 2" xfId="7885"/>
    <cellStyle name="Normal 3 2 2 5 2 2 3" xfId="7886"/>
    <cellStyle name="Normal 3 2 2 5 2 3" xfId="7887"/>
    <cellStyle name="Normal 3 2 2 5 2 4" xfId="7888"/>
    <cellStyle name="Normal 3 2 2 5 2 5" xfId="7889"/>
    <cellStyle name="Normal 3 2 2 5 3" xfId="7890"/>
    <cellStyle name="Normal 3 2 2 5 3 2" xfId="7891"/>
    <cellStyle name="Normal 3 2 2 5 3 3" xfId="7892"/>
    <cellStyle name="Normal 3 2 2 5 4" xfId="7893"/>
    <cellStyle name="Normal 3 2 2 5 5" xfId="7894"/>
    <cellStyle name="Normal 3 2 2 5 6" xfId="7895"/>
    <cellStyle name="Normal 3 2 2 6" xfId="7896"/>
    <cellStyle name="Normal 3 2 2 6 2" xfId="7897"/>
    <cellStyle name="Normal 3 2 2 6 3" xfId="7898"/>
    <cellStyle name="Normal 3 2 2 6 4" xfId="7899"/>
    <cellStyle name="Normal 3 2 2 7" xfId="7900"/>
    <cellStyle name="Normal 3 2 2 7 2" xfId="7901"/>
    <cellStyle name="Normal 3 2 2 7 3" xfId="7902"/>
    <cellStyle name="Normal 3 2 2 8" xfId="7903"/>
    <cellStyle name="Normal 3 2 2 9" xfId="7904"/>
    <cellStyle name="Normal 3 2 3" xfId="7905"/>
    <cellStyle name="Normal 3 2 3 10" xfId="7906"/>
    <cellStyle name="Normal 3 2 3 2" xfId="7907"/>
    <cellStyle name="Normal 3 2 3 2 2" xfId="7908"/>
    <cellStyle name="Normal 3 2 3 2 2 2" xfId="7909"/>
    <cellStyle name="Normal 3 2 3 2 2 2 2" xfId="7910"/>
    <cellStyle name="Normal 3 2 3 2 2 2 2 2" xfId="7911"/>
    <cellStyle name="Normal 3 2 3 2 2 2 3" xfId="7912"/>
    <cellStyle name="Normal 3 2 3 2 2 2 4" xfId="7913"/>
    <cellStyle name="Normal 3 2 3 2 2 2 5" xfId="7914"/>
    <cellStyle name="Normal 3 2 3 2 2 3" xfId="7915"/>
    <cellStyle name="Normal 3 2 3 2 2 3 2" xfId="7916"/>
    <cellStyle name="Normal 3 2 3 2 2 3 2 2" xfId="7917"/>
    <cellStyle name="Normal 3 2 3 2 2 3 2 3" xfId="7918"/>
    <cellStyle name="Normal 3 2 3 2 2 3 2 4" xfId="7919"/>
    <cellStyle name="Normal 3 2 3 2 2 3 3" xfId="7920"/>
    <cellStyle name="Normal 3 2 3 2 2 3 3 2" xfId="7921"/>
    <cellStyle name="Normal 3 2 3 2 2 3 3 3" xfId="7922"/>
    <cellStyle name="Normal 3 2 3 2 2 3 4" xfId="7923"/>
    <cellStyle name="Normal 3 2 3 2 2 3 5" xfId="7924"/>
    <cellStyle name="Normal 3 2 3 2 2 3 6" xfId="7925"/>
    <cellStyle name="Normal 3 2 3 2 2 4" xfId="7926"/>
    <cellStyle name="Normal 3 2 3 2 2 4 2" xfId="7927"/>
    <cellStyle name="Normal 3 2 3 2 2 4 3" xfId="7928"/>
    <cellStyle name="Normal 3 2 3 2 2 4 4" xfId="7929"/>
    <cellStyle name="Normal 3 2 3 2 2 5" xfId="7930"/>
    <cellStyle name="Normal 3 2 3 2 2 5 2" xfId="7931"/>
    <cellStyle name="Normal 3 2 3 2 2 5 3" xfId="7932"/>
    <cellStyle name="Normal 3 2 3 2 2 6" xfId="7933"/>
    <cellStyle name="Normal 3 2 3 2 2 7" xfId="7934"/>
    <cellStyle name="Normal 3 2 3 2 2 8" xfId="7935"/>
    <cellStyle name="Normal 3 2 3 2 3" xfId="7936"/>
    <cellStyle name="Normal 3 2 3 2 3 2" xfId="7937"/>
    <cellStyle name="Normal 3 2 3 2 3 2 2" xfId="7938"/>
    <cellStyle name="Normal 3 2 3 2 3 2 3" xfId="7939"/>
    <cellStyle name="Normal 3 2 3 2 3 2 4" xfId="7940"/>
    <cellStyle name="Normal 3 2 3 2 3 3" xfId="7941"/>
    <cellStyle name="Normal 3 2 3 2 3 3 2" xfId="7942"/>
    <cellStyle name="Normal 3 2 3 2 3 3 3" xfId="7943"/>
    <cellStyle name="Normal 3 2 3 2 3 4" xfId="7944"/>
    <cellStyle name="Normal 3 2 3 2 3 5" xfId="7945"/>
    <cellStyle name="Normal 3 2 3 2 3 6" xfId="7946"/>
    <cellStyle name="Normal 3 2 3 2 4" xfId="7947"/>
    <cellStyle name="Normal 3 2 3 2 4 2" xfId="7948"/>
    <cellStyle name="Normal 3 2 3 2 4 2 2" xfId="7949"/>
    <cellStyle name="Normal 3 2 3 2 4 2 2 2" xfId="7950"/>
    <cellStyle name="Normal 3 2 3 2 4 2 2 3" xfId="7951"/>
    <cellStyle name="Normal 3 2 3 2 4 2 3" xfId="7952"/>
    <cellStyle name="Normal 3 2 3 2 4 2 4" xfId="7953"/>
    <cellStyle name="Normal 3 2 3 2 4 2 5" xfId="7954"/>
    <cellStyle name="Normal 3 2 3 2 4 3" xfId="7955"/>
    <cellStyle name="Normal 3 2 3 2 4 3 2" xfId="7956"/>
    <cellStyle name="Normal 3 2 3 2 4 3 3" xfId="7957"/>
    <cellStyle name="Normal 3 2 3 2 4 4" xfId="7958"/>
    <cellStyle name="Normal 3 2 3 2 4 5" xfId="7959"/>
    <cellStyle name="Normal 3 2 3 2 4 6" xfId="7960"/>
    <cellStyle name="Normal 3 2 3 2 5" xfId="7961"/>
    <cellStyle name="Normal 3 2 3 2 5 2" xfId="7962"/>
    <cellStyle name="Normal 3 2 3 2 5 3" xfId="7963"/>
    <cellStyle name="Normal 3 2 3 2 5 4" xfId="7964"/>
    <cellStyle name="Normal 3 2 3 2 6" xfId="7965"/>
    <cellStyle name="Normal 3 2 3 2 6 2" xfId="7966"/>
    <cellStyle name="Normal 3 2 3 2 6 3" xfId="7967"/>
    <cellStyle name="Normal 3 2 3 2 7" xfId="7968"/>
    <cellStyle name="Normal 3 2 3 2 8" xfId="7969"/>
    <cellStyle name="Normal 3 2 3 2 9" xfId="7970"/>
    <cellStyle name="Normal 3 2 3 3" xfId="7971"/>
    <cellStyle name="Normal 3 2 3 3 2" xfId="7972"/>
    <cellStyle name="Normal 3 2 3 3 2 2" xfId="7973"/>
    <cellStyle name="Normal 3 2 3 3 2 2 2" xfId="7974"/>
    <cellStyle name="Normal 3 2 3 3 2 3" xfId="7975"/>
    <cellStyle name="Normal 3 2 3 3 2 4" xfId="7976"/>
    <cellStyle name="Normal 3 2 3 3 2 5" xfId="7977"/>
    <cellStyle name="Normal 3 2 3 3 3" xfId="7978"/>
    <cellStyle name="Normal 3 2 3 3 3 2" xfId="7979"/>
    <cellStyle name="Normal 3 2 3 3 3 2 2" xfId="7980"/>
    <cellStyle name="Normal 3 2 3 3 3 2 3" xfId="7981"/>
    <cellStyle name="Normal 3 2 3 3 3 2 4" xfId="7982"/>
    <cellStyle name="Normal 3 2 3 3 3 3" xfId="7983"/>
    <cellStyle name="Normal 3 2 3 3 3 3 2" xfId="7984"/>
    <cellStyle name="Normal 3 2 3 3 3 3 3" xfId="7985"/>
    <cellStyle name="Normal 3 2 3 3 3 4" xfId="7986"/>
    <cellStyle name="Normal 3 2 3 3 3 5" xfId="7987"/>
    <cellStyle name="Normal 3 2 3 3 3 6" xfId="7988"/>
    <cellStyle name="Normal 3 2 3 3 4" xfId="7989"/>
    <cellStyle name="Normal 3 2 3 3 4 2" xfId="7990"/>
    <cellStyle name="Normal 3 2 3 3 4 3" xfId="7991"/>
    <cellStyle name="Normal 3 2 3 3 4 4" xfId="7992"/>
    <cellStyle name="Normal 3 2 3 3 5" xfId="7993"/>
    <cellStyle name="Normal 3 2 3 3 5 2" xfId="7994"/>
    <cellStyle name="Normal 3 2 3 3 5 3" xfId="7995"/>
    <cellStyle name="Normal 3 2 3 3 6" xfId="7996"/>
    <cellStyle name="Normal 3 2 3 3 7" xfId="7997"/>
    <cellStyle name="Normal 3 2 3 3 8" xfId="7998"/>
    <cellStyle name="Normal 3 2 3 4" xfId="7999"/>
    <cellStyle name="Normal 3 2 3 4 2" xfId="8000"/>
    <cellStyle name="Normal 3 2 3 4 2 2" xfId="8001"/>
    <cellStyle name="Normal 3 2 3 4 2 3" xfId="8002"/>
    <cellStyle name="Normal 3 2 3 4 2 4" xfId="8003"/>
    <cellStyle name="Normal 3 2 3 4 3" xfId="8004"/>
    <cellStyle name="Normal 3 2 3 4 3 2" xfId="8005"/>
    <cellStyle name="Normal 3 2 3 4 3 3" xfId="8006"/>
    <cellStyle name="Normal 3 2 3 4 4" xfId="8007"/>
    <cellStyle name="Normal 3 2 3 4 5" xfId="8008"/>
    <cellStyle name="Normal 3 2 3 4 6" xfId="8009"/>
    <cellStyle name="Normal 3 2 3 5" xfId="8010"/>
    <cellStyle name="Normal 3 2 3 5 2" xfId="8011"/>
    <cellStyle name="Normal 3 2 3 5 2 2" xfId="8012"/>
    <cellStyle name="Normal 3 2 3 5 2 2 2" xfId="8013"/>
    <cellStyle name="Normal 3 2 3 5 2 2 3" xfId="8014"/>
    <cellStyle name="Normal 3 2 3 5 2 3" xfId="8015"/>
    <cellStyle name="Normal 3 2 3 5 2 4" xfId="8016"/>
    <cellStyle name="Normal 3 2 3 5 2 5" xfId="8017"/>
    <cellStyle name="Normal 3 2 3 5 3" xfId="8018"/>
    <cellStyle name="Normal 3 2 3 5 3 2" xfId="8019"/>
    <cellStyle name="Normal 3 2 3 5 3 3" xfId="8020"/>
    <cellStyle name="Normal 3 2 3 5 4" xfId="8021"/>
    <cellStyle name="Normal 3 2 3 5 5" xfId="8022"/>
    <cellStyle name="Normal 3 2 3 5 6" xfId="8023"/>
    <cellStyle name="Normal 3 2 3 6" xfId="8024"/>
    <cellStyle name="Normal 3 2 3 6 2" xfId="8025"/>
    <cellStyle name="Normal 3 2 3 6 3" xfId="8026"/>
    <cellStyle name="Normal 3 2 3 6 4" xfId="8027"/>
    <cellStyle name="Normal 3 2 3 7" xfId="8028"/>
    <cellStyle name="Normal 3 2 3 7 2" xfId="8029"/>
    <cellStyle name="Normal 3 2 3 7 3" xfId="8030"/>
    <cellStyle name="Normal 3 2 3 8" xfId="8031"/>
    <cellStyle name="Normal 3 2 3 9" xfId="8032"/>
    <cellStyle name="Normal 3 2 4" xfId="8033"/>
    <cellStyle name="Normal 3 2 4 2" xfId="8034"/>
    <cellStyle name="Normal 3 2 4 2 2" xfId="8035"/>
    <cellStyle name="Normal 3 2 4 2 2 2" xfId="8036"/>
    <cellStyle name="Normal 3 2 4 2 3" xfId="8037"/>
    <cellStyle name="Normal 3 2 4 2 4" xfId="8038"/>
    <cellStyle name="Normal 3 2 4 2 5" xfId="8039"/>
    <cellStyle name="Normal 3 2 4 3" xfId="8040"/>
    <cellStyle name="Normal 3 2 4 3 2" xfId="8041"/>
    <cellStyle name="Normal 3 2 4 3 2 2" xfId="8042"/>
    <cellStyle name="Normal 3 2 4 3 2 3" xfId="8043"/>
    <cellStyle name="Normal 3 2 4 3 2 4" xfId="8044"/>
    <cellStyle name="Normal 3 2 4 3 3" xfId="8045"/>
    <cellStyle name="Normal 3 2 4 3 3 2" xfId="8046"/>
    <cellStyle name="Normal 3 2 4 3 3 3" xfId="8047"/>
    <cellStyle name="Normal 3 2 4 3 4" xfId="8048"/>
    <cellStyle name="Normal 3 2 4 3 5" xfId="8049"/>
    <cellStyle name="Normal 3 2 4 3 6" xfId="8050"/>
    <cellStyle name="Normal 3 2 4 4" xfId="8051"/>
    <cellStyle name="Normal 3 2 4 4 2" xfId="8052"/>
    <cellStyle name="Normal 3 2 4 4 3" xfId="8053"/>
    <cellStyle name="Normal 3 2 4 4 4" xfId="8054"/>
    <cellStyle name="Normal 3 2 4 5" xfId="8055"/>
    <cellStyle name="Normal 3 2 4 5 2" xfId="8056"/>
    <cellStyle name="Normal 3 2 4 5 3" xfId="8057"/>
    <cellStyle name="Normal 3 2 4 6" xfId="8058"/>
    <cellStyle name="Normal 3 2 4 7" xfId="8059"/>
    <cellStyle name="Normal 3 2 4 8" xfId="8060"/>
    <cellStyle name="Normal 3 2 5" xfId="8061"/>
    <cellStyle name="Normal 3 2 5 10" xfId="8062"/>
    <cellStyle name="Normal 3 2 5 2" xfId="8063"/>
    <cellStyle name="Normal 3 2 5 2 2" xfId="8064"/>
    <cellStyle name="Normal 3 2 5 2 2 2" xfId="8065"/>
    <cellStyle name="Normal 3 2 5 2 2 3" xfId="8066"/>
    <cellStyle name="Normal 3 2 5 2 2 4" xfId="8067"/>
    <cellStyle name="Normal 3 2 5 2 3" xfId="8068"/>
    <cellStyle name="Normal 3 2 5 2 3 2" xfId="8069"/>
    <cellStyle name="Normal 3 2 5 2 3 3" xfId="8070"/>
    <cellStyle name="Normal 3 2 5 2 4" xfId="8071"/>
    <cellStyle name="Normal 3 2 5 2 5" xfId="8072"/>
    <cellStyle name="Normal 3 2 5 2 6" xfId="8073"/>
    <cellStyle name="Normal 3 2 5 2 7" xfId="8074"/>
    <cellStyle name="Normal 3 2 5 3" xfId="8075"/>
    <cellStyle name="Normal 3 2 5 3 2" xfId="8076"/>
    <cellStyle name="Normal 3 2 5 3 2 2" xfId="8077"/>
    <cellStyle name="Normal 3 2 5 3 2 3" xfId="8078"/>
    <cellStyle name="Normal 3 2 5 3 2 4" xfId="8079"/>
    <cellStyle name="Normal 3 2 5 3 3" xfId="8080"/>
    <cellStyle name="Normal 3 2 5 3 3 2" xfId="8081"/>
    <cellStyle name="Normal 3 2 5 3 3 3" xfId="8082"/>
    <cellStyle name="Normal 3 2 5 3 3 4" xfId="8083"/>
    <cellStyle name="Normal 3 2 5 3 4" xfId="8084"/>
    <cellStyle name="Normal 3 2 5 3 5" xfId="8085"/>
    <cellStyle name="Normal 3 2 5 3 6" xfId="8086"/>
    <cellStyle name="Normal 3 2 5 3 7" xfId="8087"/>
    <cellStyle name="Normal 3 2 5 4" xfId="8088"/>
    <cellStyle name="Normal 3 2 5 4 2" xfId="8089"/>
    <cellStyle name="Normal 3 2 5 4 2 2" xfId="8090"/>
    <cellStyle name="Normal 3 2 5 4 2 3" xfId="8091"/>
    <cellStyle name="Normal 3 2 5 4 2 4" xfId="8092"/>
    <cellStyle name="Normal 3 2 5 4 3" xfId="8093"/>
    <cellStyle name="Normal 3 2 5 4 3 2" xfId="8094"/>
    <cellStyle name="Normal 3 2 5 4 3 3" xfId="8095"/>
    <cellStyle name="Normal 3 2 5 4 4" xfId="8096"/>
    <cellStyle name="Normal 3 2 5 4 5" xfId="8097"/>
    <cellStyle name="Normal 3 2 5 4 6" xfId="8098"/>
    <cellStyle name="Normal 3 2 5 5" xfId="8099"/>
    <cellStyle name="Normal 3 2 5 5 2" xfId="8100"/>
    <cellStyle name="Normal 3 2 5 5 3" xfId="8101"/>
    <cellStyle name="Normal 3 2 5 5 4" xfId="8102"/>
    <cellStyle name="Normal 3 2 5 6" xfId="8103"/>
    <cellStyle name="Normal 3 2 5 6 2" xfId="8104"/>
    <cellStyle name="Normal 3 2 5 6 3" xfId="8105"/>
    <cellStyle name="Normal 3 2 5 6 4" xfId="8106"/>
    <cellStyle name="Normal 3 2 5 7" xfId="8107"/>
    <cellStyle name="Normal 3 2 5 8" xfId="8108"/>
    <cellStyle name="Normal 3 2 5 9" xfId="8109"/>
    <cellStyle name="Normal 3 2 6" xfId="8110"/>
    <cellStyle name="Normal 3 2 6 2" xfId="8111"/>
    <cellStyle name="Normal 3 2 6 2 2" xfId="8112"/>
    <cellStyle name="Normal 3 2 6 2 2 2" xfId="8113"/>
    <cellStyle name="Normal 3 2 6 2 2 3" xfId="8114"/>
    <cellStyle name="Normal 3 2 6 2 3" xfId="8115"/>
    <cellStyle name="Normal 3 2 6 2 4" xfId="8116"/>
    <cellStyle name="Normal 3 2 6 2 5" xfId="8117"/>
    <cellStyle name="Normal 3 2 6 3" xfId="8118"/>
    <cellStyle name="Normal 3 2 6 3 2" xfId="8119"/>
    <cellStyle name="Normal 3 2 6 3 3" xfId="8120"/>
    <cellStyle name="Normal 3 2 6 4" xfId="8121"/>
    <cellStyle name="Normal 3 2 6 5" xfId="8122"/>
    <cellStyle name="Normal 3 2 6 6" xfId="8123"/>
    <cellStyle name="Normal 3 2 7" xfId="8124"/>
    <cellStyle name="Normal 3 2 7 2" xfId="8125"/>
    <cellStyle name="Normal 3 2 7 3" xfId="8126"/>
    <cellStyle name="Normal 3 2 7 4" xfId="8127"/>
    <cellStyle name="Normal 3 2 8" xfId="8128"/>
    <cellStyle name="Normal 3 2 8 2" xfId="8129"/>
    <cellStyle name="Normal 3 2 8 3" xfId="8130"/>
    <cellStyle name="Normal 3 2 9" xfId="8131"/>
    <cellStyle name="Normal 3 3" xfId="8132"/>
    <cellStyle name="Normal 3 3 10" xfId="8133"/>
    <cellStyle name="Normal 3 3 2" xfId="8134"/>
    <cellStyle name="Normal 3 3 2 10" xfId="8135"/>
    <cellStyle name="Normal 3 3 2 2" xfId="8136"/>
    <cellStyle name="Normal 3 3 2 2 2" xfId="8137"/>
    <cellStyle name="Normal 3 3 2 2 2 2" xfId="8138"/>
    <cellStyle name="Normal 3 3 2 2 2 2 2" xfId="8139"/>
    <cellStyle name="Normal 3 3 2 2 2 2 2 2" xfId="8140"/>
    <cellStyle name="Normal 3 3 2 2 2 2 3" xfId="8141"/>
    <cellStyle name="Normal 3 3 2 2 2 2 4" xfId="8142"/>
    <cellStyle name="Normal 3 3 2 2 2 2 5" xfId="8143"/>
    <cellStyle name="Normal 3 3 2 2 2 3" xfId="8144"/>
    <cellStyle name="Normal 3 3 2 2 2 3 2" xfId="8145"/>
    <cellStyle name="Normal 3 3 2 2 2 3 2 2" xfId="8146"/>
    <cellStyle name="Normal 3 3 2 2 2 3 2 3" xfId="8147"/>
    <cellStyle name="Normal 3 3 2 2 2 3 2 4" xfId="8148"/>
    <cellStyle name="Normal 3 3 2 2 2 3 3" xfId="8149"/>
    <cellStyle name="Normal 3 3 2 2 2 3 3 2" xfId="8150"/>
    <cellStyle name="Normal 3 3 2 2 2 3 3 3" xfId="8151"/>
    <cellStyle name="Normal 3 3 2 2 2 3 4" xfId="8152"/>
    <cellStyle name="Normal 3 3 2 2 2 3 5" xfId="8153"/>
    <cellStyle name="Normal 3 3 2 2 2 3 6" xfId="8154"/>
    <cellStyle name="Normal 3 3 2 2 2 4" xfId="8155"/>
    <cellStyle name="Normal 3 3 2 2 2 4 2" xfId="8156"/>
    <cellStyle name="Normal 3 3 2 2 2 4 3" xfId="8157"/>
    <cellStyle name="Normal 3 3 2 2 2 4 4" xfId="8158"/>
    <cellStyle name="Normal 3 3 2 2 2 5" xfId="8159"/>
    <cellStyle name="Normal 3 3 2 2 2 5 2" xfId="8160"/>
    <cellStyle name="Normal 3 3 2 2 2 5 3" xfId="8161"/>
    <cellStyle name="Normal 3 3 2 2 2 6" xfId="8162"/>
    <cellStyle name="Normal 3 3 2 2 2 7" xfId="8163"/>
    <cellStyle name="Normal 3 3 2 2 2 8" xfId="8164"/>
    <cellStyle name="Normal 3 3 2 2 3" xfId="8165"/>
    <cellStyle name="Normal 3 3 2 2 3 2" xfId="8166"/>
    <cellStyle name="Normal 3 3 2 2 3 2 2" xfId="8167"/>
    <cellStyle name="Normal 3 3 2 2 3 2 3" xfId="8168"/>
    <cellStyle name="Normal 3 3 2 2 3 2 4" xfId="8169"/>
    <cellStyle name="Normal 3 3 2 2 3 3" xfId="8170"/>
    <cellStyle name="Normal 3 3 2 2 3 3 2" xfId="8171"/>
    <cellStyle name="Normal 3 3 2 2 3 3 3" xfId="8172"/>
    <cellStyle name="Normal 3 3 2 2 3 4" xfId="8173"/>
    <cellStyle name="Normal 3 3 2 2 3 5" xfId="8174"/>
    <cellStyle name="Normal 3 3 2 2 3 6" xfId="8175"/>
    <cellStyle name="Normal 3 3 2 2 4" xfId="8176"/>
    <cellStyle name="Normal 3 3 2 2 4 2" xfId="8177"/>
    <cellStyle name="Normal 3 3 2 2 4 2 2" xfId="8178"/>
    <cellStyle name="Normal 3 3 2 2 4 2 2 2" xfId="8179"/>
    <cellStyle name="Normal 3 3 2 2 4 2 2 3" xfId="8180"/>
    <cellStyle name="Normal 3 3 2 2 4 2 3" xfId="8181"/>
    <cellStyle name="Normal 3 3 2 2 4 2 4" xfId="8182"/>
    <cellStyle name="Normal 3 3 2 2 4 2 5" xfId="8183"/>
    <cellStyle name="Normal 3 3 2 2 4 3" xfId="8184"/>
    <cellStyle name="Normal 3 3 2 2 4 3 2" xfId="8185"/>
    <cellStyle name="Normal 3 3 2 2 4 3 3" xfId="8186"/>
    <cellStyle name="Normal 3 3 2 2 4 4" xfId="8187"/>
    <cellStyle name="Normal 3 3 2 2 4 5" xfId="8188"/>
    <cellStyle name="Normal 3 3 2 2 4 6" xfId="8189"/>
    <cellStyle name="Normal 3 3 2 2 5" xfId="8190"/>
    <cellStyle name="Normal 3 3 2 2 5 2" xfId="8191"/>
    <cellStyle name="Normal 3 3 2 2 5 3" xfId="8192"/>
    <cellStyle name="Normal 3 3 2 2 5 4" xfId="8193"/>
    <cellStyle name="Normal 3 3 2 2 6" xfId="8194"/>
    <cellStyle name="Normal 3 3 2 2 6 2" xfId="8195"/>
    <cellStyle name="Normal 3 3 2 2 6 3" xfId="8196"/>
    <cellStyle name="Normal 3 3 2 2 7" xfId="8197"/>
    <cellStyle name="Normal 3 3 2 2 8" xfId="8198"/>
    <cellStyle name="Normal 3 3 2 2 9" xfId="8199"/>
    <cellStyle name="Normal 3 3 2 3" xfId="8200"/>
    <cellStyle name="Normal 3 3 2 3 2" xfId="8201"/>
    <cellStyle name="Normal 3 3 2 3 2 2" xfId="8202"/>
    <cellStyle name="Normal 3 3 2 3 2 2 2" xfId="8203"/>
    <cellStyle name="Normal 3 3 2 3 2 3" xfId="8204"/>
    <cellStyle name="Normal 3 3 2 3 2 4" xfId="8205"/>
    <cellStyle name="Normal 3 3 2 3 2 5" xfId="8206"/>
    <cellStyle name="Normal 3 3 2 3 3" xfId="8207"/>
    <cellStyle name="Normal 3 3 2 3 3 2" xfId="8208"/>
    <cellStyle name="Normal 3 3 2 3 3 2 2" xfId="8209"/>
    <cellStyle name="Normal 3 3 2 3 3 2 3" xfId="8210"/>
    <cellStyle name="Normal 3 3 2 3 3 2 4" xfId="8211"/>
    <cellStyle name="Normal 3 3 2 3 3 3" xfId="8212"/>
    <cellStyle name="Normal 3 3 2 3 3 3 2" xfId="8213"/>
    <cellStyle name="Normal 3 3 2 3 3 3 3" xfId="8214"/>
    <cellStyle name="Normal 3 3 2 3 3 4" xfId="8215"/>
    <cellStyle name="Normal 3 3 2 3 3 5" xfId="8216"/>
    <cellStyle name="Normal 3 3 2 3 3 6" xfId="8217"/>
    <cellStyle name="Normal 3 3 2 3 4" xfId="8218"/>
    <cellStyle name="Normal 3 3 2 3 4 2" xfId="8219"/>
    <cellStyle name="Normal 3 3 2 3 4 3" xfId="8220"/>
    <cellStyle name="Normal 3 3 2 3 4 4" xfId="8221"/>
    <cellStyle name="Normal 3 3 2 3 5" xfId="8222"/>
    <cellStyle name="Normal 3 3 2 3 5 2" xfId="8223"/>
    <cellStyle name="Normal 3 3 2 3 5 3" xfId="8224"/>
    <cellStyle name="Normal 3 3 2 3 6" xfId="8225"/>
    <cellStyle name="Normal 3 3 2 3 7" xfId="8226"/>
    <cellStyle name="Normal 3 3 2 3 8" xfId="8227"/>
    <cellStyle name="Normal 3 3 2 4" xfId="8228"/>
    <cellStyle name="Normal 3 3 2 4 2" xfId="8229"/>
    <cellStyle name="Normal 3 3 2 4 2 2" xfId="8230"/>
    <cellStyle name="Normal 3 3 2 4 2 3" xfId="8231"/>
    <cellStyle name="Normal 3 3 2 4 2 4" xfId="8232"/>
    <cellStyle name="Normal 3 3 2 4 3" xfId="8233"/>
    <cellStyle name="Normal 3 3 2 4 3 2" xfId="8234"/>
    <cellStyle name="Normal 3 3 2 4 3 3" xfId="8235"/>
    <cellStyle name="Normal 3 3 2 4 4" xfId="8236"/>
    <cellStyle name="Normal 3 3 2 4 5" xfId="8237"/>
    <cellStyle name="Normal 3 3 2 4 6" xfId="8238"/>
    <cellStyle name="Normal 3 3 2 5" xfId="8239"/>
    <cellStyle name="Normal 3 3 2 5 2" xfId="8240"/>
    <cellStyle name="Normal 3 3 2 5 2 2" xfId="8241"/>
    <cellStyle name="Normal 3 3 2 5 2 2 2" xfId="8242"/>
    <cellStyle name="Normal 3 3 2 5 2 2 3" xfId="8243"/>
    <cellStyle name="Normal 3 3 2 5 2 3" xfId="8244"/>
    <cellStyle name="Normal 3 3 2 5 2 4" xfId="8245"/>
    <cellStyle name="Normal 3 3 2 5 2 5" xfId="8246"/>
    <cellStyle name="Normal 3 3 2 5 3" xfId="8247"/>
    <cellStyle name="Normal 3 3 2 5 3 2" xfId="8248"/>
    <cellStyle name="Normal 3 3 2 5 3 3" xfId="8249"/>
    <cellStyle name="Normal 3 3 2 5 4" xfId="8250"/>
    <cellStyle name="Normal 3 3 2 5 5" xfId="8251"/>
    <cellStyle name="Normal 3 3 2 5 6" xfId="8252"/>
    <cellStyle name="Normal 3 3 2 6" xfId="8253"/>
    <cellStyle name="Normal 3 3 2 6 2" xfId="8254"/>
    <cellStyle name="Normal 3 3 2 6 3" xfId="8255"/>
    <cellStyle name="Normal 3 3 2 6 4" xfId="8256"/>
    <cellStyle name="Normal 3 3 2 7" xfId="8257"/>
    <cellStyle name="Normal 3 3 2 7 2" xfId="8258"/>
    <cellStyle name="Normal 3 3 2 7 3" xfId="8259"/>
    <cellStyle name="Normal 3 3 2 8" xfId="8260"/>
    <cellStyle name="Normal 3 3 2 9" xfId="8261"/>
    <cellStyle name="Normal 3 3 3" xfId="8262"/>
    <cellStyle name="Normal 3 3 3 2" xfId="8263"/>
    <cellStyle name="Normal 3 3 3 2 2" xfId="8264"/>
    <cellStyle name="Normal 3 3 3 2 2 2" xfId="8265"/>
    <cellStyle name="Normal 3 3 3 2 3" xfId="8266"/>
    <cellStyle name="Normal 3 3 3 2 4" xfId="8267"/>
    <cellStyle name="Normal 3 3 3 2 5" xfId="8268"/>
    <cellStyle name="Normal 3 3 3 3" xfId="8269"/>
    <cellStyle name="Normal 3 3 3 3 2" xfId="8270"/>
    <cellStyle name="Normal 3 3 3 3 2 2" xfId="8271"/>
    <cellStyle name="Normal 3 3 3 3 2 3" xfId="8272"/>
    <cellStyle name="Normal 3 3 3 3 2 4" xfId="8273"/>
    <cellStyle name="Normal 3 3 3 3 3" xfId="8274"/>
    <cellStyle name="Normal 3 3 3 3 3 2" xfId="8275"/>
    <cellStyle name="Normal 3 3 3 3 3 3" xfId="8276"/>
    <cellStyle name="Normal 3 3 3 3 4" xfId="8277"/>
    <cellStyle name="Normal 3 3 3 3 5" xfId="8278"/>
    <cellStyle name="Normal 3 3 3 3 6" xfId="8279"/>
    <cellStyle name="Normal 3 3 3 4" xfId="8280"/>
    <cellStyle name="Normal 3 3 3 4 2" xfId="8281"/>
    <cellStyle name="Normal 3 3 3 4 3" xfId="8282"/>
    <cellStyle name="Normal 3 3 3 4 4" xfId="8283"/>
    <cellStyle name="Normal 3 3 3 5" xfId="8284"/>
    <cellStyle name="Normal 3 3 3 5 2" xfId="8285"/>
    <cellStyle name="Normal 3 3 3 5 3" xfId="8286"/>
    <cellStyle name="Normal 3 3 3 6" xfId="8287"/>
    <cellStyle name="Normal 3 3 3 7" xfId="8288"/>
    <cellStyle name="Normal 3 3 3 8" xfId="8289"/>
    <cellStyle name="Normal 3 3 4" xfId="8290"/>
    <cellStyle name="Normal 3 3 4 2" xfId="8291"/>
    <cellStyle name="Normal 3 3 4 2 2" xfId="8292"/>
    <cellStyle name="Normal 3 3 4 2 3" xfId="8293"/>
    <cellStyle name="Normal 3 3 4 2 4" xfId="8294"/>
    <cellStyle name="Normal 3 3 4 3" xfId="8295"/>
    <cellStyle name="Normal 3 3 4 3 2" xfId="8296"/>
    <cellStyle name="Normal 3 3 4 3 3" xfId="8297"/>
    <cellStyle name="Normal 3 3 4 4" xfId="8298"/>
    <cellStyle name="Normal 3 3 4 5" xfId="8299"/>
    <cellStyle name="Normal 3 3 4 6" xfId="8300"/>
    <cellStyle name="Normal 3 3 5" xfId="8301"/>
    <cellStyle name="Normal 3 3 5 2" xfId="8302"/>
    <cellStyle name="Normal 3 3 5 2 2" xfId="8303"/>
    <cellStyle name="Normal 3 3 5 2 2 2" xfId="8304"/>
    <cellStyle name="Normal 3 3 5 2 2 3" xfId="8305"/>
    <cellStyle name="Normal 3 3 5 2 3" xfId="8306"/>
    <cellStyle name="Normal 3 3 5 2 4" xfId="8307"/>
    <cellStyle name="Normal 3 3 5 2 5" xfId="8308"/>
    <cellStyle name="Normal 3 3 5 3" xfId="8309"/>
    <cellStyle name="Normal 3 3 5 3 2" xfId="8310"/>
    <cellStyle name="Normal 3 3 5 3 3" xfId="8311"/>
    <cellStyle name="Normal 3 3 5 4" xfId="8312"/>
    <cellStyle name="Normal 3 3 5 5" xfId="8313"/>
    <cellStyle name="Normal 3 3 5 6" xfId="8314"/>
    <cellStyle name="Normal 3 3 6" xfId="8315"/>
    <cellStyle name="Normal 3 3 6 2" xfId="8316"/>
    <cellStyle name="Normal 3 3 6 3" xfId="8317"/>
    <cellStyle name="Normal 3 3 6 4" xfId="8318"/>
    <cellStyle name="Normal 3 3 7" xfId="8319"/>
    <cellStyle name="Normal 3 3 7 2" xfId="8320"/>
    <cellStyle name="Normal 3 3 7 3" xfId="8321"/>
    <cellStyle name="Normal 3 3 8" xfId="8322"/>
    <cellStyle name="Normal 3 3 9" xfId="8323"/>
    <cellStyle name="Normal 3 4" xfId="8324"/>
    <cellStyle name="Normal 3 4 2" xfId="8325"/>
    <cellStyle name="Normal 3 4 2 2" xfId="8326"/>
    <cellStyle name="Normal 3 4 2 2 2" xfId="8327"/>
    <cellStyle name="Normal 3 4 2 2 3" xfId="8328"/>
    <cellStyle name="Normal 3 4 2 2 4" xfId="8329"/>
    <cellStyle name="Normal 3 4 2 3" xfId="8330"/>
    <cellStyle name="Normal 3 4 2 4" xfId="8331"/>
    <cellStyle name="Normal 3 4 2 5" xfId="8332"/>
    <cellStyle name="Normal 3 4 3" xfId="8333"/>
    <cellStyle name="Normal 3 4 3 2" xfId="8334"/>
    <cellStyle name="Normal 3 4 3 2 2" xfId="8335"/>
    <cellStyle name="Normal 3 4 3 2 3" xfId="8336"/>
    <cellStyle name="Normal 3 4 3 2 4" xfId="8337"/>
    <cellStyle name="Normal 3 4 3 3" xfId="8338"/>
    <cellStyle name="Normal 3 4 3 3 2" xfId="8339"/>
    <cellStyle name="Normal 3 4 3 3 3" xfId="8340"/>
    <cellStyle name="Normal 3 4 3 4" xfId="8341"/>
    <cellStyle name="Normal 3 4 3 5" xfId="8342"/>
    <cellStyle name="Normal 3 4 3 6" xfId="8343"/>
    <cellStyle name="Normal 3 4 4" xfId="8344"/>
    <cellStyle name="Normal 3 4 4 2" xfId="8345"/>
    <cellStyle name="Normal 3 4 4 3" xfId="8346"/>
    <cellStyle name="Normal 3 4 5" xfId="8347"/>
    <cellStyle name="Normal 3 4 5 2" xfId="8348"/>
    <cellStyle name="Normal 3 4 5 3" xfId="8349"/>
    <cellStyle name="Normal 3 4 6" xfId="8350"/>
    <cellStyle name="Normal 3 4 7" xfId="8351"/>
    <cellStyle name="Normal 3 4 8" xfId="8352"/>
    <cellStyle name="Normal 3 5" xfId="8353"/>
    <cellStyle name="Normal 3 5 10" xfId="8354"/>
    <cellStyle name="Normal 3 5 2" xfId="8355"/>
    <cellStyle name="Normal 3 5 2 2" xfId="8356"/>
    <cellStyle name="Normal 3 5 2 2 2" xfId="8357"/>
    <cellStyle name="Normal 3 5 2 2 3" xfId="8358"/>
    <cellStyle name="Normal 3 5 2 2 4" xfId="8359"/>
    <cellStyle name="Normal 3 5 2 3" xfId="8360"/>
    <cellStyle name="Normal 3 5 2 3 2" xfId="8361"/>
    <cellStyle name="Normal 3 5 2 3 3" xfId="8362"/>
    <cellStyle name="Normal 3 5 2 4" xfId="8363"/>
    <cellStyle name="Normal 3 5 2 5" xfId="8364"/>
    <cellStyle name="Normal 3 5 2 6" xfId="8365"/>
    <cellStyle name="Normal 3 5 3" xfId="8366"/>
    <cellStyle name="Normal 3 5 3 2" xfId="8367"/>
    <cellStyle name="Normal 3 5 3 2 2" xfId="8368"/>
    <cellStyle name="Normal 3 5 3 2 3" xfId="8369"/>
    <cellStyle name="Normal 3 5 3 2 4" xfId="8370"/>
    <cellStyle name="Normal 3 5 3 3" xfId="8371"/>
    <cellStyle name="Normal 3 5 3 3 2" xfId="8372"/>
    <cellStyle name="Normal 3 5 3 3 3" xfId="8373"/>
    <cellStyle name="Normal 3 5 3 4" xfId="8374"/>
    <cellStyle name="Normal 3 5 3 5" xfId="8375"/>
    <cellStyle name="Normal 3 5 3 6" xfId="8376"/>
    <cellStyle name="Normal 3 5 4" xfId="8377"/>
    <cellStyle name="Normal 3 5 4 2" xfId="8378"/>
    <cellStyle name="Normal 3 5 4 2 2" xfId="8379"/>
    <cellStyle name="Normal 3 5 4 2 3" xfId="8380"/>
    <cellStyle name="Normal 3 5 4 2 4" xfId="8381"/>
    <cellStyle name="Normal 3 5 4 3" xfId="8382"/>
    <cellStyle name="Normal 3 5 4 3 2" xfId="8383"/>
    <cellStyle name="Normal 3 5 4 3 3" xfId="8384"/>
    <cellStyle name="Normal 3 5 4 4" xfId="8385"/>
    <cellStyle name="Normal 3 5 4 5" xfId="8386"/>
    <cellStyle name="Normal 3 5 4 6" xfId="8387"/>
    <cellStyle name="Normal 3 5 5" xfId="8388"/>
    <cellStyle name="Normal 3 5 5 2" xfId="8389"/>
    <cellStyle name="Normal 3 5 5 3" xfId="8390"/>
    <cellStyle name="Normal 3 5 5 4" xfId="8391"/>
    <cellStyle name="Normal 3 5 6" xfId="8392"/>
    <cellStyle name="Normal 3 5 6 2" xfId="8393"/>
    <cellStyle name="Normal 3 5 6 3" xfId="8394"/>
    <cellStyle name="Normal 3 5 7" xfId="8395"/>
    <cellStyle name="Normal 3 5 8" xfId="8396"/>
    <cellStyle name="Normal 3 5 9" xfId="8397"/>
    <cellStyle name="Normal 3 6" xfId="8398"/>
    <cellStyle name="Normal 3 6 2" xfId="8399"/>
    <cellStyle name="Normal 3 6 2 2" xfId="8400"/>
    <cellStyle name="Normal 3 6 2 2 2" xfId="8401"/>
    <cellStyle name="Normal 3 6 2 2 3" xfId="8402"/>
    <cellStyle name="Normal 3 6 2 3" xfId="8403"/>
    <cellStyle name="Normal 3 6 2 4" xfId="8404"/>
    <cellStyle name="Normal 3 6 2 5" xfId="8405"/>
    <cellStyle name="Normal 3 6 3" xfId="8406"/>
    <cellStyle name="Normal 3 6 3 2" xfId="8407"/>
    <cellStyle name="Normal 3 6 3 3" xfId="8408"/>
    <cellStyle name="Normal 3 6 4" xfId="8409"/>
    <cellStyle name="Normal 3 6 5" xfId="8410"/>
    <cellStyle name="Normal 3 6 6" xfId="8411"/>
    <cellStyle name="Normal 3 7" xfId="8412"/>
    <cellStyle name="Normal 3 7 2" xfId="8413"/>
    <cellStyle name="Normal 3 7 2 2" xfId="8414"/>
    <cellStyle name="Normal 3 7 2 3" xfId="8415"/>
    <cellStyle name="Normal 3 7 2 4" xfId="8416"/>
    <cellStyle name="Normal 3 7 3" xfId="8417"/>
    <cellStyle name="Normal 3 7 3 2" xfId="8418"/>
    <cellStyle name="Normal 3 7 3 3" xfId="8419"/>
    <cellStyle name="Normal 3 7 4" xfId="8420"/>
    <cellStyle name="Normal 3 7 5" xfId="8421"/>
    <cellStyle name="Normal 3 7 6" xfId="8422"/>
    <cellStyle name="Normal 3 8" xfId="8423"/>
    <cellStyle name="Normal 3 8 2" xfId="8424"/>
    <cellStyle name="Normal 3 8 3" xfId="8425"/>
    <cellStyle name="Normal 3 8 4" xfId="8426"/>
    <cellStyle name="Normal 3 9" xfId="8427"/>
    <cellStyle name="Normal 3 9 2" xfId="8428"/>
    <cellStyle name="Normal 3 9 3" xfId="8429"/>
    <cellStyle name="Normal 3 9 4" xfId="8430"/>
    <cellStyle name="Normal 3 9 4 2" xfId="8431"/>
    <cellStyle name="Normal 3 9 4 2 2" xfId="8432"/>
    <cellStyle name="Normal 3 9 4 2 2 2" xfId="8433"/>
    <cellStyle name="Normal 3 9 4 2 2 2 2" xfId="8434"/>
    <cellStyle name="Normal 3 9 4 2 2 3" xfId="8435"/>
    <cellStyle name="Normal 3 9 4 2 2 3 2" xfId="8436"/>
    <cellStyle name="Normal 3 9 4 2 2 4" xfId="8437"/>
    <cellStyle name="Normal 3 9 4 2 3" xfId="8438"/>
    <cellStyle name="Normal 3 9 4 2 3 2" xfId="8439"/>
    <cellStyle name="Normal 3 9 4 2 4" xfId="8440"/>
    <cellStyle name="Normal 3 9 4 2 4 2" xfId="8441"/>
    <cellStyle name="Normal 3 9 4 2 5" xfId="8442"/>
    <cellStyle name="Normal 3 9 4 3" xfId="8443"/>
    <cellStyle name="Normal 3 9 4 3 2" xfId="8444"/>
    <cellStyle name="Normal 3 9 4 3 2 2" xfId="8445"/>
    <cellStyle name="Normal 3 9 4 3 2 2 2" xfId="8446"/>
    <cellStyle name="Normal 3 9 4 3 2 3" xfId="8447"/>
    <cellStyle name="Normal 3 9 4 3 2 3 2" xfId="8448"/>
    <cellStyle name="Normal 3 9 4 3 2 4" xfId="8449"/>
    <cellStyle name="Normal 3 9 4 3 3" xfId="8450"/>
    <cellStyle name="Normal 3 9 4 3 3 2" xfId="8451"/>
    <cellStyle name="Normal 3 9 4 3 3 2 2" xfId="8452"/>
    <cellStyle name="Normal 3 9 4 3 3 3" xfId="8453"/>
    <cellStyle name="Normal 3 9 4 3 3 3 2" xfId="8454"/>
    <cellStyle name="Normal 3 9 4 3 3 4" xfId="8455"/>
    <cellStyle name="Normal 3 9 4 3 4" xfId="8456"/>
    <cellStyle name="Normal 3 9 4 3 4 2" xfId="8457"/>
    <cellStyle name="Normal 3 9 4 3 5" xfId="8458"/>
    <cellStyle name="Normal 3 9 4 3 5 2" xfId="8459"/>
    <cellStyle name="Normal 3 9 4 3 6" xfId="8460"/>
    <cellStyle name="Normal 3 9 4 4" xfId="8461"/>
    <cellStyle name="Normal 3 9 4 4 2" xfId="8462"/>
    <cellStyle name="Normal 3 9 4 4 2 2" xfId="8463"/>
    <cellStyle name="Normal 3 9 4 4 3" xfId="8464"/>
    <cellStyle name="Normal 3 9 4 4 3 2" xfId="8465"/>
    <cellStyle name="Normal 3 9 4 4 4" xfId="8466"/>
    <cellStyle name="Normal 3 9 4 5" xfId="8467"/>
    <cellStyle name="Normal 3 9 4 5 2" xfId="8468"/>
    <cellStyle name="Normal 3 9 4 6" xfId="8469"/>
    <cellStyle name="Normal 3 9 4 6 2" xfId="8470"/>
    <cellStyle name="Normal 3 9 4 7" xfId="8471"/>
    <cellStyle name="Normal 3 9 5" xfId="8472"/>
    <cellStyle name="Normal 3 9 5 2" xfId="8473"/>
    <cellStyle name="Normal 3 9 5 2 2" xfId="8474"/>
    <cellStyle name="Normal 3 9 5 2 2 2" xfId="8475"/>
    <cellStyle name="Normal 3 9 5 2 3" xfId="8476"/>
    <cellStyle name="Normal 3 9 5 2 3 2" xfId="8477"/>
    <cellStyle name="Normal 3 9 5 2 4" xfId="8478"/>
    <cellStyle name="Normal 3 9 5 3" xfId="8479"/>
    <cellStyle name="Normal 3 9 5 3 2" xfId="8480"/>
    <cellStyle name="Normal 3 9 5 4" xfId="8481"/>
    <cellStyle name="Normal 3 9 5 4 2" xfId="8482"/>
    <cellStyle name="Normal 3 9 5 5" xfId="8483"/>
    <cellStyle name="Normal 30" xfId="8484"/>
    <cellStyle name="Normal 30 2" xfId="8485"/>
    <cellStyle name="Normal 31" xfId="8486"/>
    <cellStyle name="Normal 32" xfId="8487"/>
    <cellStyle name="Normal 33" xfId="8488"/>
    <cellStyle name="Normal 34" xfId="8489"/>
    <cellStyle name="Normal 35" xfId="8490"/>
    <cellStyle name="Normal 36" xfId="8491"/>
    <cellStyle name="Normal 37" xfId="8492"/>
    <cellStyle name="Normal 37 2" xfId="8493"/>
    <cellStyle name="Normal 37 2 2" xfId="8494"/>
    <cellStyle name="Normal 38" xfId="8495"/>
    <cellStyle name="Normal 39" xfId="8496"/>
    <cellStyle name="Normal 4" xfId="8497"/>
    <cellStyle name="Normal 4 10" xfId="8498"/>
    <cellStyle name="Normal 4 11" xfId="8499"/>
    <cellStyle name="Normal 4 12" xfId="8500"/>
    <cellStyle name="Normal 4 13" xfId="8501"/>
    <cellStyle name="Normal 4 2" xfId="8502"/>
    <cellStyle name="Normal 4 2 10" xfId="8503"/>
    <cellStyle name="Normal 4 2 2" xfId="8504"/>
    <cellStyle name="Normal 4 2 2 2" xfId="8505"/>
    <cellStyle name="Normal 4 2 2 2 2" xfId="8506"/>
    <cellStyle name="Normal 4 2 2 2 2 2" xfId="8507"/>
    <cellStyle name="Normal 4 2 2 2 2 3" xfId="8508"/>
    <cellStyle name="Normal 4 2 2 2 2 4" xfId="8509"/>
    <cellStyle name="Normal 4 2 2 2 3" xfId="8510"/>
    <cellStyle name="Normal 4 2 2 2 3 2" xfId="8511"/>
    <cellStyle name="Normal 4 2 2 2 3 3" xfId="8512"/>
    <cellStyle name="Normal 4 2 2 2 4" xfId="8513"/>
    <cellStyle name="Normal 4 2 2 2 5" xfId="8514"/>
    <cellStyle name="Normal 4 2 2 2 6" xfId="8515"/>
    <cellStyle name="Normal 4 2 2 3" xfId="8516"/>
    <cellStyle name="Normal 4 2 2 3 2" xfId="8517"/>
    <cellStyle name="Normal 4 2 2 3 2 2" xfId="8518"/>
    <cellStyle name="Normal 4 2 2 3 2 3" xfId="8519"/>
    <cellStyle name="Normal 4 2 2 3 2 4" xfId="8520"/>
    <cellStyle name="Normal 4 2 2 3 3" xfId="8521"/>
    <cellStyle name="Normal 4 2 2 3 3 2" xfId="8522"/>
    <cellStyle name="Normal 4 2 2 3 3 3" xfId="8523"/>
    <cellStyle name="Normal 4 2 2 3 4" xfId="8524"/>
    <cellStyle name="Normal 4 2 2 3 5" xfId="8525"/>
    <cellStyle name="Normal 4 2 2 3 6" xfId="8526"/>
    <cellStyle name="Normal 4 2 2 4" xfId="8527"/>
    <cellStyle name="Normal 4 2 2 4 2" xfId="8528"/>
    <cellStyle name="Normal 4 2 2 4 3" xfId="8529"/>
    <cellStyle name="Normal 4 2 2 4 4" xfId="8530"/>
    <cellStyle name="Normal 4 2 2 5" xfId="8531"/>
    <cellStyle name="Normal 4 2 2 5 2" xfId="8532"/>
    <cellStyle name="Normal 4 2 2 5 3" xfId="8533"/>
    <cellStyle name="Normal 4 2 2 6" xfId="8534"/>
    <cellStyle name="Normal 4 2 2 7" xfId="8535"/>
    <cellStyle name="Normal 4 2 2 8" xfId="8536"/>
    <cellStyle name="Normal 4 2 3" xfId="8537"/>
    <cellStyle name="Normal 4 2 3 2" xfId="8538"/>
    <cellStyle name="Normal 4 2 3 2 2" xfId="8539"/>
    <cellStyle name="Normal 4 2 3 2 3" xfId="8540"/>
    <cellStyle name="Normal 4 2 3 2 4" xfId="8541"/>
    <cellStyle name="Normal 4 2 3 3" xfId="8542"/>
    <cellStyle name="Normal 4 2 3 3 2" xfId="8543"/>
    <cellStyle name="Normal 4 2 3 3 3" xfId="8544"/>
    <cellStyle name="Normal 4 2 3 4" xfId="8545"/>
    <cellStyle name="Normal 4 2 3 5" xfId="8546"/>
    <cellStyle name="Normal 4 2 3 6" xfId="8547"/>
    <cellStyle name="Normal 4 2 4" xfId="8548"/>
    <cellStyle name="Normal 4 2 4 2" xfId="8549"/>
    <cellStyle name="Normal 4 2 4 2 2" xfId="8550"/>
    <cellStyle name="Normal 4 2 4 2 3" xfId="8551"/>
    <cellStyle name="Normal 4 2 4 2 4" xfId="8552"/>
    <cellStyle name="Normal 4 2 4 3" xfId="8553"/>
    <cellStyle name="Normal 4 2 4 3 2" xfId="8554"/>
    <cellStyle name="Normal 4 2 4 3 3" xfId="8555"/>
    <cellStyle name="Normal 4 2 4 4" xfId="8556"/>
    <cellStyle name="Normal 4 2 4 5" xfId="8557"/>
    <cellStyle name="Normal 4 2 4 6" xfId="8558"/>
    <cellStyle name="Normal 4 2 5" xfId="8559"/>
    <cellStyle name="Normal 4 2 5 2" xfId="8560"/>
    <cellStyle name="Normal 4 2 5 3" xfId="8561"/>
    <cellStyle name="Normal 4 2 5 4" xfId="8562"/>
    <cellStyle name="Normal 4 2 6" xfId="8563"/>
    <cellStyle name="Normal 4 2 6 2" xfId="8564"/>
    <cellStyle name="Normal 4 2 6 3" xfId="8565"/>
    <cellStyle name="Normal 4 2 6 4" xfId="8566"/>
    <cellStyle name="Normal 4 2 6 5" xfId="8567"/>
    <cellStyle name="Normal 4 2 7" xfId="8568"/>
    <cellStyle name="Normal 4 2 8" xfId="8569"/>
    <cellStyle name="Normal 4 2 9" xfId="8570"/>
    <cellStyle name="Normal 4 3" xfId="8571"/>
    <cellStyle name="Normal 4 3 10" xfId="8572"/>
    <cellStyle name="Normal 4 3 2" xfId="8573"/>
    <cellStyle name="Normal 4 3 2 2" xfId="8574"/>
    <cellStyle name="Normal 4 3 2 2 2" xfId="8575"/>
    <cellStyle name="Normal 4 3 2 2 3" xfId="8576"/>
    <cellStyle name="Normal 4 3 2 2 4" xfId="8577"/>
    <cellStyle name="Normal 4 3 2 3" xfId="8578"/>
    <cellStyle name="Normal 4 3 2 3 2" xfId="8579"/>
    <cellStyle name="Normal 4 3 2 3 3" xfId="8580"/>
    <cellStyle name="Normal 4 3 2 4" xfId="8581"/>
    <cellStyle name="Normal 4 3 2 5" xfId="8582"/>
    <cellStyle name="Normal 4 3 2 6" xfId="8583"/>
    <cellStyle name="Normal 4 3 3" xfId="8584"/>
    <cellStyle name="Normal 4 3 3 2" xfId="8585"/>
    <cellStyle name="Normal 4 3 3 2 2" xfId="8586"/>
    <cellStyle name="Normal 4 3 3 2 3" xfId="8587"/>
    <cellStyle name="Normal 4 3 3 3" xfId="8588"/>
    <cellStyle name="Normal 4 3 3 4" xfId="8589"/>
    <cellStyle name="Normal 4 3 3 5" xfId="8590"/>
    <cellStyle name="Normal 4 3 4" xfId="8591"/>
    <cellStyle name="Normal 4 3 4 2" xfId="8592"/>
    <cellStyle name="Normal 4 3 4 3" xfId="8593"/>
    <cellStyle name="Normal 4 3 5" xfId="8594"/>
    <cellStyle name="Normal 4 3 5 2" xfId="8595"/>
    <cellStyle name="Normal 4 3 5 3" xfId="8596"/>
    <cellStyle name="Normal 4 3 6" xfId="8597"/>
    <cellStyle name="Normal 4 3 6 2" xfId="8598"/>
    <cellStyle name="Normal 4 3 6 3" xfId="8599"/>
    <cellStyle name="Normal 4 3 7" xfId="8600"/>
    <cellStyle name="Normal 4 3 8" xfId="8601"/>
    <cellStyle name="Normal 4 3 9" xfId="8602"/>
    <cellStyle name="Normal 4 4" xfId="8603"/>
    <cellStyle name="Normal 4 4 2" xfId="8604"/>
    <cellStyle name="Normal 4 4 2 2" xfId="8605"/>
    <cellStyle name="Normal 4 4 2 3" xfId="8606"/>
    <cellStyle name="Normal 4 4 2 4" xfId="8607"/>
    <cellStyle name="Normal 4 4 3" xfId="8608"/>
    <cellStyle name="Normal 4 4 3 2" xfId="8609"/>
    <cellStyle name="Normal 4 4 3 3" xfId="8610"/>
    <cellStyle name="Normal 4 4 4" xfId="8611"/>
    <cellStyle name="Normal 4 4 5" xfId="8612"/>
    <cellStyle name="Normal 4 4 6" xfId="8613"/>
    <cellStyle name="Normal 4 5" xfId="8614"/>
    <cellStyle name="Normal 4 5 2" xfId="8615"/>
    <cellStyle name="Normal 4 5 2 2" xfId="8616"/>
    <cellStyle name="Normal 4 5 2 3" xfId="8617"/>
    <cellStyle name="Normal 4 5 2 4" xfId="8618"/>
    <cellStyle name="Normal 4 5 3" xfId="8619"/>
    <cellStyle name="Normal 4 5 3 2" xfId="8620"/>
    <cellStyle name="Normal 4 5 3 3" xfId="8621"/>
    <cellStyle name="Normal 4 5 4" xfId="8622"/>
    <cellStyle name="Normal 4 5 5" xfId="8623"/>
    <cellStyle name="Normal 4 5 6" xfId="8624"/>
    <cellStyle name="Normal 4 6" xfId="8625"/>
    <cellStyle name="Normal 4 6 2" xfId="8626"/>
    <cellStyle name="Normal 4 6 3" xfId="8627"/>
    <cellStyle name="Normal 4 6 4" xfId="8628"/>
    <cellStyle name="Normal 4 7" xfId="8629"/>
    <cellStyle name="Normal 4 7 2" xfId="8630"/>
    <cellStyle name="Normal 4 7 3" xfId="8631"/>
    <cellStyle name="Normal 4 7 4" xfId="8632"/>
    <cellStyle name="Normal 4 7 4 2" xfId="8633"/>
    <cellStyle name="Normal 4 7 4 2 2" xfId="8634"/>
    <cellStyle name="Normal 4 7 4 2 2 2" xfId="8635"/>
    <cellStyle name="Normal 4 7 4 2 2 2 2" xfId="8636"/>
    <cellStyle name="Normal 4 7 4 2 2 3" xfId="8637"/>
    <cellStyle name="Normal 4 7 4 2 2 3 2" xfId="8638"/>
    <cellStyle name="Normal 4 7 4 2 2 4" xfId="8639"/>
    <cellStyle name="Normal 4 7 4 2 3" xfId="8640"/>
    <cellStyle name="Normal 4 7 4 2 3 2" xfId="8641"/>
    <cellStyle name="Normal 4 7 4 2 4" xfId="8642"/>
    <cellStyle name="Normal 4 7 4 2 4 2" xfId="8643"/>
    <cellStyle name="Normal 4 7 4 2 5" xfId="8644"/>
    <cellStyle name="Normal 4 7 4 3" xfId="8645"/>
    <cellStyle name="Normal 4 7 4 3 2" xfId="8646"/>
    <cellStyle name="Normal 4 7 4 3 2 2" xfId="8647"/>
    <cellStyle name="Normal 4 7 4 3 2 2 2" xfId="8648"/>
    <cellStyle name="Normal 4 7 4 3 2 3" xfId="8649"/>
    <cellStyle name="Normal 4 7 4 3 2 3 2" xfId="8650"/>
    <cellStyle name="Normal 4 7 4 3 2 4" xfId="8651"/>
    <cellStyle name="Normal 4 7 4 3 3" xfId="8652"/>
    <cellStyle name="Normal 4 7 4 3 3 2" xfId="8653"/>
    <cellStyle name="Normal 4 7 4 3 3 2 2" xfId="8654"/>
    <cellStyle name="Normal 4 7 4 3 3 3" xfId="8655"/>
    <cellStyle name="Normal 4 7 4 3 3 3 2" xfId="8656"/>
    <cellStyle name="Normal 4 7 4 3 3 4" xfId="8657"/>
    <cellStyle name="Normal 4 7 4 3 4" xfId="8658"/>
    <cellStyle name="Normal 4 7 4 3 4 2" xfId="8659"/>
    <cellStyle name="Normal 4 7 4 3 5" xfId="8660"/>
    <cellStyle name="Normal 4 7 4 3 5 2" xfId="8661"/>
    <cellStyle name="Normal 4 7 4 3 6" xfId="8662"/>
    <cellStyle name="Normal 4 7 4 4" xfId="8663"/>
    <cellStyle name="Normal 4 7 4 4 2" xfId="8664"/>
    <cellStyle name="Normal 4 7 4 4 2 2" xfId="8665"/>
    <cellStyle name="Normal 4 7 4 4 3" xfId="8666"/>
    <cellStyle name="Normal 4 7 4 4 3 2" xfId="8667"/>
    <cellStyle name="Normal 4 7 4 4 4" xfId="8668"/>
    <cellStyle name="Normal 4 7 4 5" xfId="8669"/>
    <cellStyle name="Normal 4 7 4 5 2" xfId="8670"/>
    <cellStyle name="Normal 4 7 4 6" xfId="8671"/>
    <cellStyle name="Normal 4 7 4 6 2" xfId="8672"/>
    <cellStyle name="Normal 4 7 4 7" xfId="8673"/>
    <cellStyle name="Normal 4 7 5" xfId="8674"/>
    <cellStyle name="Normal 4 7 5 2" xfId="8675"/>
    <cellStyle name="Normal 4 7 5 2 2" xfId="8676"/>
    <cellStyle name="Normal 4 7 5 2 2 2" xfId="8677"/>
    <cellStyle name="Normal 4 7 5 2 3" xfId="8678"/>
    <cellStyle name="Normal 4 7 5 2 3 2" xfId="8679"/>
    <cellStyle name="Normal 4 7 5 2 4" xfId="8680"/>
    <cellStyle name="Normal 4 7 5 3" xfId="8681"/>
    <cellStyle name="Normal 4 7 5 3 2" xfId="8682"/>
    <cellStyle name="Normal 4 7 5 4" xfId="8683"/>
    <cellStyle name="Normal 4 7 5 4 2" xfId="8684"/>
    <cellStyle name="Normal 4 7 5 5" xfId="8685"/>
    <cellStyle name="Normal 4 8" xfId="8686"/>
    <cellStyle name="Normal 4 9" xfId="8687"/>
    <cellStyle name="Normal 40" xfId="8688"/>
    <cellStyle name="Normal 41" xfId="8689"/>
    <cellStyle name="Normal 41 2" xfId="8690"/>
    <cellStyle name="Normal 42" xfId="8691"/>
    <cellStyle name="Normal 42 2" xfId="3"/>
    <cellStyle name="Normal 42 2 2" xfId="8692"/>
    <cellStyle name="Normal 42 2 2 2" xfId="8693"/>
    <cellStyle name="Normal 42 2 3" xfId="8694"/>
    <cellStyle name="Normal 42 2 3 2" xfId="8695"/>
    <cellStyle name="Normal 42 2 3 3" xfId="8696"/>
    <cellStyle name="Normal 42 2 4" xfId="8697"/>
    <cellStyle name="Normal 42 2 5" xfId="8698"/>
    <cellStyle name="Normal 42 2 6" xfId="12420"/>
    <cellStyle name="Normal 42 3" xfId="8699"/>
    <cellStyle name="Normal 42 3 2" xfId="8700"/>
    <cellStyle name="Normal 42 4" xfId="8701"/>
    <cellStyle name="Normal 42 4 2" xfId="8702"/>
    <cellStyle name="Normal 42 5" xfId="8703"/>
    <cellStyle name="Normal 43" xfId="8704"/>
    <cellStyle name="Normal 44" xfId="8705"/>
    <cellStyle name="Normal 45" xfId="8706"/>
    <cellStyle name="Normal 46" xfId="8707"/>
    <cellStyle name="Normal 47" xfId="5"/>
    <cellStyle name="Normal 47 2" xfId="12418"/>
    <cellStyle name="Normal 48" xfId="12412"/>
    <cellStyle name="Normal 5" xfId="8708"/>
    <cellStyle name="Normal 5 10" xfId="8709"/>
    <cellStyle name="Normal 5 11" xfId="8710"/>
    <cellStyle name="Normal 5 12" xfId="8711"/>
    <cellStyle name="Normal 5 13" xfId="8712"/>
    <cellStyle name="Normal 5 2" xfId="8713"/>
    <cellStyle name="Normal 5 2 2" xfId="8714"/>
    <cellStyle name="Normal 5 2 2 2" xfId="8715"/>
    <cellStyle name="Normal 5 2 2 2 2" xfId="8716"/>
    <cellStyle name="Normal 5 2 2 2 3" xfId="8717"/>
    <cellStyle name="Normal 5 2 2 2 4" xfId="8718"/>
    <cellStyle name="Normal 5 2 2 3" xfId="8719"/>
    <cellStyle name="Normal 5 2 2 3 2" xfId="8720"/>
    <cellStyle name="Normal 5 2 2 3 3" xfId="8721"/>
    <cellStyle name="Normal 5 2 2 4" xfId="8722"/>
    <cellStyle name="Normal 5 2 2 5" xfId="8723"/>
    <cellStyle name="Normal 5 2 2 6" xfId="8724"/>
    <cellStyle name="Normal 5 2 3" xfId="8725"/>
    <cellStyle name="Normal 5 2 3 2" xfId="8726"/>
    <cellStyle name="Normal 5 2 3 2 2" xfId="8727"/>
    <cellStyle name="Normal 5 2 3 2 3" xfId="8728"/>
    <cellStyle name="Normal 5 2 3 2 4" xfId="8729"/>
    <cellStyle name="Normal 5 2 3 3" xfId="8730"/>
    <cellStyle name="Normal 5 2 3 3 2" xfId="8731"/>
    <cellStyle name="Normal 5 2 3 3 3" xfId="8732"/>
    <cellStyle name="Normal 5 2 3 4" xfId="8733"/>
    <cellStyle name="Normal 5 2 3 5" xfId="8734"/>
    <cellStyle name="Normal 5 2 3 6" xfId="8735"/>
    <cellStyle name="Normal 5 2 4" xfId="8736"/>
    <cellStyle name="Normal 5 2 4 2" xfId="8737"/>
    <cellStyle name="Normal 5 2 4 3" xfId="8738"/>
    <cellStyle name="Normal 5 2 4 4" xfId="8739"/>
    <cellStyle name="Normal 5 2 5" xfId="8740"/>
    <cellStyle name="Normal 5 2 5 2" xfId="8741"/>
    <cellStyle name="Normal 5 2 5 3" xfId="8742"/>
    <cellStyle name="Normal 5 2 6" xfId="8743"/>
    <cellStyle name="Normal 5 2 7" xfId="8744"/>
    <cellStyle name="Normal 5 2 8" xfId="8745"/>
    <cellStyle name="Normal 5 3" xfId="8746"/>
    <cellStyle name="Normal 5 3 2" xfId="8747"/>
    <cellStyle name="Normal 5 3 2 2" xfId="8748"/>
    <cellStyle name="Normal 5 3 2 3" xfId="8749"/>
    <cellStyle name="Normal 5 3 2 4" xfId="8750"/>
    <cellStyle name="Normal 5 3 3" xfId="8751"/>
    <cellStyle name="Normal 5 3 3 2" xfId="8752"/>
    <cellStyle name="Normal 5 3 3 3" xfId="8753"/>
    <cellStyle name="Normal 5 3 4" xfId="8754"/>
    <cellStyle name="Normal 5 3 5" xfId="8755"/>
    <cellStyle name="Normal 5 3 6" xfId="8756"/>
    <cellStyle name="Normal 5 3 7" xfId="8757"/>
    <cellStyle name="Normal 5 4" xfId="8758"/>
    <cellStyle name="Normal 5 4 2" xfId="8759"/>
    <cellStyle name="Normal 5 4 2 2" xfId="8760"/>
    <cellStyle name="Normal 5 4 2 3" xfId="8761"/>
    <cellStyle name="Normal 5 4 2 4" xfId="8762"/>
    <cellStyle name="Normal 5 4 3" xfId="8763"/>
    <cellStyle name="Normal 5 4 3 2" xfId="8764"/>
    <cellStyle name="Normal 5 4 3 3" xfId="8765"/>
    <cellStyle name="Normal 5 4 3 4" xfId="8766"/>
    <cellStyle name="Normal 5 4 4" xfId="8767"/>
    <cellStyle name="Normal 5 4 5" xfId="8768"/>
    <cellStyle name="Normal 5 4 6" xfId="8769"/>
    <cellStyle name="Normal 5 4 7" xfId="8770"/>
    <cellStyle name="Normal 5 5" xfId="8771"/>
    <cellStyle name="Normal 5 5 2" xfId="8772"/>
    <cellStyle name="Normal 5 5 2 2" xfId="8773"/>
    <cellStyle name="Normal 5 5 2 3" xfId="8774"/>
    <cellStyle name="Normal 5 5 2 4" xfId="8775"/>
    <cellStyle name="Normal 5 5 3" xfId="8776"/>
    <cellStyle name="Normal 5 5 3 2" xfId="8777"/>
    <cellStyle name="Normal 5 5 3 3" xfId="8778"/>
    <cellStyle name="Normal 5 5 4" xfId="8779"/>
    <cellStyle name="Normal 5 5 5" xfId="8780"/>
    <cellStyle name="Normal 5 5 6" xfId="8781"/>
    <cellStyle name="Normal 5 6" xfId="8782"/>
    <cellStyle name="Normal 5 6 2" xfId="8783"/>
    <cellStyle name="Normal 5 6 3" xfId="8784"/>
    <cellStyle name="Normal 5 6 4" xfId="8785"/>
    <cellStyle name="Normal 5 7" xfId="8786"/>
    <cellStyle name="Normal 5 7 2" xfId="8787"/>
    <cellStyle name="Normal 5 7 3" xfId="8788"/>
    <cellStyle name="Normal 5 7 4" xfId="8789"/>
    <cellStyle name="Normal 5 8" xfId="8790"/>
    <cellStyle name="Normal 5 9" xfId="8791"/>
    <cellStyle name="Normal 6" xfId="8792"/>
    <cellStyle name="Normal 6 10" xfId="8793"/>
    <cellStyle name="Normal 6 2" xfId="8794"/>
    <cellStyle name="Normal 6 2 2" xfId="8795"/>
    <cellStyle name="Normal 6 2 2 2" xfId="8796"/>
    <cellStyle name="Normal 6 2 2 3" xfId="8797"/>
    <cellStyle name="Normal 6 2 2 4" xfId="8798"/>
    <cellStyle name="Normal 6 2 3" xfId="8799"/>
    <cellStyle name="Normal 6 2 3 2" xfId="8800"/>
    <cellStyle name="Normal 6 2 3 2 2" xfId="8801"/>
    <cellStyle name="Normal 6 2 3 2 3" xfId="8802"/>
    <cellStyle name="Normal 6 2 3 2 4" xfId="8803"/>
    <cellStyle name="Normal 6 2 3 3" xfId="8804"/>
    <cellStyle name="Normal 6 2 3 3 2" xfId="8805"/>
    <cellStyle name="Normal 6 2 3 3 3" xfId="8806"/>
    <cellStyle name="Normal 6 2 3 4" xfId="8807"/>
    <cellStyle name="Normal 6 2 3 5" xfId="8808"/>
    <cellStyle name="Normal 6 2 3 6" xfId="8809"/>
    <cellStyle name="Normal 6 2 4" xfId="8810"/>
    <cellStyle name="Normal 6 2 4 2" xfId="8811"/>
    <cellStyle name="Normal 6 2 4 3" xfId="8812"/>
    <cellStyle name="Normal 6 2 4 4" xfId="8813"/>
    <cellStyle name="Normal 6 2 5" xfId="8814"/>
    <cellStyle name="Normal 6 2 5 2" xfId="8815"/>
    <cellStyle name="Normal 6 2 5 3" xfId="8816"/>
    <cellStyle name="Normal 6 2 6" xfId="8817"/>
    <cellStyle name="Normal 6 2 7" xfId="8818"/>
    <cellStyle name="Normal 6 2 8" xfId="8819"/>
    <cellStyle name="Normal 6 3" xfId="8820"/>
    <cellStyle name="Normal 6 3 2" xfId="8821"/>
    <cellStyle name="Normal 6 3 2 2" xfId="8822"/>
    <cellStyle name="Normal 6 3 2 3" xfId="8823"/>
    <cellStyle name="Normal 6 3 2 4" xfId="8824"/>
    <cellStyle name="Normal 6 3 3" xfId="8825"/>
    <cellStyle name="Normal 6 3 3 2" xfId="8826"/>
    <cellStyle name="Normal 6 3 3 3" xfId="8827"/>
    <cellStyle name="Normal 6 3 4" xfId="8828"/>
    <cellStyle name="Normal 6 3 5" xfId="8829"/>
    <cellStyle name="Normal 6 3 6" xfId="8830"/>
    <cellStyle name="Normal 6 4" xfId="8831"/>
    <cellStyle name="Normal 6 4 2" xfId="8832"/>
    <cellStyle name="Normal 6 4 2 2" xfId="8833"/>
    <cellStyle name="Normal 6 4 2 3" xfId="8834"/>
    <cellStyle name="Normal 6 4 2 4" xfId="8835"/>
    <cellStyle name="Normal 6 4 3" xfId="8836"/>
    <cellStyle name="Normal 6 4 3 2" xfId="8837"/>
    <cellStyle name="Normal 6 4 3 3" xfId="8838"/>
    <cellStyle name="Normal 6 4 4" xfId="8839"/>
    <cellStyle name="Normal 6 4 5" xfId="8840"/>
    <cellStyle name="Normal 6 4 6" xfId="8841"/>
    <cellStyle name="Normal 6 5" xfId="8842"/>
    <cellStyle name="Normal 6 5 2" xfId="8843"/>
    <cellStyle name="Normal 6 5 3" xfId="8844"/>
    <cellStyle name="Normal 6 5 4" xfId="8845"/>
    <cellStyle name="Normal 6 6" xfId="8846"/>
    <cellStyle name="Normal 6 6 2" xfId="8847"/>
    <cellStyle name="Normal 6 6 3" xfId="8848"/>
    <cellStyle name="Normal 6 6 4" xfId="8849"/>
    <cellStyle name="Normal 6 6 4 2" xfId="8850"/>
    <cellStyle name="Normal 6 6 4 2 2" xfId="8851"/>
    <cellStyle name="Normal 6 6 4 2 2 2" xfId="8852"/>
    <cellStyle name="Normal 6 6 4 2 2 2 2" xfId="8853"/>
    <cellStyle name="Normal 6 6 4 2 2 3" xfId="8854"/>
    <cellStyle name="Normal 6 6 4 2 2 3 2" xfId="8855"/>
    <cellStyle name="Normal 6 6 4 2 2 4" xfId="8856"/>
    <cellStyle name="Normal 6 6 4 2 3" xfId="8857"/>
    <cellStyle name="Normal 6 6 4 2 3 2" xfId="8858"/>
    <cellStyle name="Normal 6 6 4 2 4" xfId="8859"/>
    <cellStyle name="Normal 6 6 4 2 4 2" xfId="8860"/>
    <cellStyle name="Normal 6 6 4 2 5" xfId="8861"/>
    <cellStyle name="Normal 6 6 4 3" xfId="8862"/>
    <cellStyle name="Normal 6 6 4 3 2" xfId="8863"/>
    <cellStyle name="Normal 6 6 4 3 2 2" xfId="8864"/>
    <cellStyle name="Normal 6 6 4 3 2 2 2" xfId="8865"/>
    <cellStyle name="Normal 6 6 4 3 2 3" xfId="8866"/>
    <cellStyle name="Normal 6 6 4 3 2 3 2" xfId="8867"/>
    <cellStyle name="Normal 6 6 4 3 2 4" xfId="8868"/>
    <cellStyle name="Normal 6 6 4 3 3" xfId="8869"/>
    <cellStyle name="Normal 6 6 4 3 3 2" xfId="8870"/>
    <cellStyle name="Normal 6 6 4 3 3 2 2" xfId="8871"/>
    <cellStyle name="Normal 6 6 4 3 3 3" xfId="8872"/>
    <cellStyle name="Normal 6 6 4 3 3 3 2" xfId="8873"/>
    <cellStyle name="Normal 6 6 4 3 3 4" xfId="8874"/>
    <cellStyle name="Normal 6 6 4 3 4" xfId="8875"/>
    <cellStyle name="Normal 6 6 4 3 4 2" xfId="8876"/>
    <cellStyle name="Normal 6 6 4 3 5" xfId="8877"/>
    <cellStyle name="Normal 6 6 4 3 5 2" xfId="8878"/>
    <cellStyle name="Normal 6 6 4 3 6" xfId="8879"/>
    <cellStyle name="Normal 6 6 4 4" xfId="8880"/>
    <cellStyle name="Normal 6 6 4 4 2" xfId="8881"/>
    <cellStyle name="Normal 6 6 4 4 2 2" xfId="8882"/>
    <cellStyle name="Normal 6 6 4 4 3" xfId="8883"/>
    <cellStyle name="Normal 6 6 4 4 3 2" xfId="8884"/>
    <cellStyle name="Normal 6 6 4 4 4" xfId="8885"/>
    <cellStyle name="Normal 6 6 4 5" xfId="8886"/>
    <cellStyle name="Normal 6 6 4 5 2" xfId="8887"/>
    <cellStyle name="Normal 6 6 4 6" xfId="8888"/>
    <cellStyle name="Normal 6 6 4 6 2" xfId="8889"/>
    <cellStyle name="Normal 6 6 4 7" xfId="8890"/>
    <cellStyle name="Normal 6 6 5" xfId="8891"/>
    <cellStyle name="Normal 6 6 5 2" xfId="8892"/>
    <cellStyle name="Normal 6 6 5 2 2" xfId="8893"/>
    <cellStyle name="Normal 6 6 5 2 2 2" xfId="8894"/>
    <cellStyle name="Normal 6 6 5 2 3" xfId="8895"/>
    <cellStyle name="Normal 6 6 5 2 3 2" xfId="8896"/>
    <cellStyle name="Normal 6 6 5 2 4" xfId="8897"/>
    <cellStyle name="Normal 6 6 5 3" xfId="8898"/>
    <cellStyle name="Normal 6 6 5 3 2" xfId="8899"/>
    <cellStyle name="Normal 6 6 5 4" xfId="8900"/>
    <cellStyle name="Normal 6 6 5 4 2" xfId="8901"/>
    <cellStyle name="Normal 6 6 5 5" xfId="8902"/>
    <cellStyle name="Normal 6 7" xfId="8903"/>
    <cellStyle name="Normal 6 8" xfId="8904"/>
    <cellStyle name="Normal 6 9" xfId="8905"/>
    <cellStyle name="Normal 7" xfId="8906"/>
    <cellStyle name="Normal 7 10" xfId="8907"/>
    <cellStyle name="Normal 7 2" xfId="8908"/>
    <cellStyle name="Normal 7 2 2" xfId="8909"/>
    <cellStyle name="Normal 7 2 2 2" xfId="8910"/>
    <cellStyle name="Normal 7 2 2 3" xfId="8911"/>
    <cellStyle name="Normal 7 2 2 4" xfId="8912"/>
    <cellStyle name="Normal 7 2 3" xfId="8913"/>
    <cellStyle name="Normal 7 2 3 2" xfId="8914"/>
    <cellStyle name="Normal 7 2 3 3" xfId="8915"/>
    <cellStyle name="Normal 7 2 4" xfId="8916"/>
    <cellStyle name="Normal 7 2 5" xfId="8917"/>
    <cellStyle name="Normal 7 2 6" xfId="8918"/>
    <cellStyle name="Normal 7 3" xfId="8919"/>
    <cellStyle name="Normal 7 3 2" xfId="8920"/>
    <cellStyle name="Normal 7 3 2 2" xfId="8921"/>
    <cellStyle name="Normal 7 3 2 3" xfId="8922"/>
    <cellStyle name="Normal 7 3 3" xfId="8923"/>
    <cellStyle name="Normal 7 3 4" xfId="8924"/>
    <cellStyle name="Normal 7 3 5" xfId="8925"/>
    <cellStyle name="Normal 7 4" xfId="8926"/>
    <cellStyle name="Normal 7 4 2" xfId="8927"/>
    <cellStyle name="Normal 7 4 3" xfId="8928"/>
    <cellStyle name="Normal 7 4 4" xfId="8929"/>
    <cellStyle name="Normal 7 4 5" xfId="8930"/>
    <cellStyle name="Normal 7 5" xfId="8931"/>
    <cellStyle name="Normal 7 5 2" xfId="8932"/>
    <cellStyle name="Normal 7 5 3" xfId="8933"/>
    <cellStyle name="Normal 7 6" xfId="8934"/>
    <cellStyle name="Normal 7 6 2" xfId="8935"/>
    <cellStyle name="Normal 7 6 3" xfId="8936"/>
    <cellStyle name="Normal 7 7" xfId="8937"/>
    <cellStyle name="Normal 7 8" xfId="8938"/>
    <cellStyle name="Normal 7 9" xfId="8939"/>
    <cellStyle name="Normal 8" xfId="8940"/>
    <cellStyle name="Normal 8 2" xfId="8941"/>
    <cellStyle name="Normal 8 2 2" xfId="8942"/>
    <cellStyle name="Normal 8 2 2 2" xfId="8943"/>
    <cellStyle name="Normal 8 2 2 2 2" xfId="8944"/>
    <cellStyle name="Normal 8 2 2 3" xfId="8945"/>
    <cellStyle name="Normal 8 2 2 4" xfId="8946"/>
    <cellStyle name="Normal 8 2 2 5" xfId="8947"/>
    <cellStyle name="Normal 8 2 3" xfId="8948"/>
    <cellStyle name="Normal 8 2 3 2" xfId="8949"/>
    <cellStyle name="Normal 8 2 3 2 2" xfId="8950"/>
    <cellStyle name="Normal 8 2 3 2 2 2" xfId="8951"/>
    <cellStyle name="Normal 8 2 3 2 2 2 2" xfId="8952"/>
    <cellStyle name="Normal 8 2 3 2 2 2 2 2" xfId="8953"/>
    <cellStyle name="Normal 8 2 3 2 2 2 2 2 2" xfId="8954"/>
    <cellStyle name="Normal 8 2 3 2 2 2 2 3" xfId="8955"/>
    <cellStyle name="Normal 8 2 3 2 2 2 2 3 2" xfId="8956"/>
    <cellStyle name="Normal 8 2 3 2 2 2 2 4" xfId="8957"/>
    <cellStyle name="Normal 8 2 3 2 2 2 3" xfId="8958"/>
    <cellStyle name="Normal 8 2 3 2 2 2 3 2" xfId="8959"/>
    <cellStyle name="Normal 8 2 3 2 2 2 4" xfId="8960"/>
    <cellStyle name="Normal 8 2 3 2 2 2 4 2" xfId="8961"/>
    <cellStyle name="Normal 8 2 3 2 2 2 5" xfId="8962"/>
    <cellStyle name="Normal 8 2 3 2 2 3" xfId="8963"/>
    <cellStyle name="Normal 8 2 3 2 2 3 2" xfId="8964"/>
    <cellStyle name="Normal 8 2 3 2 2 3 2 2" xfId="8965"/>
    <cellStyle name="Normal 8 2 3 2 2 3 3" xfId="8966"/>
    <cellStyle name="Normal 8 2 3 2 2 3 3 2" xfId="8967"/>
    <cellStyle name="Normal 8 2 3 2 2 3 4" xfId="8968"/>
    <cellStyle name="Normal 8 2 3 2 2 4" xfId="8969"/>
    <cellStyle name="Normal 8 2 3 2 2 4 2" xfId="8970"/>
    <cellStyle name="Normal 8 2 3 2 2 5" xfId="8971"/>
    <cellStyle name="Normal 8 2 3 2 2 5 2" xfId="8972"/>
    <cellStyle name="Normal 8 2 3 2 2 6" xfId="8973"/>
    <cellStyle name="Normal 8 2 3 2 3" xfId="8974"/>
    <cellStyle name="Normal 8 2 3 2 3 2" xfId="8975"/>
    <cellStyle name="Normal 8 2 3 2 3 2 2" xfId="8976"/>
    <cellStyle name="Normal 8 2 3 2 3 2 2 2" xfId="8977"/>
    <cellStyle name="Normal 8 2 3 2 3 2 3" xfId="8978"/>
    <cellStyle name="Normal 8 2 3 2 3 2 3 2" xfId="8979"/>
    <cellStyle name="Normal 8 2 3 2 3 2 4" xfId="8980"/>
    <cellStyle name="Normal 8 2 3 2 3 3" xfId="8981"/>
    <cellStyle name="Normal 8 2 3 2 3 3 2" xfId="8982"/>
    <cellStyle name="Normal 8 2 3 2 3 4" xfId="8983"/>
    <cellStyle name="Normal 8 2 3 2 3 4 2" xfId="8984"/>
    <cellStyle name="Normal 8 2 3 2 3 5" xfId="8985"/>
    <cellStyle name="Normal 8 2 3 2 4" xfId="8986"/>
    <cellStyle name="Normal 8 2 3 2 4 2" xfId="8987"/>
    <cellStyle name="Normal 8 2 3 2 4 2 2" xfId="8988"/>
    <cellStyle name="Normal 8 2 3 2 4 3" xfId="8989"/>
    <cellStyle name="Normal 8 2 3 2 4 3 2" xfId="8990"/>
    <cellStyle name="Normal 8 2 3 2 4 4" xfId="8991"/>
    <cellStyle name="Normal 8 2 3 2 5" xfId="8992"/>
    <cellStyle name="Normal 8 2 3 2 5 2" xfId="8993"/>
    <cellStyle name="Normal 8 2 3 2 6" xfId="8994"/>
    <cellStyle name="Normal 8 2 3 2 6 2" xfId="8995"/>
    <cellStyle name="Normal 8 2 3 2 7" xfId="8996"/>
    <cellStyle name="Normal 8 2 3 2 8" xfId="12414"/>
    <cellStyle name="Normal 8 2 3 3" xfId="8997"/>
    <cellStyle name="Normal 8 2 3 3 2" xfId="8998"/>
    <cellStyle name="Normal 8 2 3 4" xfId="8999"/>
    <cellStyle name="Normal 8 2 3 4 2" xfId="9000"/>
    <cellStyle name="Normal 8 2 3 5" xfId="9001"/>
    <cellStyle name="Normal 8 2 3 6" xfId="9002"/>
    <cellStyle name="Normal 8 2 4" xfId="9003"/>
    <cellStyle name="Normal 8 2 4 2" xfId="9004"/>
    <cellStyle name="Normal 8 2 4 2 2" xfId="9005"/>
    <cellStyle name="Normal 8 2 4 2 2 2" xfId="9006"/>
    <cellStyle name="Normal 8 2 4 2 2 2 2" xfId="9007"/>
    <cellStyle name="Normal 8 2 4 2 2 2 2 2" xfId="9008"/>
    <cellStyle name="Normal 8 2 4 2 2 2 3" xfId="9009"/>
    <cellStyle name="Normal 8 2 4 2 2 2 3 2" xfId="9010"/>
    <cellStyle name="Normal 8 2 4 2 2 2 4" xfId="9011"/>
    <cellStyle name="Normal 8 2 4 2 2 3" xfId="9012"/>
    <cellStyle name="Normal 8 2 4 2 2 3 2" xfId="9013"/>
    <cellStyle name="Normal 8 2 4 2 2 4" xfId="9014"/>
    <cellStyle name="Normal 8 2 4 2 2 4 2" xfId="9015"/>
    <cellStyle name="Normal 8 2 4 2 2 5" xfId="9016"/>
    <cellStyle name="Normal 8 2 4 2 3" xfId="9017"/>
    <cellStyle name="Normal 8 2 4 2 3 2" xfId="9018"/>
    <cellStyle name="Normal 8 2 4 2 3 2 2" xfId="9019"/>
    <cellStyle name="Normal 8 2 4 2 3 3" xfId="9020"/>
    <cellStyle name="Normal 8 2 4 2 3 3 2" xfId="9021"/>
    <cellStyle name="Normal 8 2 4 2 3 4" xfId="9022"/>
    <cellStyle name="Normal 8 2 4 2 4" xfId="9023"/>
    <cellStyle name="Normal 8 2 4 2 4 2" xfId="9024"/>
    <cellStyle name="Normal 8 2 4 2 5" xfId="9025"/>
    <cellStyle name="Normal 8 2 4 2 5 2" xfId="9026"/>
    <cellStyle name="Normal 8 2 4 2 6" xfId="9027"/>
    <cellStyle name="Normal 8 2 4 3" xfId="9028"/>
    <cellStyle name="Normal 8 2 4 3 2" xfId="9029"/>
    <cellStyle name="Normal 8 2 4 3 2 2" xfId="9030"/>
    <cellStyle name="Normal 8 2 4 3 2 2 2" xfId="9031"/>
    <cellStyle name="Normal 8 2 4 3 2 2 2 2" xfId="9032"/>
    <cellStyle name="Normal 8 2 4 3 2 2 3" xfId="9033"/>
    <cellStyle name="Normal 8 2 4 3 2 2 3 2" xfId="9034"/>
    <cellStyle name="Normal 8 2 4 3 2 2 4" xfId="9035"/>
    <cellStyle name="Normal 8 2 4 3 2 3" xfId="9036"/>
    <cellStyle name="Normal 8 2 4 3 2 3 2" xfId="9037"/>
    <cellStyle name="Normal 8 2 4 3 2 4" xfId="9038"/>
    <cellStyle name="Normal 8 2 4 3 2 4 2" xfId="9039"/>
    <cellStyle name="Normal 8 2 4 3 2 5" xfId="9040"/>
    <cellStyle name="Normal 8 2 4 3 3" xfId="9041"/>
    <cellStyle name="Normal 8 2 4 3 3 2" xfId="9042"/>
    <cellStyle name="Normal 8 2 4 3 3 2 2" xfId="9043"/>
    <cellStyle name="Normal 8 2 4 3 3 2 2 2" xfId="9044"/>
    <cellStyle name="Normal 8 2 4 3 3 2 3" xfId="9045"/>
    <cellStyle name="Normal 8 2 4 3 3 2 3 2" xfId="9046"/>
    <cellStyle name="Normal 8 2 4 3 3 2 4" xfId="9047"/>
    <cellStyle name="Normal 8 2 4 3 3 3" xfId="9048"/>
    <cellStyle name="Normal 8 2 4 3 3 3 2" xfId="9049"/>
    <cellStyle name="Normal 8 2 4 3 3 3 2 2" xfId="9050"/>
    <cellStyle name="Normal 8 2 4 3 3 3 3" xfId="9051"/>
    <cellStyle name="Normal 8 2 4 3 3 3 3 2" xfId="9052"/>
    <cellStyle name="Normal 8 2 4 3 3 3 4" xfId="9053"/>
    <cellStyle name="Normal 8 2 4 3 3 4" xfId="9054"/>
    <cellStyle name="Normal 8 2 4 3 3 4 2" xfId="9055"/>
    <cellStyle name="Normal 8 2 4 3 3 5" xfId="9056"/>
    <cellStyle name="Normal 8 2 4 3 3 5 2" xfId="9057"/>
    <cellStyle name="Normal 8 2 4 3 3 6" xfId="9058"/>
    <cellStyle name="Normal 8 2 4 3 4" xfId="9059"/>
    <cellStyle name="Normal 8 2 4 3 4 2" xfId="9060"/>
    <cellStyle name="Normal 8 2 4 3 4 2 2" xfId="9061"/>
    <cellStyle name="Normal 8 2 4 3 4 3" xfId="9062"/>
    <cellStyle name="Normal 8 2 4 3 4 3 2" xfId="9063"/>
    <cellStyle name="Normal 8 2 4 3 4 4" xfId="9064"/>
    <cellStyle name="Normal 8 2 4 3 5" xfId="9065"/>
    <cellStyle name="Normal 8 2 4 3 5 2" xfId="9066"/>
    <cellStyle name="Normal 8 2 4 3 6" xfId="9067"/>
    <cellStyle name="Normal 8 2 4 3 6 2" xfId="9068"/>
    <cellStyle name="Normal 8 2 4 3 7" xfId="9069"/>
    <cellStyle name="Normal 8 2 4 4" xfId="9070"/>
    <cellStyle name="Normal 8 2 4 4 2" xfId="9071"/>
    <cellStyle name="Normal 8 2 4 4 2 2" xfId="9072"/>
    <cellStyle name="Normal 8 2 4 4 2 2 2" xfId="9073"/>
    <cellStyle name="Normal 8 2 4 4 2 3" xfId="9074"/>
    <cellStyle name="Normal 8 2 4 4 2 3 2" xfId="9075"/>
    <cellStyle name="Normal 8 2 4 4 2 4" xfId="9076"/>
    <cellStyle name="Normal 8 2 4 4 3" xfId="9077"/>
    <cellStyle name="Normal 8 2 4 4 3 2" xfId="9078"/>
    <cellStyle name="Normal 8 2 4 4 4" xfId="9079"/>
    <cellStyle name="Normal 8 2 4 4 4 2" xfId="9080"/>
    <cellStyle name="Normal 8 2 4 4 5" xfId="9081"/>
    <cellStyle name="Normal 8 2 5" xfId="9082"/>
    <cellStyle name="Normal 8 2 5 2" xfId="9083"/>
    <cellStyle name="Normal 8 2 6" xfId="9084"/>
    <cellStyle name="Normal 8 2 6 2" xfId="9085"/>
    <cellStyle name="Normal 8 2 7" xfId="9086"/>
    <cellStyle name="Normal 8 2 8" xfId="9087"/>
    <cellStyle name="Normal 8 3" xfId="9088"/>
    <cellStyle name="Normal 8 3 2" xfId="9089"/>
    <cellStyle name="Normal 8 3 2 2" xfId="9090"/>
    <cellStyle name="Normal 8 3 2 3" xfId="9091"/>
    <cellStyle name="Normal 8 3 3" xfId="9092"/>
    <cellStyle name="Normal 8 3 4" xfId="9093"/>
    <cellStyle name="Normal 8 3 5" xfId="9094"/>
    <cellStyle name="Normal 8 4" xfId="9095"/>
    <cellStyle name="Normal 8 4 2" xfId="9096"/>
    <cellStyle name="Normal 8 4 3" xfId="9097"/>
    <cellStyle name="Normal 8 4 4" xfId="9098"/>
    <cellStyle name="Normal 8 4 5" xfId="9099"/>
    <cellStyle name="Normal 8 5" xfId="9100"/>
    <cellStyle name="Normal 8 5 2" xfId="9101"/>
    <cellStyle name="Normal 8 6" xfId="9102"/>
    <cellStyle name="Normal 8 7" xfId="9103"/>
    <cellStyle name="Normal 8 8" xfId="9104"/>
    <cellStyle name="Normal 9" xfId="9105"/>
    <cellStyle name="Normal 9 2" xfId="9106"/>
    <cellStyle name="Normal 9 2 2" xfId="9107"/>
    <cellStyle name="Normal 9 2 2 2" xfId="9108"/>
    <cellStyle name="Normal 9 2 2 2 2" xfId="9109"/>
    <cellStyle name="Normal 9 2 2 2 2 2" xfId="9110"/>
    <cellStyle name="Normal 9 2 2 2 2 2 2" xfId="9111"/>
    <cellStyle name="Normal 9 2 2 2 2 2 2 2" xfId="9112"/>
    <cellStyle name="Normal 9 2 2 2 2 2 3" xfId="9113"/>
    <cellStyle name="Normal 9 2 2 2 2 2 3 2" xfId="9114"/>
    <cellStyle name="Normal 9 2 2 2 2 2 4" xfId="9115"/>
    <cellStyle name="Normal 9 2 2 2 2 3" xfId="9116"/>
    <cellStyle name="Normal 9 2 2 2 2 3 2" xfId="9117"/>
    <cellStyle name="Normal 9 2 2 2 2 4" xfId="9118"/>
    <cellStyle name="Normal 9 2 2 2 2 4 2" xfId="9119"/>
    <cellStyle name="Normal 9 2 2 2 2 5" xfId="9120"/>
    <cellStyle name="Normal 9 2 2 2 3" xfId="9121"/>
    <cellStyle name="Normal 9 2 2 2 3 2" xfId="9122"/>
    <cellStyle name="Normal 9 2 2 2 3 2 2" xfId="9123"/>
    <cellStyle name="Normal 9 2 2 2 3 3" xfId="9124"/>
    <cellStyle name="Normal 9 2 2 2 3 3 2" xfId="9125"/>
    <cellStyle name="Normal 9 2 2 2 3 4" xfId="9126"/>
    <cellStyle name="Normal 9 2 2 2 4" xfId="9127"/>
    <cellStyle name="Normal 9 2 2 2 4 2" xfId="9128"/>
    <cellStyle name="Normal 9 2 2 2 5" xfId="9129"/>
    <cellStyle name="Normal 9 2 2 2 5 2" xfId="9130"/>
    <cellStyle name="Normal 9 2 2 2 6" xfId="9131"/>
    <cellStyle name="Normal 9 2 2 3" xfId="9132"/>
    <cellStyle name="Normal 9 2 2 3 2" xfId="9133"/>
    <cellStyle name="Normal 9 2 2 3 2 2" xfId="9134"/>
    <cellStyle name="Normal 9 2 2 3 2 2 2" xfId="9135"/>
    <cellStyle name="Normal 9 2 2 3 2 2 2 2" xfId="9136"/>
    <cellStyle name="Normal 9 2 2 3 2 2 3" xfId="9137"/>
    <cellStyle name="Normal 9 2 2 3 2 2 3 2" xfId="9138"/>
    <cellStyle name="Normal 9 2 2 3 2 2 4" xfId="9139"/>
    <cellStyle name="Normal 9 2 2 3 2 3" xfId="9140"/>
    <cellStyle name="Normal 9 2 2 3 2 3 2" xfId="9141"/>
    <cellStyle name="Normal 9 2 2 3 2 4" xfId="9142"/>
    <cellStyle name="Normal 9 2 2 3 2 4 2" xfId="9143"/>
    <cellStyle name="Normal 9 2 2 3 2 5" xfId="9144"/>
    <cellStyle name="Normal 9 2 2 3 3" xfId="9145"/>
    <cellStyle name="Normal 9 2 2 3 3 2" xfId="9146"/>
    <cellStyle name="Normal 9 2 2 3 3 2 2" xfId="9147"/>
    <cellStyle name="Normal 9 2 2 3 3 2 2 2" xfId="9148"/>
    <cellStyle name="Normal 9 2 2 3 3 2 3" xfId="9149"/>
    <cellStyle name="Normal 9 2 2 3 3 2 3 2" xfId="9150"/>
    <cellStyle name="Normal 9 2 2 3 3 2 4" xfId="9151"/>
    <cellStyle name="Normal 9 2 2 3 3 3" xfId="9152"/>
    <cellStyle name="Normal 9 2 2 3 3 3 2" xfId="9153"/>
    <cellStyle name="Normal 9 2 2 3 3 3 2 2" xfId="9154"/>
    <cellStyle name="Normal 9 2 2 3 3 3 3" xfId="9155"/>
    <cellStyle name="Normal 9 2 2 3 3 3 3 2" xfId="9156"/>
    <cellStyle name="Normal 9 2 2 3 3 3 4" xfId="9157"/>
    <cellStyle name="Normal 9 2 2 3 3 4" xfId="9158"/>
    <cellStyle name="Normal 9 2 2 3 3 4 2" xfId="9159"/>
    <cellStyle name="Normal 9 2 2 3 3 5" xfId="9160"/>
    <cellStyle name="Normal 9 2 2 3 3 5 2" xfId="9161"/>
    <cellStyle name="Normal 9 2 2 3 3 6" xfId="9162"/>
    <cellStyle name="Normal 9 2 2 3 4" xfId="9163"/>
    <cellStyle name="Normal 9 2 2 3 4 2" xfId="9164"/>
    <cellStyle name="Normal 9 2 2 3 4 2 2" xfId="9165"/>
    <cellStyle name="Normal 9 2 2 3 4 3" xfId="9166"/>
    <cellStyle name="Normal 9 2 2 3 4 3 2" xfId="9167"/>
    <cellStyle name="Normal 9 2 2 3 4 4" xfId="9168"/>
    <cellStyle name="Normal 9 2 2 3 5" xfId="9169"/>
    <cellStyle name="Normal 9 2 2 3 5 2" xfId="9170"/>
    <cellStyle name="Normal 9 2 2 3 6" xfId="9171"/>
    <cellStyle name="Normal 9 2 2 3 6 2" xfId="9172"/>
    <cellStyle name="Normal 9 2 2 3 7" xfId="9173"/>
    <cellStyle name="Normal 9 2 2 4" xfId="9174"/>
    <cellStyle name="Normal 9 2 2 4 2" xfId="9175"/>
    <cellStyle name="Normal 9 2 2 4 2 2" xfId="9176"/>
    <cellStyle name="Normal 9 2 2 4 2 2 2" xfId="9177"/>
    <cellStyle name="Normal 9 2 2 4 2 3" xfId="9178"/>
    <cellStyle name="Normal 9 2 2 4 2 3 2" xfId="9179"/>
    <cellStyle name="Normal 9 2 2 4 2 4" xfId="9180"/>
    <cellStyle name="Normal 9 2 2 4 3" xfId="9181"/>
    <cellStyle name="Normal 9 2 2 4 3 2" xfId="9182"/>
    <cellStyle name="Normal 9 2 2 4 4" xfId="9183"/>
    <cellStyle name="Normal 9 2 2 4 4 2" xfId="9184"/>
    <cellStyle name="Normal 9 2 2 4 5" xfId="9185"/>
    <cellStyle name="Normal 9 2 3" xfId="9186"/>
    <cellStyle name="Normal 9 2 3 2" xfId="9187"/>
    <cellStyle name="Normal 9 2 3 3" xfId="9188"/>
    <cellStyle name="Normal 9 2 4" xfId="9189"/>
    <cellStyle name="Normal 9 2 4 2" xfId="9190"/>
    <cellStyle name="Normal 9 2 5" xfId="9191"/>
    <cellStyle name="Normal 9 2 6" xfId="9192"/>
    <cellStyle name="Normal 9 3" xfId="9193"/>
    <cellStyle name="Normal 9 3 2" xfId="9194"/>
    <cellStyle name="Normal 9 3 2 2" xfId="9195"/>
    <cellStyle name="Normal 9 3 2 3" xfId="9196"/>
    <cellStyle name="Normal 9 3 3" xfId="9197"/>
    <cellStyle name="Normal 9 3 4" xfId="9198"/>
    <cellStyle name="Normal 9 3 5" xfId="9199"/>
    <cellStyle name="Normal 9 4" xfId="9200"/>
    <cellStyle name="Normal 9 4 2" xfId="9201"/>
    <cellStyle name="Normal 9 5" xfId="9202"/>
    <cellStyle name="Normal 9 6" xfId="9203"/>
    <cellStyle name="Normal 9 7" xfId="9204"/>
    <cellStyle name="Note 2" xfId="9205"/>
    <cellStyle name="Note 2 2" xfId="9206"/>
    <cellStyle name="Note 2 2 2" xfId="9207"/>
    <cellStyle name="Note 2 2 2 2" xfId="9208"/>
    <cellStyle name="Note 2 2 2 3" xfId="9209"/>
    <cellStyle name="Note 2 2 2 4" xfId="9210"/>
    <cellStyle name="Note 2 2 3" xfId="9211"/>
    <cellStyle name="Note 2 2 3 2" xfId="9212"/>
    <cellStyle name="Note 2 2 3 3" xfId="9213"/>
    <cellStyle name="Note 2 2 4" xfId="9214"/>
    <cellStyle name="Note 2 2 5" xfId="9215"/>
    <cellStyle name="Note 2 3" xfId="9216"/>
    <cellStyle name="Note 2 3 2" xfId="9217"/>
    <cellStyle name="Note 2 3 3" xfId="9218"/>
    <cellStyle name="Note 2 3 4" xfId="9219"/>
    <cellStyle name="Note 2 4" xfId="9220"/>
    <cellStyle name="Note 2 4 2" xfId="9221"/>
    <cellStyle name="Note 2 4 3" xfId="9222"/>
    <cellStyle name="Note 2 4 4" xfId="9223"/>
    <cellStyle name="Note 2 4 5" xfId="9224"/>
    <cellStyle name="Note 2 5" xfId="9225"/>
    <cellStyle name="Note 2 6" xfId="9226"/>
    <cellStyle name="Note 2 7" xfId="9227"/>
    <cellStyle name="Note 3" xfId="9228"/>
    <cellStyle name="Note 3 2" xfId="9229"/>
    <cellStyle name="Note 3 2 2" xfId="9230"/>
    <cellStyle name="Note 3 2 2 2" xfId="9231"/>
    <cellStyle name="Note 3 2 2 2 2" xfId="9232"/>
    <cellStyle name="Note 3 2 2 2 2 2" xfId="9233"/>
    <cellStyle name="Note 3 2 2 2 3" xfId="9234"/>
    <cellStyle name="Note 3 2 2 3" xfId="9235"/>
    <cellStyle name="Note 3 2 2 3 2" xfId="9236"/>
    <cellStyle name="Note 3 2 2 4" xfId="9237"/>
    <cellStyle name="Note 3 2 3" xfId="9238"/>
    <cellStyle name="Note 3 3" xfId="9239"/>
    <cellStyle name="Output 2" xfId="9240"/>
    <cellStyle name="Output 2 10" xfId="9241"/>
    <cellStyle name="Output 2 11" xfId="9242"/>
    <cellStyle name="Output 2 2" xfId="9243"/>
    <cellStyle name="Output 2 2 2" xfId="9244"/>
    <cellStyle name="Output 2 2 2 2" xfId="9245"/>
    <cellStyle name="Output 2 2 2 2 2" xfId="9246"/>
    <cellStyle name="Output 2 2 2 3" xfId="9247"/>
    <cellStyle name="Output 2 2 2 4" xfId="9248"/>
    <cellStyle name="Output 2 2 2 5" xfId="9249"/>
    <cellStyle name="Output 2 2 3" xfId="9250"/>
    <cellStyle name="Output 2 2 4" xfId="9251"/>
    <cellStyle name="Output 2 2 5" xfId="9252"/>
    <cellStyle name="Output 2 3" xfId="9253"/>
    <cellStyle name="Output 2 3 2" xfId="9254"/>
    <cellStyle name="Output 2 3 2 2" xfId="9255"/>
    <cellStyle name="Output 2 3 2 3" xfId="9256"/>
    <cellStyle name="Output 2 3 2 4" xfId="9257"/>
    <cellStyle name="Output 2 3 3" xfId="9258"/>
    <cellStyle name="Output 2 3 3 2" xfId="9259"/>
    <cellStyle name="Output 2 3 3 3" xfId="9260"/>
    <cellStyle name="Output 2 3 4" xfId="9261"/>
    <cellStyle name="Output 2 3 5" xfId="9262"/>
    <cellStyle name="Output 2 3 6" xfId="9263"/>
    <cellStyle name="Output 2 4" xfId="9264"/>
    <cellStyle name="Output 2 4 2" xfId="9265"/>
    <cellStyle name="Output 2 4 2 2" xfId="9266"/>
    <cellStyle name="Output 2 4 2 3" xfId="9267"/>
    <cellStyle name="Output 2 4 2 4" xfId="9268"/>
    <cellStyle name="Output 2 4 3" xfId="9269"/>
    <cellStyle name="Output 2 4 3 2" xfId="9270"/>
    <cellStyle name="Output 2 4 3 3" xfId="9271"/>
    <cellStyle name="Output 2 4 4" xfId="9272"/>
    <cellStyle name="Output 2 4 5" xfId="9273"/>
    <cellStyle name="Output 2 4 6" xfId="9274"/>
    <cellStyle name="Output 2 5" xfId="9275"/>
    <cellStyle name="Output 2 5 2" xfId="9276"/>
    <cellStyle name="Output 2 5 2 2" xfId="9277"/>
    <cellStyle name="Output 2 5 2 3" xfId="9278"/>
    <cellStyle name="Output 2 5 2 4" xfId="9279"/>
    <cellStyle name="Output 2 5 3" xfId="9280"/>
    <cellStyle name="Output 2 5 3 2" xfId="9281"/>
    <cellStyle name="Output 2 5 3 3" xfId="9282"/>
    <cellStyle name="Output 2 5 4" xfId="9283"/>
    <cellStyle name="Output 2 5 5" xfId="9284"/>
    <cellStyle name="Output 2 5 6" xfId="9285"/>
    <cellStyle name="Output 2 6" xfId="9286"/>
    <cellStyle name="Output 2 6 2" xfId="9287"/>
    <cellStyle name="Output 2 6 3" xfId="9288"/>
    <cellStyle name="Output 2 6 4" xfId="9289"/>
    <cellStyle name="Output 2 7" xfId="9290"/>
    <cellStyle name="Output 2 7 2" xfId="9291"/>
    <cellStyle name="Output 2 7 3" xfId="9292"/>
    <cellStyle name="Output 2 8" xfId="9293"/>
    <cellStyle name="Output 2 9" xfId="9294"/>
    <cellStyle name="Output 3" xfId="9295"/>
    <cellStyle name="Output 3 2" xfId="9296"/>
    <cellStyle name="Output 3 2 2" xfId="9297"/>
    <cellStyle name="Output 3 2 2 2" xfId="9298"/>
    <cellStyle name="Output 3 2 2 2 2" xfId="9299"/>
    <cellStyle name="Output 3 2 2 3" xfId="9300"/>
    <cellStyle name="Output 3 2 3" xfId="9301"/>
    <cellStyle name="Output 3 3" xfId="9302"/>
    <cellStyle name="Output 4" xfId="9303"/>
    <cellStyle name="Output 4 2" xfId="9304"/>
    <cellStyle name="Output 4 2 2" xfId="9305"/>
    <cellStyle name="Output 4 3" xfId="9306"/>
    <cellStyle name="Output 5" xfId="9307"/>
    <cellStyle name="Output 6" xfId="9308"/>
    <cellStyle name="Pass_BlueColor" xfId="9309"/>
    <cellStyle name="Percent 2" xfId="9310"/>
    <cellStyle name="Percent 2 2" xfId="9311"/>
    <cellStyle name="Percent 3" xfId="9312"/>
    <cellStyle name="Percent 3 2" xfId="9313"/>
    <cellStyle name="Percent 4" xfId="9314"/>
    <cellStyle name="Percent 5" xfId="9315"/>
    <cellStyle name="Percent 5 2" xfId="9316"/>
    <cellStyle name="Result 1" xfId="9317"/>
    <cellStyle name="Result 1 10" xfId="9318"/>
    <cellStyle name="Result 1 11" xfId="9319"/>
    <cellStyle name="Result 1 2" xfId="9320"/>
    <cellStyle name="Result 1 2 10" xfId="9321"/>
    <cellStyle name="Result 1 2 2" xfId="9322"/>
    <cellStyle name="Result 1 2 2 10" xfId="9323"/>
    <cellStyle name="Result 1 2 2 2" xfId="9324"/>
    <cellStyle name="Result 1 2 2 2 2" xfId="9325"/>
    <cellStyle name="Result 1 2 2 2 2 2" xfId="9326"/>
    <cellStyle name="Result 1 2 2 2 2 2 2" xfId="9327"/>
    <cellStyle name="Result 1 2 2 2 2 3" xfId="9328"/>
    <cellStyle name="Result 1 2 2 2 2 4" xfId="9329"/>
    <cellStyle name="Result 1 2 2 2 2 5" xfId="9330"/>
    <cellStyle name="Result 1 2 2 2 3" xfId="9331"/>
    <cellStyle name="Result 1 2 2 2 3 2" xfId="9332"/>
    <cellStyle name="Result 1 2 2 2 3 3" xfId="9333"/>
    <cellStyle name="Result 1 2 2 2 3 4" xfId="9334"/>
    <cellStyle name="Result 1 2 2 2 4" xfId="9335"/>
    <cellStyle name="Result 1 2 2 2 5" xfId="9336"/>
    <cellStyle name="Result 1 2 2 2 6" xfId="9337"/>
    <cellStyle name="Result 1 2 2 2 7" xfId="9338"/>
    <cellStyle name="Result 1 2 2 3" xfId="9339"/>
    <cellStyle name="Result 1 2 2 3 2" xfId="9340"/>
    <cellStyle name="Result 1 2 2 3 2 2" xfId="9341"/>
    <cellStyle name="Result 1 2 2 3 2 3" xfId="9342"/>
    <cellStyle name="Result 1 2 2 3 2 4" xfId="9343"/>
    <cellStyle name="Result 1 2 2 3 3" xfId="9344"/>
    <cellStyle name="Result 1 2 2 3 3 2" xfId="9345"/>
    <cellStyle name="Result 1 2 2 3 3 3" xfId="9346"/>
    <cellStyle name="Result 1 2 2 3 4" xfId="9347"/>
    <cellStyle name="Result 1 2 2 3 5" xfId="9348"/>
    <cellStyle name="Result 1 2 2 3 6" xfId="9349"/>
    <cellStyle name="Result 1 2 2 4" xfId="9350"/>
    <cellStyle name="Result 1 2 2 4 2" xfId="9351"/>
    <cellStyle name="Result 1 2 2 4 2 2" xfId="9352"/>
    <cellStyle name="Result 1 2 2 4 2 3" xfId="9353"/>
    <cellStyle name="Result 1 2 2 4 2 4" xfId="9354"/>
    <cellStyle name="Result 1 2 2 4 3" xfId="9355"/>
    <cellStyle name="Result 1 2 2 4 3 2" xfId="9356"/>
    <cellStyle name="Result 1 2 2 4 3 3" xfId="9357"/>
    <cellStyle name="Result 1 2 2 4 4" xfId="9358"/>
    <cellStyle name="Result 1 2 2 4 5" xfId="9359"/>
    <cellStyle name="Result 1 2 2 4 6" xfId="9360"/>
    <cellStyle name="Result 1 2 2 5" xfId="9361"/>
    <cellStyle name="Result 1 2 2 5 2" xfId="9362"/>
    <cellStyle name="Result 1 2 2 5 3" xfId="9363"/>
    <cellStyle name="Result 1 2 2 5 4" xfId="9364"/>
    <cellStyle name="Result 1 2 2 6" xfId="9365"/>
    <cellStyle name="Result 1 2 2 6 2" xfId="9366"/>
    <cellStyle name="Result 1 2 2 6 3" xfId="9367"/>
    <cellStyle name="Result 1 2 2 7" xfId="9368"/>
    <cellStyle name="Result 1 2 2 8" xfId="9369"/>
    <cellStyle name="Result 1 2 2 9" xfId="9370"/>
    <cellStyle name="Result 1 2 3" xfId="9371"/>
    <cellStyle name="Result 1 2 3 2" xfId="9372"/>
    <cellStyle name="Result 1 2 3 2 2" xfId="9373"/>
    <cellStyle name="Result 1 2 3 2 3" xfId="9374"/>
    <cellStyle name="Result 1 2 3 2 4" xfId="9375"/>
    <cellStyle name="Result 1 2 3 3" xfId="9376"/>
    <cellStyle name="Result 1 2 3 3 2" xfId="9377"/>
    <cellStyle name="Result 1 2 3 3 3" xfId="9378"/>
    <cellStyle name="Result 1 2 3 4" xfId="9379"/>
    <cellStyle name="Result 1 2 3 5" xfId="9380"/>
    <cellStyle name="Result 1 2 3 6" xfId="9381"/>
    <cellStyle name="Result 1 2 4" xfId="9382"/>
    <cellStyle name="Result 1 2 4 2" xfId="9383"/>
    <cellStyle name="Result 1 2 4 2 2" xfId="9384"/>
    <cellStyle name="Result 1 2 4 2 3" xfId="9385"/>
    <cellStyle name="Result 1 2 4 2 4" xfId="9386"/>
    <cellStyle name="Result 1 2 4 3" xfId="9387"/>
    <cellStyle name="Result 1 2 4 3 2" xfId="9388"/>
    <cellStyle name="Result 1 2 4 3 3" xfId="9389"/>
    <cellStyle name="Result 1 2 4 4" xfId="9390"/>
    <cellStyle name="Result 1 2 4 5" xfId="9391"/>
    <cellStyle name="Result 1 2 4 6" xfId="9392"/>
    <cellStyle name="Result 1 2 5" xfId="9393"/>
    <cellStyle name="Result 1 2 5 2" xfId="9394"/>
    <cellStyle name="Result 1 2 5 3" xfId="9395"/>
    <cellStyle name="Result 1 2 5 4" xfId="9396"/>
    <cellStyle name="Result 1 2 6" xfId="9397"/>
    <cellStyle name="Result 1 2 6 2" xfId="9398"/>
    <cellStyle name="Result 1 2 6 3" xfId="9399"/>
    <cellStyle name="Result 1 2 7" xfId="9400"/>
    <cellStyle name="Result 1 2 8" xfId="9401"/>
    <cellStyle name="Result 1 2 9" xfId="9402"/>
    <cellStyle name="Result 1 3" xfId="9403"/>
    <cellStyle name="Result 1 3 10" xfId="9404"/>
    <cellStyle name="Result 1 3 2" xfId="9405"/>
    <cellStyle name="Result 1 3 2 2" xfId="9406"/>
    <cellStyle name="Result 1 3 2 2 2" xfId="9407"/>
    <cellStyle name="Result 1 3 2 2 2 2" xfId="9408"/>
    <cellStyle name="Result 1 3 2 2 3" xfId="9409"/>
    <cellStyle name="Result 1 3 2 2 4" xfId="9410"/>
    <cellStyle name="Result 1 3 2 2 5" xfId="9411"/>
    <cellStyle name="Result 1 3 2 3" xfId="9412"/>
    <cellStyle name="Result 1 3 2 3 2" xfId="9413"/>
    <cellStyle name="Result 1 3 2 3 3" xfId="9414"/>
    <cellStyle name="Result 1 3 2 3 4" xfId="9415"/>
    <cellStyle name="Result 1 3 2 4" xfId="9416"/>
    <cellStyle name="Result 1 3 2 5" xfId="9417"/>
    <cellStyle name="Result 1 3 2 6" xfId="9418"/>
    <cellStyle name="Result 1 3 2 7" xfId="9419"/>
    <cellStyle name="Result 1 3 3" xfId="9420"/>
    <cellStyle name="Result 1 3 3 2" xfId="9421"/>
    <cellStyle name="Result 1 3 3 2 2" xfId="9422"/>
    <cellStyle name="Result 1 3 3 2 3" xfId="9423"/>
    <cellStyle name="Result 1 3 3 2 4" xfId="9424"/>
    <cellStyle name="Result 1 3 3 3" xfId="9425"/>
    <cellStyle name="Result 1 3 3 3 2" xfId="9426"/>
    <cellStyle name="Result 1 3 3 3 3" xfId="9427"/>
    <cellStyle name="Result 1 3 3 4" xfId="9428"/>
    <cellStyle name="Result 1 3 3 5" xfId="9429"/>
    <cellStyle name="Result 1 3 3 6" xfId="9430"/>
    <cellStyle name="Result 1 3 4" xfId="9431"/>
    <cellStyle name="Result 1 3 4 2" xfId="9432"/>
    <cellStyle name="Result 1 3 4 2 2" xfId="9433"/>
    <cellStyle name="Result 1 3 4 2 3" xfId="9434"/>
    <cellStyle name="Result 1 3 4 2 4" xfId="9435"/>
    <cellStyle name="Result 1 3 4 3" xfId="9436"/>
    <cellStyle name="Result 1 3 4 3 2" xfId="9437"/>
    <cellStyle name="Result 1 3 4 3 3" xfId="9438"/>
    <cellStyle name="Result 1 3 4 4" xfId="9439"/>
    <cellStyle name="Result 1 3 4 5" xfId="9440"/>
    <cellStyle name="Result 1 3 4 6" xfId="9441"/>
    <cellStyle name="Result 1 3 5" xfId="9442"/>
    <cellStyle name="Result 1 3 5 2" xfId="9443"/>
    <cellStyle name="Result 1 3 5 3" xfId="9444"/>
    <cellStyle name="Result 1 3 5 4" xfId="9445"/>
    <cellStyle name="Result 1 3 6" xfId="9446"/>
    <cellStyle name="Result 1 3 6 2" xfId="9447"/>
    <cellStyle name="Result 1 3 6 3" xfId="9448"/>
    <cellStyle name="Result 1 3 7" xfId="9449"/>
    <cellStyle name="Result 1 3 8" xfId="9450"/>
    <cellStyle name="Result 1 3 9" xfId="9451"/>
    <cellStyle name="Result 1 4" xfId="9452"/>
    <cellStyle name="Result 1 4 2" xfId="9453"/>
    <cellStyle name="Result 1 4 2 2" xfId="9454"/>
    <cellStyle name="Result 1 4 2 3" xfId="9455"/>
    <cellStyle name="Result 1 4 2 4" xfId="9456"/>
    <cellStyle name="Result 1 4 3" xfId="9457"/>
    <cellStyle name="Result 1 4 3 2" xfId="9458"/>
    <cellStyle name="Result 1 4 3 3" xfId="9459"/>
    <cellStyle name="Result 1 4 4" xfId="9460"/>
    <cellStyle name="Result 1 4 5" xfId="9461"/>
    <cellStyle name="Result 1 4 6" xfId="9462"/>
    <cellStyle name="Result 1 5" xfId="9463"/>
    <cellStyle name="Result 1 5 2" xfId="9464"/>
    <cellStyle name="Result 1 5 2 2" xfId="9465"/>
    <cellStyle name="Result 1 5 2 3" xfId="9466"/>
    <cellStyle name="Result 1 5 2 4" xfId="9467"/>
    <cellStyle name="Result 1 5 3" xfId="9468"/>
    <cellStyle name="Result 1 5 3 2" xfId="9469"/>
    <cellStyle name="Result 1 5 3 3" xfId="9470"/>
    <cellStyle name="Result 1 5 4" xfId="9471"/>
    <cellStyle name="Result 1 5 5" xfId="9472"/>
    <cellStyle name="Result 1 5 6" xfId="9473"/>
    <cellStyle name="Result 1 6" xfId="9474"/>
    <cellStyle name="Result 1 6 2" xfId="9475"/>
    <cellStyle name="Result 1 6 3" xfId="9476"/>
    <cellStyle name="Result 1 6 4" xfId="9477"/>
    <cellStyle name="Result 1 7" xfId="9478"/>
    <cellStyle name="Result 1 7 2" xfId="9479"/>
    <cellStyle name="Result 1 7 3" xfId="9480"/>
    <cellStyle name="Result 1 8" xfId="9481"/>
    <cellStyle name="Result 1 9" xfId="9482"/>
    <cellStyle name="Result 2" xfId="9483"/>
    <cellStyle name="Result 2 10" xfId="9484"/>
    <cellStyle name="Result 2 2" xfId="9485"/>
    <cellStyle name="Result 2 2 10" xfId="9486"/>
    <cellStyle name="Result 2 2 2" xfId="9487"/>
    <cellStyle name="Result 2 2 2 2" xfId="9488"/>
    <cellStyle name="Result 2 2 2 2 2" xfId="9489"/>
    <cellStyle name="Result 2 2 2 2 2 2" xfId="9490"/>
    <cellStyle name="Result 2 2 2 2 3" xfId="9491"/>
    <cellStyle name="Result 2 2 2 2 4" xfId="9492"/>
    <cellStyle name="Result 2 2 2 2 5" xfId="9493"/>
    <cellStyle name="Result 2 2 2 3" xfId="9494"/>
    <cellStyle name="Result 2 2 2 3 2" xfId="9495"/>
    <cellStyle name="Result 2 2 2 3 3" xfId="9496"/>
    <cellStyle name="Result 2 2 2 3 4" xfId="9497"/>
    <cellStyle name="Result 2 2 2 4" xfId="9498"/>
    <cellStyle name="Result 2 2 2 5" xfId="9499"/>
    <cellStyle name="Result 2 2 2 6" xfId="9500"/>
    <cellStyle name="Result 2 2 2 7" xfId="9501"/>
    <cellStyle name="Result 2 2 3" xfId="9502"/>
    <cellStyle name="Result 2 2 3 2" xfId="9503"/>
    <cellStyle name="Result 2 2 3 2 2" xfId="9504"/>
    <cellStyle name="Result 2 2 3 2 3" xfId="9505"/>
    <cellStyle name="Result 2 2 3 2 4" xfId="9506"/>
    <cellStyle name="Result 2 2 3 3" xfId="9507"/>
    <cellStyle name="Result 2 2 3 3 2" xfId="9508"/>
    <cellStyle name="Result 2 2 3 3 3" xfId="9509"/>
    <cellStyle name="Result 2 2 3 4" xfId="9510"/>
    <cellStyle name="Result 2 2 3 5" xfId="9511"/>
    <cellStyle name="Result 2 2 3 6" xfId="9512"/>
    <cellStyle name="Result 2 2 4" xfId="9513"/>
    <cellStyle name="Result 2 2 4 2" xfId="9514"/>
    <cellStyle name="Result 2 2 4 2 2" xfId="9515"/>
    <cellStyle name="Result 2 2 4 2 3" xfId="9516"/>
    <cellStyle name="Result 2 2 4 2 4" xfId="9517"/>
    <cellStyle name="Result 2 2 4 3" xfId="9518"/>
    <cellStyle name="Result 2 2 4 3 2" xfId="9519"/>
    <cellStyle name="Result 2 2 4 3 3" xfId="9520"/>
    <cellStyle name="Result 2 2 4 4" xfId="9521"/>
    <cellStyle name="Result 2 2 4 5" xfId="9522"/>
    <cellStyle name="Result 2 2 4 6" xfId="9523"/>
    <cellStyle name="Result 2 2 5" xfId="9524"/>
    <cellStyle name="Result 2 2 5 2" xfId="9525"/>
    <cellStyle name="Result 2 2 5 3" xfId="9526"/>
    <cellStyle name="Result 2 2 5 4" xfId="9527"/>
    <cellStyle name="Result 2 2 6" xfId="9528"/>
    <cellStyle name="Result 2 2 6 2" xfId="9529"/>
    <cellStyle name="Result 2 2 6 3" xfId="9530"/>
    <cellStyle name="Result 2 2 7" xfId="9531"/>
    <cellStyle name="Result 2 2 8" xfId="9532"/>
    <cellStyle name="Result 2 2 9" xfId="9533"/>
    <cellStyle name="Result 2 3" xfId="9534"/>
    <cellStyle name="Result 2 3 2" xfId="9535"/>
    <cellStyle name="Result 2 3 2 2" xfId="9536"/>
    <cellStyle name="Result 2 3 2 3" xfId="9537"/>
    <cellStyle name="Result 2 3 2 4" xfId="9538"/>
    <cellStyle name="Result 2 3 3" xfId="9539"/>
    <cellStyle name="Result 2 3 3 2" xfId="9540"/>
    <cellStyle name="Result 2 3 3 3" xfId="9541"/>
    <cellStyle name="Result 2 3 4" xfId="9542"/>
    <cellStyle name="Result 2 3 5" xfId="9543"/>
    <cellStyle name="Result 2 3 6" xfId="9544"/>
    <cellStyle name="Result 2 4" xfId="9545"/>
    <cellStyle name="Result 2 4 2" xfId="9546"/>
    <cellStyle name="Result 2 4 2 2" xfId="9547"/>
    <cellStyle name="Result 2 4 2 3" xfId="9548"/>
    <cellStyle name="Result 2 4 2 4" xfId="9549"/>
    <cellStyle name="Result 2 4 3" xfId="9550"/>
    <cellStyle name="Result 2 4 3 2" xfId="9551"/>
    <cellStyle name="Result 2 4 3 3" xfId="9552"/>
    <cellStyle name="Result 2 4 4" xfId="9553"/>
    <cellStyle name="Result 2 4 5" xfId="9554"/>
    <cellStyle name="Result 2 4 6" xfId="9555"/>
    <cellStyle name="Result 2 5" xfId="9556"/>
    <cellStyle name="Result 2 5 2" xfId="9557"/>
    <cellStyle name="Result 2 5 3" xfId="9558"/>
    <cellStyle name="Result 2 5 4" xfId="9559"/>
    <cellStyle name="Result 2 6" xfId="9560"/>
    <cellStyle name="Result 2 6 2" xfId="9561"/>
    <cellStyle name="Result 2 6 3" xfId="9562"/>
    <cellStyle name="Result 2 7" xfId="9563"/>
    <cellStyle name="Result 2 8" xfId="9564"/>
    <cellStyle name="Result 2 9" xfId="9565"/>
    <cellStyle name="Title 2" xfId="9566"/>
    <cellStyle name="Title 2 2" xfId="9567"/>
    <cellStyle name="Title 2 2 2" xfId="9568"/>
    <cellStyle name="Title 2 2 2 2" xfId="9569"/>
    <cellStyle name="Title 2 2 2 3" xfId="9570"/>
    <cellStyle name="Title 2 2 2 4" xfId="9571"/>
    <cellStyle name="Title 2 2 3" xfId="9572"/>
    <cellStyle name="Title 2 2 3 2" xfId="9573"/>
    <cellStyle name="Title 2 2 3 3" xfId="9574"/>
    <cellStyle name="Title 2 2 4" xfId="9575"/>
    <cellStyle name="Title 2 2 5" xfId="9576"/>
    <cellStyle name="Title 2 3" xfId="9577"/>
    <cellStyle name="Title 2 3 2" xfId="9578"/>
    <cellStyle name="Title 2 3 2 2" xfId="9579"/>
    <cellStyle name="Title 2 3 2 3" xfId="9580"/>
    <cellStyle name="Title 2 3 2 4" xfId="9581"/>
    <cellStyle name="Title 2 3 3" xfId="9582"/>
    <cellStyle name="Title 2 3 3 2" xfId="9583"/>
    <cellStyle name="Title 2 3 3 3" xfId="9584"/>
    <cellStyle name="Title 2 3 3 4" xfId="9585"/>
    <cellStyle name="Title 2 3 3 5" xfId="9586"/>
    <cellStyle name="Title 2 3 4" xfId="9587"/>
    <cellStyle name="Title 2 3 5" xfId="9588"/>
    <cellStyle name="Title 2 3 6" xfId="9589"/>
    <cellStyle name="Title 2 4" xfId="9590"/>
    <cellStyle name="Title 2 4 2" xfId="9591"/>
    <cellStyle name="Title 2 4 3" xfId="9592"/>
    <cellStyle name="Title 2 4 4" xfId="9593"/>
    <cellStyle name="Title 2 4 5" xfId="9594"/>
    <cellStyle name="Title 2 5" xfId="9595"/>
    <cellStyle name="Title 2 6" xfId="9596"/>
    <cellStyle name="Title 2 7" xfId="9597"/>
    <cellStyle name="Title 2 8" xfId="9598"/>
    <cellStyle name="Title 3" xfId="9599"/>
    <cellStyle name="Title 3 2" xfId="9600"/>
    <cellStyle name="Title 3 2 2" xfId="9601"/>
    <cellStyle name="Title 3 3" xfId="9602"/>
    <cellStyle name="Title 4" xfId="9603"/>
    <cellStyle name="Title 5" xfId="9604"/>
    <cellStyle name="TODO" xfId="9605"/>
    <cellStyle name="TODO 2" xfId="9606"/>
    <cellStyle name="TODO 2 2" xfId="9607"/>
    <cellStyle name="TODO 2 2 2" xfId="9608"/>
    <cellStyle name="TODO 2 2 3" xfId="9609"/>
    <cellStyle name="TODO 2 2 4" xfId="9610"/>
    <cellStyle name="TODO 2 3" xfId="9611"/>
    <cellStyle name="TODO 2 3 2" xfId="9612"/>
    <cellStyle name="TODO 2 3 3" xfId="9613"/>
    <cellStyle name="TODO 2 4" xfId="9614"/>
    <cellStyle name="TODO 2 4 2" xfId="9615"/>
    <cellStyle name="TODO 2 4 3" xfId="9616"/>
    <cellStyle name="TODO 2 5" xfId="9617"/>
    <cellStyle name="TODO 2 6" xfId="9618"/>
    <cellStyle name="TODO 2 7" xfId="9619"/>
    <cellStyle name="TODO 3" xfId="9620"/>
    <cellStyle name="TODO 3 2" xfId="9621"/>
    <cellStyle name="TODO 3 3" xfId="9622"/>
    <cellStyle name="TODO 4" xfId="9623"/>
    <cellStyle name="TODO 4 2" xfId="9624"/>
    <cellStyle name="TODO 4 3" xfId="9625"/>
    <cellStyle name="TODO 5" xfId="9626"/>
    <cellStyle name="TODO 6" xfId="9627"/>
    <cellStyle name="TODO 7" xfId="9628"/>
    <cellStyle name="Total 2" xfId="9629"/>
    <cellStyle name="Total 2 2" xfId="9630"/>
    <cellStyle name="Total 2 2 2" xfId="9631"/>
    <cellStyle name="Total 2 2 2 2" xfId="9632"/>
    <cellStyle name="Total 2 2 2 3" xfId="9633"/>
    <cellStyle name="Total 2 2 2 4" xfId="9634"/>
    <cellStyle name="Total 2 2 3" xfId="9635"/>
    <cellStyle name="Total 2 2 4" xfId="9636"/>
    <cellStyle name="Total 2 2 5" xfId="9637"/>
    <cellStyle name="Total 2 3" xfId="9638"/>
    <cellStyle name="Total 2 3 2" xfId="9639"/>
    <cellStyle name="Total 2 3 2 2" xfId="9640"/>
    <cellStyle name="Total 2 3 2 3" xfId="9641"/>
    <cellStyle name="Total 2 3 2 4" xfId="9642"/>
    <cellStyle name="Total 2 3 3" xfId="9643"/>
    <cellStyle name="Total 2 3 3 2" xfId="9644"/>
    <cellStyle name="Total 2 3 3 3" xfId="9645"/>
    <cellStyle name="Total 2 3 4" xfId="9646"/>
    <cellStyle name="Total 2 3 5" xfId="9647"/>
    <cellStyle name="Total 2 3 6" xfId="9648"/>
    <cellStyle name="Total 2 4" xfId="9649"/>
    <cellStyle name="Total 2 4 2" xfId="9650"/>
    <cellStyle name="Total 2 4 3" xfId="9651"/>
    <cellStyle name="Total 2 5" xfId="9652"/>
    <cellStyle name="Total 2 6" xfId="9653"/>
    <cellStyle name="Total 2 7" xfId="9654"/>
    <cellStyle name="Total 2 8" xfId="9655"/>
    <cellStyle name="Total 3" xfId="9656"/>
    <cellStyle name="Total 3 2" xfId="9657"/>
    <cellStyle name="Total 3 2 2" xfId="9658"/>
    <cellStyle name="Total 3 2 2 2" xfId="9659"/>
    <cellStyle name="Total 3 2 2 2 2" xfId="9660"/>
    <cellStyle name="Total 3 2 2 3" xfId="9661"/>
    <cellStyle name="Total 3 2 3" xfId="9662"/>
    <cellStyle name="Total 3 3" xfId="9663"/>
    <cellStyle name="Total 4" xfId="9664"/>
    <cellStyle name="Total 4 2" xfId="9665"/>
    <cellStyle name="Total 4 2 2" xfId="9666"/>
    <cellStyle name="Total 4 3" xfId="9667"/>
    <cellStyle name="Total 5" xfId="9668"/>
    <cellStyle name="Total 6" xfId="9669"/>
    <cellStyle name="Untitled1" xfId="9670"/>
    <cellStyle name="Untitled1 10" xfId="9671"/>
    <cellStyle name="Untitled1 2" xfId="9672"/>
    <cellStyle name="Untitled1 2 2" xfId="9673"/>
    <cellStyle name="Untitled1 2 2 2" xfId="9674"/>
    <cellStyle name="Untitled1 2 2 2 2" xfId="9675"/>
    <cellStyle name="Untitled1 2 2 2 3" xfId="9676"/>
    <cellStyle name="Untitled1 2 2 2 4" xfId="9677"/>
    <cellStyle name="Untitled1 2 2 3" xfId="9678"/>
    <cellStyle name="Untitled1 2 2 4" xfId="9679"/>
    <cellStyle name="Untitled1 2 2 5" xfId="9680"/>
    <cellStyle name="Untitled1 2 3" xfId="9681"/>
    <cellStyle name="Untitled1 2 3 2" xfId="9682"/>
    <cellStyle name="Untitled1 2 3 2 2" xfId="9683"/>
    <cellStyle name="Untitled1 2 3 2 3" xfId="9684"/>
    <cellStyle name="Untitled1 2 3 3" xfId="9685"/>
    <cellStyle name="Untitled1 2 3 4" xfId="9686"/>
    <cellStyle name="Untitled1 2 3 5" xfId="9687"/>
    <cellStyle name="Untitled1 2 4" xfId="9688"/>
    <cellStyle name="Untitled1 2 4 2" xfId="9689"/>
    <cellStyle name="Untitled1 2 4 3" xfId="9690"/>
    <cellStyle name="Untitled1 2 5" xfId="9691"/>
    <cellStyle name="Untitled1 2 6" xfId="9692"/>
    <cellStyle name="Untitled1 2 7" xfId="9693"/>
    <cellStyle name="Untitled1 3" xfId="9694"/>
    <cellStyle name="Untitled1 3 10" xfId="9695"/>
    <cellStyle name="Untitled1 3 2" xfId="9696"/>
    <cellStyle name="Untitled1 3 2 2" xfId="9697"/>
    <cellStyle name="Untitled1 3 2 2 2" xfId="9698"/>
    <cellStyle name="Untitled1 3 2 2 2 2" xfId="9699"/>
    <cellStyle name="Untitled1 3 2 2 2 3" xfId="9700"/>
    <cellStyle name="Untitled1 3 2 2 2 4" xfId="9701"/>
    <cellStyle name="Untitled1 3 2 2 3" xfId="9702"/>
    <cellStyle name="Untitled1 3 2 2 3 2" xfId="9703"/>
    <cellStyle name="Untitled1 3 2 2 3 3" xfId="9704"/>
    <cellStyle name="Untitled1 3 2 2 4" xfId="9705"/>
    <cellStyle name="Untitled1 3 2 2 5" xfId="9706"/>
    <cellStyle name="Untitled1 3 2 2 6" xfId="9707"/>
    <cellStyle name="Untitled1 3 2 2 7" xfId="9708"/>
    <cellStyle name="Untitled1 3 2 3" xfId="9709"/>
    <cellStyle name="Untitled1 3 2 3 2" xfId="9710"/>
    <cellStyle name="Untitled1 3 2 3 2 2" xfId="9711"/>
    <cellStyle name="Untitled1 3 2 3 2 3" xfId="9712"/>
    <cellStyle name="Untitled1 3 2 3 2 4" xfId="9713"/>
    <cellStyle name="Untitled1 3 2 3 3" xfId="9714"/>
    <cellStyle name="Untitled1 3 2 3 3 2" xfId="9715"/>
    <cellStyle name="Untitled1 3 2 3 3 3" xfId="9716"/>
    <cellStyle name="Untitled1 3 2 3 4" xfId="9717"/>
    <cellStyle name="Untitled1 3 2 3 5" xfId="9718"/>
    <cellStyle name="Untitled1 3 2 3 6" xfId="9719"/>
    <cellStyle name="Untitled1 3 2 4" xfId="9720"/>
    <cellStyle name="Untitled1 3 2 4 2" xfId="9721"/>
    <cellStyle name="Untitled1 3 2 4 3" xfId="9722"/>
    <cellStyle name="Untitled1 3 2 4 4" xfId="9723"/>
    <cellStyle name="Untitled1 3 2 5" xfId="9724"/>
    <cellStyle name="Untitled1 3 2 5 2" xfId="9725"/>
    <cellStyle name="Untitled1 3 2 5 3" xfId="9726"/>
    <cellStyle name="Untitled1 3 2 6" xfId="9727"/>
    <cellStyle name="Untitled1 3 2 7" xfId="9728"/>
    <cellStyle name="Untitled1 3 2 8" xfId="9729"/>
    <cellStyle name="Untitled1 3 2 9" xfId="9730"/>
    <cellStyle name="Untitled1 3 3" xfId="9731"/>
    <cellStyle name="Untitled1 3 3 2" xfId="9732"/>
    <cellStyle name="Untitled1 3 3 2 2" xfId="9733"/>
    <cellStyle name="Untitled1 3 3 2 3" xfId="9734"/>
    <cellStyle name="Untitled1 3 3 2 4" xfId="9735"/>
    <cellStyle name="Untitled1 3 3 3" xfId="9736"/>
    <cellStyle name="Untitled1 3 3 3 2" xfId="9737"/>
    <cellStyle name="Untitled1 3 3 3 3" xfId="9738"/>
    <cellStyle name="Untitled1 3 3 4" xfId="9739"/>
    <cellStyle name="Untitled1 3 3 5" xfId="9740"/>
    <cellStyle name="Untitled1 3 3 6" xfId="9741"/>
    <cellStyle name="Untitled1 3 4" xfId="9742"/>
    <cellStyle name="Untitled1 3 4 2" xfId="9743"/>
    <cellStyle name="Untitled1 3 4 2 2" xfId="9744"/>
    <cellStyle name="Untitled1 3 4 2 3" xfId="9745"/>
    <cellStyle name="Untitled1 3 4 2 4" xfId="9746"/>
    <cellStyle name="Untitled1 3 4 3" xfId="9747"/>
    <cellStyle name="Untitled1 3 4 3 2" xfId="9748"/>
    <cellStyle name="Untitled1 3 4 3 3" xfId="9749"/>
    <cellStyle name="Untitled1 3 4 4" xfId="9750"/>
    <cellStyle name="Untitled1 3 4 5" xfId="9751"/>
    <cellStyle name="Untitled1 3 4 6" xfId="9752"/>
    <cellStyle name="Untitled1 3 5" xfId="9753"/>
    <cellStyle name="Untitled1 3 5 2" xfId="9754"/>
    <cellStyle name="Untitled1 3 5 3" xfId="9755"/>
    <cellStyle name="Untitled1 3 5 4" xfId="9756"/>
    <cellStyle name="Untitled1 3 6" xfId="9757"/>
    <cellStyle name="Untitled1 3 6 2" xfId="9758"/>
    <cellStyle name="Untitled1 3 6 3" xfId="9759"/>
    <cellStyle name="Untitled1 3 7" xfId="9760"/>
    <cellStyle name="Untitled1 3 8" xfId="9761"/>
    <cellStyle name="Untitled1 3 9" xfId="9762"/>
    <cellStyle name="Untitled1 4" xfId="9763"/>
    <cellStyle name="Untitled1 4 10" xfId="9764"/>
    <cellStyle name="Untitled1 4 2" xfId="9765"/>
    <cellStyle name="Untitled1 4 2 2" xfId="9766"/>
    <cellStyle name="Untitled1 4 2 2 2" xfId="9767"/>
    <cellStyle name="Untitled1 4 2 2 2 2" xfId="9768"/>
    <cellStyle name="Untitled1 4 2 2 3" xfId="9769"/>
    <cellStyle name="Untitled1 4 2 2 4" xfId="9770"/>
    <cellStyle name="Untitled1 4 2 2 5" xfId="9771"/>
    <cellStyle name="Untitled1 4 2 3" xfId="9772"/>
    <cellStyle name="Untitled1 4 2 3 2" xfId="9773"/>
    <cellStyle name="Untitled1 4 2 3 3" xfId="9774"/>
    <cellStyle name="Untitled1 4 2 4" xfId="9775"/>
    <cellStyle name="Untitled1 4 2 5" xfId="9776"/>
    <cellStyle name="Untitled1 4 2 6" xfId="9777"/>
    <cellStyle name="Untitled1 4 2 7" xfId="9778"/>
    <cellStyle name="Untitled1 4 3" xfId="9779"/>
    <cellStyle name="Untitled1 4 3 2" xfId="9780"/>
    <cellStyle name="Untitled1 4 3 2 2" xfId="9781"/>
    <cellStyle name="Untitled1 4 3 2 3" xfId="9782"/>
    <cellStyle name="Untitled1 4 3 3" xfId="9783"/>
    <cellStyle name="Untitled1 4 3 4" xfId="9784"/>
    <cellStyle name="Untitled1 4 3 5" xfId="9785"/>
    <cellStyle name="Untitled1 4 4" xfId="9786"/>
    <cellStyle name="Untitled1 4 4 2" xfId="9787"/>
    <cellStyle name="Untitled1 4 4 3" xfId="9788"/>
    <cellStyle name="Untitled1 4 5" xfId="9789"/>
    <cellStyle name="Untitled1 4 5 2" xfId="9790"/>
    <cellStyle name="Untitled1 4 5 3" xfId="9791"/>
    <cellStyle name="Untitled1 4 6" xfId="9792"/>
    <cellStyle name="Untitled1 4 6 2" xfId="9793"/>
    <cellStyle name="Untitled1 4 6 3" xfId="9794"/>
    <cellStyle name="Untitled1 4 7" xfId="9795"/>
    <cellStyle name="Untitled1 4 8" xfId="9796"/>
    <cellStyle name="Untitled1 4 9" xfId="9797"/>
    <cellStyle name="Untitled1 5" xfId="9798"/>
    <cellStyle name="Untitled1 5 2" xfId="9799"/>
    <cellStyle name="Untitled1 5 2 2" xfId="9800"/>
    <cellStyle name="Untitled1 5 2 3" xfId="9801"/>
    <cellStyle name="Untitled1 5 2 4" xfId="9802"/>
    <cellStyle name="Untitled1 5 3" xfId="9803"/>
    <cellStyle name="Untitled1 5 3 2" xfId="9804"/>
    <cellStyle name="Untitled1 5 3 3" xfId="9805"/>
    <cellStyle name="Untitled1 5 4" xfId="9806"/>
    <cellStyle name="Untitled1 5 5" xfId="9807"/>
    <cellStyle name="Untitled1 5 6" xfId="9808"/>
    <cellStyle name="Untitled1 6" xfId="9809"/>
    <cellStyle name="Untitled1 6 2" xfId="9810"/>
    <cellStyle name="Untitled1 6 2 2" xfId="9811"/>
    <cellStyle name="Untitled1 6 2 3" xfId="9812"/>
    <cellStyle name="Untitled1 6 3" xfId="9813"/>
    <cellStyle name="Untitled1 6 4" xfId="9814"/>
    <cellStyle name="Untitled1 6 5" xfId="9815"/>
    <cellStyle name="Untitled1 7" xfId="9816"/>
    <cellStyle name="Untitled1 7 2" xfId="9817"/>
    <cellStyle name="Untitled1 7 3" xfId="9818"/>
    <cellStyle name="Untitled1 8" xfId="9819"/>
    <cellStyle name="Untitled1 9" xfId="9820"/>
    <cellStyle name="Untitled10" xfId="9821"/>
    <cellStyle name="Untitled10 2" xfId="9822"/>
    <cellStyle name="Untitled10 2 2" xfId="9823"/>
    <cellStyle name="Untitled10 2 2 2" xfId="9824"/>
    <cellStyle name="Untitled10 2 2 3" xfId="9825"/>
    <cellStyle name="Untitled10 2 3" xfId="9826"/>
    <cellStyle name="Untitled10 2 4" xfId="9827"/>
    <cellStyle name="Untitled10 2 5" xfId="9828"/>
    <cellStyle name="Untitled10 3" xfId="9829"/>
    <cellStyle name="Untitled10 3 2" xfId="9830"/>
    <cellStyle name="Untitled10 3 3" xfId="9831"/>
    <cellStyle name="Untitled10 4" xfId="9832"/>
    <cellStyle name="Untitled10 4 2" xfId="9833"/>
    <cellStyle name="Untitled10 4 3" xfId="9834"/>
    <cellStyle name="Untitled10 5" xfId="9835"/>
    <cellStyle name="Untitled10 6" xfId="9836"/>
    <cellStyle name="Untitled10 7" xfId="9837"/>
    <cellStyle name="Untitled11" xfId="9838"/>
    <cellStyle name="Untitled11 2" xfId="9839"/>
    <cellStyle name="Untitled11 2 2" xfId="9840"/>
    <cellStyle name="Untitled11 2 2 2" xfId="9841"/>
    <cellStyle name="Untitled11 2 2 3" xfId="9842"/>
    <cellStyle name="Untitled11 2 3" xfId="9843"/>
    <cellStyle name="Untitled11 2 4" xfId="9844"/>
    <cellStyle name="Untitled11 2 5" xfId="9845"/>
    <cellStyle name="Untitled11 3" xfId="9846"/>
    <cellStyle name="Untitled11 3 2" xfId="9847"/>
    <cellStyle name="Untitled11 3 3" xfId="9848"/>
    <cellStyle name="Untitled11 4" xfId="9849"/>
    <cellStyle name="Untitled11 4 2" xfId="9850"/>
    <cellStyle name="Untitled11 4 3" xfId="9851"/>
    <cellStyle name="Untitled11 5" xfId="9852"/>
    <cellStyle name="Untitled11 6" xfId="9853"/>
    <cellStyle name="Untitled11 7" xfId="9854"/>
    <cellStyle name="Untitled12" xfId="9855"/>
    <cellStyle name="Untitled12 2" xfId="9856"/>
    <cellStyle name="Untitled12 2 2" xfId="9857"/>
    <cellStyle name="Untitled12 2 2 2" xfId="9858"/>
    <cellStyle name="Untitled12 2 2 3" xfId="9859"/>
    <cellStyle name="Untitled12 2 3" xfId="9860"/>
    <cellStyle name="Untitled12 2 3 2" xfId="9861"/>
    <cellStyle name="Untitled12 2 3 3" xfId="9862"/>
    <cellStyle name="Untitled12 2 4" xfId="9863"/>
    <cellStyle name="Untitled12 2 5" xfId="9864"/>
    <cellStyle name="Untitled12 2 6" xfId="9865"/>
    <cellStyle name="Untitled12 3" xfId="9866"/>
    <cellStyle name="Untitled12 3 2" xfId="9867"/>
    <cellStyle name="Untitled12 3 3" xfId="9868"/>
    <cellStyle name="Untitled12 4" xfId="9869"/>
    <cellStyle name="Untitled12 4 2" xfId="9870"/>
    <cellStyle name="Untitled12 4 3" xfId="9871"/>
    <cellStyle name="Untitled12 5" xfId="9872"/>
    <cellStyle name="Untitled12 5 2" xfId="9873"/>
    <cellStyle name="Untitled12 5 3" xfId="9874"/>
    <cellStyle name="Untitled12 6" xfId="9875"/>
    <cellStyle name="Untitled12 7" xfId="9876"/>
    <cellStyle name="Untitled12 8" xfId="9877"/>
    <cellStyle name="Untitled16" xfId="9878"/>
    <cellStyle name="Untitled16 2" xfId="9879"/>
    <cellStyle name="Untitled16 2 2" xfId="9880"/>
    <cellStyle name="Untitled16 2 2 2" xfId="9881"/>
    <cellStyle name="Untitled16 2 2 3" xfId="9882"/>
    <cellStyle name="Untitled16 2 2 4" xfId="9883"/>
    <cellStyle name="Untitled16 2 3" xfId="9884"/>
    <cellStyle name="Untitled16 2 3 2" xfId="9885"/>
    <cellStyle name="Untitled16 2 3 3" xfId="9886"/>
    <cellStyle name="Untitled16 2 4" xfId="9887"/>
    <cellStyle name="Untitled16 2 4 2" xfId="9888"/>
    <cellStyle name="Untitled16 2 4 3" xfId="9889"/>
    <cellStyle name="Untitled16 2 5" xfId="9890"/>
    <cellStyle name="Untitled16 2 6" xfId="9891"/>
    <cellStyle name="Untitled16 2 7" xfId="9892"/>
    <cellStyle name="Untitled16 3" xfId="9893"/>
    <cellStyle name="Untitled16 3 2" xfId="9894"/>
    <cellStyle name="Untitled16 3 3" xfId="9895"/>
    <cellStyle name="Untitled16 4" xfId="9896"/>
    <cellStyle name="Untitled16 4 2" xfId="9897"/>
    <cellStyle name="Untitled16 4 3" xfId="9898"/>
    <cellStyle name="Untitled16 5" xfId="9899"/>
    <cellStyle name="Untitled16 6" xfId="9900"/>
    <cellStyle name="Untitled16 7" xfId="9901"/>
    <cellStyle name="Untitled2" xfId="9902"/>
    <cellStyle name="Untitled2 10" xfId="9903"/>
    <cellStyle name="Untitled2 11" xfId="9904"/>
    <cellStyle name="Untitled2 12" xfId="9905"/>
    <cellStyle name="Untitled2 2" xfId="9906"/>
    <cellStyle name="Untitled2 2 2" xfId="9907"/>
    <cellStyle name="Untitled2 2 2 2" xfId="9908"/>
    <cellStyle name="Untitled2 2 2 2 2" xfId="9909"/>
    <cellStyle name="Untitled2 2 2 2 3" xfId="9910"/>
    <cellStyle name="Untitled2 2 2 2 4" xfId="9911"/>
    <cellStyle name="Untitled2 2 2 3" xfId="9912"/>
    <cellStyle name="Untitled2 2 2 3 2" xfId="9913"/>
    <cellStyle name="Untitled2 2 2 3 2 2" xfId="9914"/>
    <cellStyle name="Untitled2 2 2 3 2 3" xfId="9915"/>
    <cellStyle name="Untitled2 2 2 3 2 4" xfId="9916"/>
    <cellStyle name="Untitled2 2 2 3 3" xfId="9917"/>
    <cellStyle name="Untitled2 2 2 3 3 2" xfId="9918"/>
    <cellStyle name="Untitled2 2 2 3 3 3" xfId="9919"/>
    <cellStyle name="Untitled2 2 2 3 4" xfId="9920"/>
    <cellStyle name="Untitled2 2 2 3 5" xfId="9921"/>
    <cellStyle name="Untitled2 2 2 3 6" xfId="9922"/>
    <cellStyle name="Untitled2 2 2 4" xfId="9923"/>
    <cellStyle name="Untitled2 2 2 4 2" xfId="9924"/>
    <cellStyle name="Untitled2 2 2 4 3" xfId="9925"/>
    <cellStyle name="Untitled2 2 2 4 4" xfId="9926"/>
    <cellStyle name="Untitled2 2 2 5" xfId="9927"/>
    <cellStyle name="Untitled2 2 2 5 2" xfId="9928"/>
    <cellStyle name="Untitled2 2 2 5 3" xfId="9929"/>
    <cellStyle name="Untitled2 2 2 5 4" xfId="9930"/>
    <cellStyle name="Untitled2 2 2 6" xfId="9931"/>
    <cellStyle name="Untitled2 2 2 6 2" xfId="9932"/>
    <cellStyle name="Untitled2 2 2 6 3" xfId="9933"/>
    <cellStyle name="Untitled2 2 2 7" xfId="9934"/>
    <cellStyle name="Untitled2 2 2 8" xfId="9935"/>
    <cellStyle name="Untitled2 2 2 9" xfId="9936"/>
    <cellStyle name="Untitled2 2 3" xfId="9937"/>
    <cellStyle name="Untitled2 2 3 2" xfId="9938"/>
    <cellStyle name="Untitled2 2 3 2 2" xfId="9939"/>
    <cellStyle name="Untitled2 2 3 2 2 2" xfId="9940"/>
    <cellStyle name="Untitled2 2 3 2 2 2 2" xfId="9941"/>
    <cellStyle name="Untitled2 2 3 2 2 3" xfId="9942"/>
    <cellStyle name="Untitled2 2 3 2 2 4" xfId="9943"/>
    <cellStyle name="Untitled2 2 3 2 2 5" xfId="9944"/>
    <cellStyle name="Untitled2 2 3 2 3" xfId="9945"/>
    <cellStyle name="Untitled2 2 3 2 3 2" xfId="9946"/>
    <cellStyle name="Untitled2 2 3 2 3 3" xfId="9947"/>
    <cellStyle name="Untitled2 2 3 2 4" xfId="9948"/>
    <cellStyle name="Untitled2 2 3 2 5" xfId="9949"/>
    <cellStyle name="Untitled2 2 3 2 6" xfId="9950"/>
    <cellStyle name="Untitled2 2 3 2 7" xfId="9951"/>
    <cellStyle name="Untitled2 2 3 3" xfId="9952"/>
    <cellStyle name="Untitled2 2 3 3 2" xfId="9953"/>
    <cellStyle name="Untitled2 2 3 3 3" xfId="9954"/>
    <cellStyle name="Untitled2 2 3 3 4" xfId="9955"/>
    <cellStyle name="Untitled2 2 3 4" xfId="9956"/>
    <cellStyle name="Untitled2 2 3 4 2" xfId="9957"/>
    <cellStyle name="Untitled2 2 3 4 3" xfId="9958"/>
    <cellStyle name="Untitled2 2 3 5" xfId="9959"/>
    <cellStyle name="Untitled2 2 3 6" xfId="9960"/>
    <cellStyle name="Untitled2 2 3 7" xfId="9961"/>
    <cellStyle name="Untitled2 2 3 8" xfId="9962"/>
    <cellStyle name="Untitled2 2 4" xfId="9963"/>
    <cellStyle name="Untitled2 2 4 2" xfId="9964"/>
    <cellStyle name="Untitled2 2 4 3" xfId="9965"/>
    <cellStyle name="Untitled2 2 4 4" xfId="9966"/>
    <cellStyle name="Untitled2 2 5" xfId="9967"/>
    <cellStyle name="Untitled2 2 5 2" xfId="9968"/>
    <cellStyle name="Untitled2 2 5 3" xfId="9969"/>
    <cellStyle name="Untitled2 2 6" xfId="9970"/>
    <cellStyle name="Untitled2 2 7" xfId="9971"/>
    <cellStyle name="Untitled2 2 8" xfId="9972"/>
    <cellStyle name="Untitled2 3" xfId="9973"/>
    <cellStyle name="Untitled2 3 2" xfId="9974"/>
    <cellStyle name="Untitled2 3 2 2" xfId="9975"/>
    <cellStyle name="Untitled2 3 2 2 2" xfId="9976"/>
    <cellStyle name="Untitled2 3 2 2 3" xfId="9977"/>
    <cellStyle name="Untitled2 3 2 2 4" xfId="9978"/>
    <cellStyle name="Untitled2 3 2 3" xfId="9979"/>
    <cellStyle name="Untitled2 3 2 3 2" xfId="9980"/>
    <cellStyle name="Untitled2 3 2 3 3" xfId="9981"/>
    <cellStyle name="Untitled2 3 2 4" xfId="9982"/>
    <cellStyle name="Untitled2 3 2 5" xfId="9983"/>
    <cellStyle name="Untitled2 3 2 6" xfId="9984"/>
    <cellStyle name="Untitled2 3 2 7" xfId="9985"/>
    <cellStyle name="Untitled2 3 3" xfId="9986"/>
    <cellStyle name="Untitled2 3 3 2" xfId="9987"/>
    <cellStyle name="Untitled2 3 3 2 2" xfId="9988"/>
    <cellStyle name="Untitled2 3 3 2 3" xfId="9989"/>
    <cellStyle name="Untitled2 3 3 2 4" xfId="9990"/>
    <cellStyle name="Untitled2 3 3 3" xfId="9991"/>
    <cellStyle name="Untitled2 3 3 3 2" xfId="9992"/>
    <cellStyle name="Untitled2 3 3 3 3" xfId="9993"/>
    <cellStyle name="Untitled2 3 3 4" xfId="9994"/>
    <cellStyle name="Untitled2 3 3 5" xfId="9995"/>
    <cellStyle name="Untitled2 3 3 6" xfId="9996"/>
    <cellStyle name="Untitled2 3 4" xfId="9997"/>
    <cellStyle name="Untitled2 3 4 2" xfId="9998"/>
    <cellStyle name="Untitled2 3 4 3" xfId="9999"/>
    <cellStyle name="Untitled2 3 4 4" xfId="10000"/>
    <cellStyle name="Untitled2 3 5" xfId="10001"/>
    <cellStyle name="Untitled2 3 5 2" xfId="10002"/>
    <cellStyle name="Untitled2 3 5 3" xfId="10003"/>
    <cellStyle name="Untitled2 3 6" xfId="10004"/>
    <cellStyle name="Untitled2 3 7" xfId="10005"/>
    <cellStyle name="Untitled2 3 8" xfId="10006"/>
    <cellStyle name="Untitled2 3 9" xfId="10007"/>
    <cellStyle name="Untitled2 4" xfId="10008"/>
    <cellStyle name="Untitled2 4 10" xfId="10009"/>
    <cellStyle name="Untitled2 4 2" xfId="10010"/>
    <cellStyle name="Untitled2 4 2 2" xfId="10011"/>
    <cellStyle name="Untitled2 4 2 2 2" xfId="10012"/>
    <cellStyle name="Untitled2 4 2 2 2 2" xfId="10013"/>
    <cellStyle name="Untitled2 4 2 2 3" xfId="10014"/>
    <cellStyle name="Untitled2 4 2 2 4" xfId="10015"/>
    <cellStyle name="Untitled2 4 2 2 5" xfId="10016"/>
    <cellStyle name="Untitled2 4 2 3" xfId="10017"/>
    <cellStyle name="Untitled2 4 2 3 2" xfId="10018"/>
    <cellStyle name="Untitled2 4 2 3 3" xfId="10019"/>
    <cellStyle name="Untitled2 4 2 4" xfId="10020"/>
    <cellStyle name="Untitled2 4 2 5" xfId="10021"/>
    <cellStyle name="Untitled2 4 2 6" xfId="10022"/>
    <cellStyle name="Untitled2 4 2 7" xfId="10023"/>
    <cellStyle name="Untitled2 4 3" xfId="10024"/>
    <cellStyle name="Untitled2 4 3 2" xfId="10025"/>
    <cellStyle name="Untitled2 4 3 2 2" xfId="10026"/>
    <cellStyle name="Untitled2 4 3 2 3" xfId="10027"/>
    <cellStyle name="Untitled2 4 3 3" xfId="10028"/>
    <cellStyle name="Untitled2 4 3 4" xfId="10029"/>
    <cellStyle name="Untitled2 4 3 5" xfId="10030"/>
    <cellStyle name="Untitled2 4 4" xfId="10031"/>
    <cellStyle name="Untitled2 4 4 2" xfId="10032"/>
    <cellStyle name="Untitled2 4 4 3" xfId="10033"/>
    <cellStyle name="Untitled2 4 5" xfId="10034"/>
    <cellStyle name="Untitled2 4 5 2" xfId="10035"/>
    <cellStyle name="Untitled2 4 5 3" xfId="10036"/>
    <cellStyle name="Untitled2 4 6" xfId="10037"/>
    <cellStyle name="Untitled2 4 6 2" xfId="10038"/>
    <cellStyle name="Untitled2 4 6 3" xfId="10039"/>
    <cellStyle name="Untitled2 4 7" xfId="10040"/>
    <cellStyle name="Untitled2 4 8" xfId="10041"/>
    <cellStyle name="Untitled2 4 9" xfId="10042"/>
    <cellStyle name="Untitled2 5" xfId="10043"/>
    <cellStyle name="Untitled2 5 2" xfId="10044"/>
    <cellStyle name="Untitled2 5 2 2" xfId="10045"/>
    <cellStyle name="Untitled2 5 2 2 2" xfId="10046"/>
    <cellStyle name="Untitled2 5 2 2 2 2" xfId="10047"/>
    <cellStyle name="Untitled2 5 2 2 3" xfId="10048"/>
    <cellStyle name="Untitled2 5 2 2 4" xfId="10049"/>
    <cellStyle name="Untitled2 5 2 2 5" xfId="10050"/>
    <cellStyle name="Untitled2 5 2 3" xfId="10051"/>
    <cellStyle name="Untitled2 5 2 3 2" xfId="10052"/>
    <cellStyle name="Untitled2 5 2 3 3" xfId="10053"/>
    <cellStyle name="Untitled2 5 2 4" xfId="10054"/>
    <cellStyle name="Untitled2 5 2 5" xfId="10055"/>
    <cellStyle name="Untitled2 5 2 6" xfId="10056"/>
    <cellStyle name="Untitled2 5 2 7" xfId="10057"/>
    <cellStyle name="Untitled2 5 3" xfId="10058"/>
    <cellStyle name="Untitled2 5 3 2" xfId="10059"/>
    <cellStyle name="Untitled2 5 3 3" xfId="10060"/>
    <cellStyle name="Untitled2 5 3 4" xfId="10061"/>
    <cellStyle name="Untitled2 5 4" xfId="10062"/>
    <cellStyle name="Untitled2 5 4 2" xfId="10063"/>
    <cellStyle name="Untitled2 5 4 3" xfId="10064"/>
    <cellStyle name="Untitled2 5 5" xfId="10065"/>
    <cellStyle name="Untitled2 5 6" xfId="10066"/>
    <cellStyle name="Untitled2 5 7" xfId="10067"/>
    <cellStyle name="Untitled2 5 8" xfId="10068"/>
    <cellStyle name="Untitled2 6" xfId="10069"/>
    <cellStyle name="Untitled2 6 2" xfId="10070"/>
    <cellStyle name="Untitled2 6 2 2" xfId="10071"/>
    <cellStyle name="Untitled2 6 2 3" xfId="10072"/>
    <cellStyle name="Untitled2 6 2 4" xfId="10073"/>
    <cellStyle name="Untitled2 6 3" xfId="10074"/>
    <cellStyle name="Untitled2 6 3 2" xfId="10075"/>
    <cellStyle name="Untitled2 6 3 3" xfId="10076"/>
    <cellStyle name="Untitled2 6 4" xfId="10077"/>
    <cellStyle name="Untitled2 6 5" xfId="10078"/>
    <cellStyle name="Untitled2 6 6" xfId="10079"/>
    <cellStyle name="Untitled2 7" xfId="10080"/>
    <cellStyle name="Untitled2 7 2" xfId="10081"/>
    <cellStyle name="Untitled2 7 2 2" xfId="10082"/>
    <cellStyle name="Untitled2 7 2 3" xfId="10083"/>
    <cellStyle name="Untitled2 7 2 4" xfId="10084"/>
    <cellStyle name="Untitled2 7 3" xfId="10085"/>
    <cellStyle name="Untitled2 7 3 2" xfId="10086"/>
    <cellStyle name="Untitled2 7 3 3" xfId="10087"/>
    <cellStyle name="Untitled2 7 4" xfId="10088"/>
    <cellStyle name="Untitled2 7 5" xfId="10089"/>
    <cellStyle name="Untitled2 7 6" xfId="10090"/>
    <cellStyle name="Untitled2 8" xfId="10091"/>
    <cellStyle name="Untitled2 8 2" xfId="10092"/>
    <cellStyle name="Untitled2 8 3" xfId="10093"/>
    <cellStyle name="Untitled2 8 4" xfId="10094"/>
    <cellStyle name="Untitled2 9" xfId="10095"/>
    <cellStyle name="Untitled2 9 2" xfId="10096"/>
    <cellStyle name="Untitled2 9 3" xfId="10097"/>
    <cellStyle name="Untitled3" xfId="10098"/>
    <cellStyle name="Untitled3 10" xfId="10099"/>
    <cellStyle name="Untitled3 2" xfId="10100"/>
    <cellStyle name="Untitled3 2 2" xfId="10101"/>
    <cellStyle name="Untitled3 2 2 2" xfId="10102"/>
    <cellStyle name="Untitled3 2 2 2 2" xfId="10103"/>
    <cellStyle name="Untitled3 2 2 2 2 2" xfId="10104"/>
    <cellStyle name="Untitled3 2 2 2 3" xfId="10105"/>
    <cellStyle name="Untitled3 2 2 2 4" xfId="10106"/>
    <cellStyle name="Untitled3 2 2 2 5" xfId="10107"/>
    <cellStyle name="Untitled3 2 2 3" xfId="10108"/>
    <cellStyle name="Untitled3 2 2 3 2" xfId="10109"/>
    <cellStyle name="Untitled3 2 2 3 3" xfId="10110"/>
    <cellStyle name="Untitled3 2 2 4" xfId="10111"/>
    <cellStyle name="Untitled3 2 2 5" xfId="10112"/>
    <cellStyle name="Untitled3 2 2 6" xfId="10113"/>
    <cellStyle name="Untitled3 2 2 7" xfId="10114"/>
    <cellStyle name="Untitled3 2 3" xfId="10115"/>
    <cellStyle name="Untitled3 2 3 2" xfId="10116"/>
    <cellStyle name="Untitled3 2 3 3" xfId="10117"/>
    <cellStyle name="Untitled3 2 3 4" xfId="10118"/>
    <cellStyle name="Untitled3 2 4" xfId="10119"/>
    <cellStyle name="Untitled3 2 4 2" xfId="10120"/>
    <cellStyle name="Untitled3 2 4 3" xfId="10121"/>
    <cellStyle name="Untitled3 2 5" xfId="10122"/>
    <cellStyle name="Untitled3 2 6" xfId="10123"/>
    <cellStyle name="Untitled3 2 7" xfId="10124"/>
    <cellStyle name="Untitled3 2 8" xfId="10125"/>
    <cellStyle name="Untitled3 3" xfId="10126"/>
    <cellStyle name="Untitled3 3 2" xfId="10127"/>
    <cellStyle name="Untitled3 3 2 2" xfId="10128"/>
    <cellStyle name="Untitled3 3 2 3" xfId="10129"/>
    <cellStyle name="Untitled3 3 2 4" xfId="10130"/>
    <cellStyle name="Untitled3 3 3" xfId="10131"/>
    <cellStyle name="Untitled3 3 3 2" xfId="10132"/>
    <cellStyle name="Untitled3 3 3 3" xfId="10133"/>
    <cellStyle name="Untitled3 3 4" xfId="10134"/>
    <cellStyle name="Untitled3 3 5" xfId="10135"/>
    <cellStyle name="Untitled3 3 6" xfId="10136"/>
    <cellStyle name="Untitled3 4" xfId="10137"/>
    <cellStyle name="Untitled3 4 2" xfId="10138"/>
    <cellStyle name="Untitled3 4 2 2" xfId="10139"/>
    <cellStyle name="Untitled3 4 2 2 2" xfId="10140"/>
    <cellStyle name="Untitled3 4 2 2 2 2" xfId="10141"/>
    <cellStyle name="Untitled3 4 2 2 3" xfId="10142"/>
    <cellStyle name="Untitled3 4 2 2 4" xfId="10143"/>
    <cellStyle name="Untitled3 4 2 2 5" xfId="10144"/>
    <cellStyle name="Untitled3 4 2 3" xfId="10145"/>
    <cellStyle name="Untitled3 4 2 3 2" xfId="10146"/>
    <cellStyle name="Untitled3 4 2 3 3" xfId="10147"/>
    <cellStyle name="Untitled3 4 2 4" xfId="10148"/>
    <cellStyle name="Untitled3 4 2 5" xfId="10149"/>
    <cellStyle name="Untitled3 4 2 6" xfId="10150"/>
    <cellStyle name="Untitled3 4 2 7" xfId="10151"/>
    <cellStyle name="Untitled3 4 3" xfId="10152"/>
    <cellStyle name="Untitled3 4 3 2" xfId="10153"/>
    <cellStyle name="Untitled3 4 3 3" xfId="10154"/>
    <cellStyle name="Untitled3 4 3 4" xfId="10155"/>
    <cellStyle name="Untitled3 4 4" xfId="10156"/>
    <cellStyle name="Untitled3 4 4 2" xfId="10157"/>
    <cellStyle name="Untitled3 4 4 3" xfId="10158"/>
    <cellStyle name="Untitled3 4 5" xfId="10159"/>
    <cellStyle name="Untitled3 4 6" xfId="10160"/>
    <cellStyle name="Untitled3 4 7" xfId="10161"/>
    <cellStyle name="Untitled3 4 8" xfId="10162"/>
    <cellStyle name="Untitled3 5" xfId="10163"/>
    <cellStyle name="Untitled3 5 2" xfId="10164"/>
    <cellStyle name="Untitled3 5 2 2" xfId="10165"/>
    <cellStyle name="Untitled3 5 2 2 2" xfId="10166"/>
    <cellStyle name="Untitled3 5 2 2 2 2" xfId="10167"/>
    <cellStyle name="Untitled3 5 2 2 3" xfId="10168"/>
    <cellStyle name="Untitled3 5 2 2 4" xfId="10169"/>
    <cellStyle name="Untitled3 5 2 2 5" xfId="10170"/>
    <cellStyle name="Untitled3 5 2 3" xfId="10171"/>
    <cellStyle name="Untitled3 5 2 3 2" xfId="10172"/>
    <cellStyle name="Untitled3 5 2 3 3" xfId="10173"/>
    <cellStyle name="Untitled3 5 2 4" xfId="10174"/>
    <cellStyle name="Untitled3 5 2 5" xfId="10175"/>
    <cellStyle name="Untitled3 5 2 6" xfId="10176"/>
    <cellStyle name="Untitled3 5 2 7" xfId="10177"/>
    <cellStyle name="Untitled3 5 3" xfId="10178"/>
    <cellStyle name="Untitled3 5 3 2" xfId="10179"/>
    <cellStyle name="Untitled3 5 3 3" xfId="10180"/>
    <cellStyle name="Untitled3 5 3 4" xfId="10181"/>
    <cellStyle name="Untitled3 5 4" xfId="10182"/>
    <cellStyle name="Untitled3 5 4 2" xfId="10183"/>
    <cellStyle name="Untitled3 5 4 3" xfId="10184"/>
    <cellStyle name="Untitled3 5 5" xfId="10185"/>
    <cellStyle name="Untitled3 5 6" xfId="10186"/>
    <cellStyle name="Untitled3 5 7" xfId="10187"/>
    <cellStyle name="Untitled3 5 8" xfId="10188"/>
    <cellStyle name="Untitled3 6" xfId="10189"/>
    <cellStyle name="Untitled3 6 2" xfId="10190"/>
    <cellStyle name="Untitled3 6 3" xfId="10191"/>
    <cellStyle name="Untitled3 6 4" xfId="10192"/>
    <cellStyle name="Untitled3 7" xfId="10193"/>
    <cellStyle name="Untitled3 7 2" xfId="10194"/>
    <cellStyle name="Untitled3 7 3" xfId="10195"/>
    <cellStyle name="Untitled3 8" xfId="10196"/>
    <cellStyle name="Untitled3 9" xfId="10197"/>
    <cellStyle name="Untitled4" xfId="10198"/>
    <cellStyle name="Untitled4 2" xfId="10199"/>
    <cellStyle name="Untitled4 2 2" xfId="10200"/>
    <cellStyle name="Untitled4 2 2 2" xfId="10201"/>
    <cellStyle name="Untitled4 2 2 2 2" xfId="10202"/>
    <cellStyle name="Untitled4 2 2 2 2 2" xfId="10203"/>
    <cellStyle name="Untitled4 2 2 2 3" xfId="10204"/>
    <cellStyle name="Untitled4 2 2 2 4" xfId="10205"/>
    <cellStyle name="Untitled4 2 2 2 5" xfId="10206"/>
    <cellStyle name="Untitled4 2 2 3" xfId="10207"/>
    <cellStyle name="Untitled4 2 2 3 2" xfId="10208"/>
    <cellStyle name="Untitled4 2 2 3 3" xfId="10209"/>
    <cellStyle name="Untitled4 2 2 4" xfId="10210"/>
    <cellStyle name="Untitled4 2 2 5" xfId="10211"/>
    <cellStyle name="Untitled4 2 2 6" xfId="10212"/>
    <cellStyle name="Untitled4 2 2 7" xfId="10213"/>
    <cellStyle name="Untitled4 2 3" xfId="10214"/>
    <cellStyle name="Untitled4 2 3 2" xfId="10215"/>
    <cellStyle name="Untitled4 2 3 3" xfId="10216"/>
    <cellStyle name="Untitled4 2 3 4" xfId="10217"/>
    <cellStyle name="Untitled4 2 4" xfId="10218"/>
    <cellStyle name="Untitled4 2 4 2" xfId="10219"/>
    <cellStyle name="Untitled4 2 4 3" xfId="10220"/>
    <cellStyle name="Untitled4 2 5" xfId="10221"/>
    <cellStyle name="Untitled4 2 6" xfId="10222"/>
    <cellStyle name="Untitled4 2 7" xfId="10223"/>
    <cellStyle name="Untitled4 2 8" xfId="10224"/>
    <cellStyle name="Untitled4 3" xfId="10225"/>
    <cellStyle name="Untitled4 3 2" xfId="10226"/>
    <cellStyle name="Untitled4 3 2 2" xfId="10227"/>
    <cellStyle name="Untitled4 3 2 3" xfId="10228"/>
    <cellStyle name="Untitled4 3 2 4" xfId="10229"/>
    <cellStyle name="Untitled4 3 3" xfId="10230"/>
    <cellStyle name="Untitled4 3 3 2" xfId="10231"/>
    <cellStyle name="Untitled4 3 3 3" xfId="10232"/>
    <cellStyle name="Untitled4 3 4" xfId="10233"/>
    <cellStyle name="Untitled4 3 5" xfId="10234"/>
    <cellStyle name="Untitled4 3 6" xfId="10235"/>
    <cellStyle name="Untitled4 4" xfId="10236"/>
    <cellStyle name="Untitled4 4 2" xfId="10237"/>
    <cellStyle name="Untitled4 4 2 2" xfId="10238"/>
    <cellStyle name="Untitled4 4 2 2 2" xfId="10239"/>
    <cellStyle name="Untitled4 4 2 2 2 2" xfId="10240"/>
    <cellStyle name="Untitled4 4 2 2 3" xfId="10241"/>
    <cellStyle name="Untitled4 4 2 2 4" xfId="10242"/>
    <cellStyle name="Untitled4 4 2 2 5" xfId="10243"/>
    <cellStyle name="Untitled4 4 2 3" xfId="10244"/>
    <cellStyle name="Untitled4 4 2 3 2" xfId="10245"/>
    <cellStyle name="Untitled4 4 2 3 3" xfId="10246"/>
    <cellStyle name="Untitled4 4 2 4" xfId="10247"/>
    <cellStyle name="Untitled4 4 2 5" xfId="10248"/>
    <cellStyle name="Untitled4 4 2 6" xfId="10249"/>
    <cellStyle name="Untitled4 4 2 7" xfId="10250"/>
    <cellStyle name="Untitled4 4 3" xfId="10251"/>
    <cellStyle name="Untitled4 4 3 2" xfId="10252"/>
    <cellStyle name="Untitled4 4 3 3" xfId="10253"/>
    <cellStyle name="Untitled4 4 3 4" xfId="10254"/>
    <cellStyle name="Untitled4 4 4" xfId="10255"/>
    <cellStyle name="Untitled4 4 4 2" xfId="10256"/>
    <cellStyle name="Untitled4 4 4 3" xfId="10257"/>
    <cellStyle name="Untitled4 4 5" xfId="10258"/>
    <cellStyle name="Untitled4 4 6" xfId="10259"/>
    <cellStyle name="Untitled4 4 7" xfId="10260"/>
    <cellStyle name="Untitled4 4 8" xfId="10261"/>
    <cellStyle name="Untitled4 5" xfId="10262"/>
    <cellStyle name="Untitled4 5 2" xfId="10263"/>
    <cellStyle name="Untitled4 5 3" xfId="10264"/>
    <cellStyle name="Untitled4 5 4" xfId="10265"/>
    <cellStyle name="Untitled4 6" xfId="10266"/>
    <cellStyle name="Untitled4 6 2" xfId="10267"/>
    <cellStyle name="Untitled4 6 3" xfId="10268"/>
    <cellStyle name="Untitled4 7" xfId="10269"/>
    <cellStyle name="Untitled4 8" xfId="10270"/>
    <cellStyle name="Untitled4 9" xfId="10271"/>
    <cellStyle name="Untitled5" xfId="10272"/>
    <cellStyle name="Untitled5 2" xfId="10273"/>
    <cellStyle name="Untitled5 2 2" xfId="10274"/>
    <cellStyle name="Untitled5 2 2 2" xfId="10275"/>
    <cellStyle name="Untitled5 2 2 2 2" xfId="10276"/>
    <cellStyle name="Untitled5 2 2 2 2 2" xfId="10277"/>
    <cellStyle name="Untitled5 2 2 2 3" xfId="10278"/>
    <cellStyle name="Untitled5 2 2 2 4" xfId="10279"/>
    <cellStyle name="Untitled5 2 2 2 5" xfId="10280"/>
    <cellStyle name="Untitled5 2 2 3" xfId="10281"/>
    <cellStyle name="Untitled5 2 2 3 2" xfId="10282"/>
    <cellStyle name="Untitled5 2 2 3 3" xfId="10283"/>
    <cellStyle name="Untitled5 2 2 4" xfId="10284"/>
    <cellStyle name="Untitled5 2 2 5" xfId="10285"/>
    <cellStyle name="Untitled5 2 2 6" xfId="10286"/>
    <cellStyle name="Untitled5 2 2 7" xfId="10287"/>
    <cellStyle name="Untitled5 2 3" xfId="10288"/>
    <cellStyle name="Untitled5 2 3 2" xfId="10289"/>
    <cellStyle name="Untitled5 2 3 3" xfId="10290"/>
    <cellStyle name="Untitled5 2 3 4" xfId="10291"/>
    <cellStyle name="Untitled5 2 4" xfId="10292"/>
    <cellStyle name="Untitled5 2 4 2" xfId="10293"/>
    <cellStyle name="Untitled5 2 4 3" xfId="10294"/>
    <cellStyle name="Untitled5 2 5" xfId="10295"/>
    <cellStyle name="Untitled5 2 6" xfId="10296"/>
    <cellStyle name="Untitled5 2 7" xfId="10297"/>
    <cellStyle name="Untitled5 2 8" xfId="10298"/>
    <cellStyle name="Untitled5 3" xfId="10299"/>
    <cellStyle name="Untitled5 3 2" xfId="10300"/>
    <cellStyle name="Untitled5 3 2 2" xfId="10301"/>
    <cellStyle name="Untitled5 3 2 3" xfId="10302"/>
    <cellStyle name="Untitled5 3 2 4" xfId="10303"/>
    <cellStyle name="Untitled5 3 3" xfId="10304"/>
    <cellStyle name="Untitled5 3 3 2" xfId="10305"/>
    <cellStyle name="Untitled5 3 3 3" xfId="10306"/>
    <cellStyle name="Untitled5 3 4" xfId="10307"/>
    <cellStyle name="Untitled5 3 5" xfId="10308"/>
    <cellStyle name="Untitled5 3 6" xfId="10309"/>
    <cellStyle name="Untitled5 4" xfId="10310"/>
    <cellStyle name="Untitled5 4 2" xfId="10311"/>
    <cellStyle name="Untitled5 4 2 2" xfId="10312"/>
    <cellStyle name="Untitled5 4 2 2 2" xfId="10313"/>
    <cellStyle name="Untitled5 4 2 2 2 2" xfId="10314"/>
    <cellStyle name="Untitled5 4 2 2 3" xfId="10315"/>
    <cellStyle name="Untitled5 4 2 2 4" xfId="10316"/>
    <cellStyle name="Untitled5 4 2 2 5" xfId="10317"/>
    <cellStyle name="Untitled5 4 2 3" xfId="10318"/>
    <cellStyle name="Untitled5 4 2 3 2" xfId="10319"/>
    <cellStyle name="Untitled5 4 2 3 3" xfId="10320"/>
    <cellStyle name="Untitled5 4 2 4" xfId="10321"/>
    <cellStyle name="Untitled5 4 2 5" xfId="10322"/>
    <cellStyle name="Untitled5 4 2 6" xfId="10323"/>
    <cellStyle name="Untitled5 4 2 7" xfId="10324"/>
    <cellStyle name="Untitled5 4 3" xfId="10325"/>
    <cellStyle name="Untitled5 4 3 2" xfId="10326"/>
    <cellStyle name="Untitled5 4 3 3" xfId="10327"/>
    <cellStyle name="Untitled5 4 3 4" xfId="10328"/>
    <cellStyle name="Untitled5 4 4" xfId="10329"/>
    <cellStyle name="Untitled5 4 4 2" xfId="10330"/>
    <cellStyle name="Untitled5 4 4 3" xfId="10331"/>
    <cellStyle name="Untitled5 4 5" xfId="10332"/>
    <cellStyle name="Untitled5 4 6" xfId="10333"/>
    <cellStyle name="Untitled5 4 7" xfId="10334"/>
    <cellStyle name="Untitled5 4 8" xfId="10335"/>
    <cellStyle name="Untitled5 5" xfId="10336"/>
    <cellStyle name="Untitled5 5 2" xfId="10337"/>
    <cellStyle name="Untitled5 5 3" xfId="10338"/>
    <cellStyle name="Untitled5 5 4" xfId="10339"/>
    <cellStyle name="Untitled5 6" xfId="10340"/>
    <cellStyle name="Untitled5 6 2" xfId="10341"/>
    <cellStyle name="Untitled5 6 3" xfId="10342"/>
    <cellStyle name="Untitled5 7" xfId="10343"/>
    <cellStyle name="Untitled5 8" xfId="10344"/>
    <cellStyle name="Untitled5 9" xfId="10345"/>
    <cellStyle name="Untitled6" xfId="10346"/>
    <cellStyle name="Untitled6 2" xfId="10347"/>
    <cellStyle name="Untitled6 2 2" xfId="10348"/>
    <cellStyle name="Untitled6 2 2 2" xfId="10349"/>
    <cellStyle name="Untitled6 2 2 2 2" xfId="10350"/>
    <cellStyle name="Untitled6 2 2 2 2 2" xfId="10351"/>
    <cellStyle name="Untitled6 2 2 2 3" xfId="10352"/>
    <cellStyle name="Untitled6 2 2 2 4" xfId="10353"/>
    <cellStyle name="Untitled6 2 2 2 5" xfId="10354"/>
    <cellStyle name="Untitled6 2 2 3" xfId="10355"/>
    <cellStyle name="Untitled6 2 2 3 2" xfId="10356"/>
    <cellStyle name="Untitled6 2 2 3 3" xfId="10357"/>
    <cellStyle name="Untitled6 2 2 4" xfId="10358"/>
    <cellStyle name="Untitled6 2 2 5" xfId="10359"/>
    <cellStyle name="Untitled6 2 2 6" xfId="10360"/>
    <cellStyle name="Untitled6 2 2 7" xfId="10361"/>
    <cellStyle name="Untitled6 2 3" xfId="10362"/>
    <cellStyle name="Untitled6 2 3 2" xfId="10363"/>
    <cellStyle name="Untitled6 2 3 3" xfId="10364"/>
    <cellStyle name="Untitled6 2 3 4" xfId="10365"/>
    <cellStyle name="Untitled6 2 4" xfId="10366"/>
    <cellStyle name="Untitled6 2 4 2" xfId="10367"/>
    <cellStyle name="Untitled6 2 4 3" xfId="10368"/>
    <cellStyle name="Untitled6 2 5" xfId="10369"/>
    <cellStyle name="Untitled6 2 6" xfId="10370"/>
    <cellStyle name="Untitled6 2 7" xfId="10371"/>
    <cellStyle name="Untitled6 2 8" xfId="10372"/>
    <cellStyle name="Untitled6 3" xfId="10373"/>
    <cellStyle name="Untitled6 3 2" xfId="10374"/>
    <cellStyle name="Untitled6 3 2 2" xfId="10375"/>
    <cellStyle name="Untitled6 3 2 3" xfId="10376"/>
    <cellStyle name="Untitled6 3 2 4" xfId="10377"/>
    <cellStyle name="Untitled6 3 3" xfId="10378"/>
    <cellStyle name="Untitled6 3 3 2" xfId="10379"/>
    <cellStyle name="Untitled6 3 3 3" xfId="10380"/>
    <cellStyle name="Untitled6 3 4" xfId="10381"/>
    <cellStyle name="Untitled6 3 5" xfId="10382"/>
    <cellStyle name="Untitled6 3 6" xfId="10383"/>
    <cellStyle name="Untitled6 4" xfId="10384"/>
    <cellStyle name="Untitled6 4 2" xfId="10385"/>
    <cellStyle name="Untitled6 4 2 2" xfId="10386"/>
    <cellStyle name="Untitled6 4 2 2 2" xfId="10387"/>
    <cellStyle name="Untitled6 4 2 2 2 2" xfId="10388"/>
    <cellStyle name="Untitled6 4 2 2 3" xfId="10389"/>
    <cellStyle name="Untitled6 4 2 2 4" xfId="10390"/>
    <cellStyle name="Untitled6 4 2 2 5" xfId="10391"/>
    <cellStyle name="Untitled6 4 2 3" xfId="10392"/>
    <cellStyle name="Untitled6 4 2 3 2" xfId="10393"/>
    <cellStyle name="Untitled6 4 2 3 3" xfId="10394"/>
    <cellStyle name="Untitled6 4 2 4" xfId="10395"/>
    <cellStyle name="Untitled6 4 2 5" xfId="10396"/>
    <cellStyle name="Untitled6 4 2 6" xfId="10397"/>
    <cellStyle name="Untitled6 4 2 7" xfId="10398"/>
    <cellStyle name="Untitled6 4 3" xfId="10399"/>
    <cellStyle name="Untitled6 4 3 2" xfId="10400"/>
    <cellStyle name="Untitled6 4 3 3" xfId="10401"/>
    <cellStyle name="Untitled6 4 3 4" xfId="10402"/>
    <cellStyle name="Untitled6 4 4" xfId="10403"/>
    <cellStyle name="Untitled6 4 4 2" xfId="10404"/>
    <cellStyle name="Untitled6 4 4 3" xfId="10405"/>
    <cellStyle name="Untitled6 4 5" xfId="10406"/>
    <cellStyle name="Untitled6 4 6" xfId="10407"/>
    <cellStyle name="Untitled6 4 7" xfId="10408"/>
    <cellStyle name="Untitled6 4 8" xfId="10409"/>
    <cellStyle name="Untitled6 5" xfId="10410"/>
    <cellStyle name="Untitled6 5 2" xfId="10411"/>
    <cellStyle name="Untitled6 5 3" xfId="10412"/>
    <cellStyle name="Untitled6 5 4" xfId="10413"/>
    <cellStyle name="Untitled6 6" xfId="10414"/>
    <cellStyle name="Untitled6 6 2" xfId="10415"/>
    <cellStyle name="Untitled6 6 3" xfId="10416"/>
    <cellStyle name="Untitled6 7" xfId="10417"/>
    <cellStyle name="Untitled6 8" xfId="10418"/>
    <cellStyle name="Untitled6 9" xfId="10419"/>
    <cellStyle name="Untitled7" xfId="10420"/>
    <cellStyle name="Untitled7 2" xfId="10421"/>
    <cellStyle name="Untitled7 2 2" xfId="10422"/>
    <cellStyle name="Untitled7 2 2 2" xfId="10423"/>
    <cellStyle name="Untitled7 2 2 2 2" xfId="10424"/>
    <cellStyle name="Untitled7 2 2 2 2 2" xfId="10425"/>
    <cellStyle name="Untitled7 2 2 2 3" xfId="10426"/>
    <cellStyle name="Untitled7 2 2 2 4" xfId="10427"/>
    <cellStyle name="Untitled7 2 2 2 5" xfId="10428"/>
    <cellStyle name="Untitled7 2 2 3" xfId="10429"/>
    <cellStyle name="Untitled7 2 2 3 2" xfId="10430"/>
    <cellStyle name="Untitled7 2 2 3 3" xfId="10431"/>
    <cellStyle name="Untitled7 2 2 4" xfId="10432"/>
    <cellStyle name="Untitled7 2 2 5" xfId="10433"/>
    <cellStyle name="Untitled7 2 2 6" xfId="10434"/>
    <cellStyle name="Untitled7 2 2 7" xfId="10435"/>
    <cellStyle name="Untitled7 2 3" xfId="10436"/>
    <cellStyle name="Untitled7 2 3 2" xfId="10437"/>
    <cellStyle name="Untitled7 2 3 3" xfId="10438"/>
    <cellStyle name="Untitled7 2 3 4" xfId="10439"/>
    <cellStyle name="Untitled7 2 4" xfId="10440"/>
    <cellStyle name="Untitled7 2 4 2" xfId="10441"/>
    <cellStyle name="Untitled7 2 4 3" xfId="10442"/>
    <cellStyle name="Untitled7 2 5" xfId="10443"/>
    <cellStyle name="Untitled7 2 6" xfId="10444"/>
    <cellStyle name="Untitled7 2 7" xfId="10445"/>
    <cellStyle name="Untitled7 2 8" xfId="10446"/>
    <cellStyle name="Untitled7 3" xfId="10447"/>
    <cellStyle name="Untitled7 3 2" xfId="10448"/>
    <cellStyle name="Untitled7 3 2 2" xfId="10449"/>
    <cellStyle name="Untitled7 3 2 3" xfId="10450"/>
    <cellStyle name="Untitled7 3 2 4" xfId="10451"/>
    <cellStyle name="Untitled7 3 3" xfId="10452"/>
    <cellStyle name="Untitled7 3 3 2" xfId="10453"/>
    <cellStyle name="Untitled7 3 3 3" xfId="10454"/>
    <cellStyle name="Untitled7 3 4" xfId="10455"/>
    <cellStyle name="Untitled7 3 5" xfId="10456"/>
    <cellStyle name="Untitled7 3 6" xfId="10457"/>
    <cellStyle name="Untitled7 4" xfId="10458"/>
    <cellStyle name="Untitled7 4 2" xfId="10459"/>
    <cellStyle name="Untitled7 4 2 2" xfId="10460"/>
    <cellStyle name="Untitled7 4 2 2 2" xfId="10461"/>
    <cellStyle name="Untitled7 4 2 2 2 2" xfId="10462"/>
    <cellStyle name="Untitled7 4 2 2 3" xfId="10463"/>
    <cellStyle name="Untitled7 4 2 2 4" xfId="10464"/>
    <cellStyle name="Untitled7 4 2 2 5" xfId="10465"/>
    <cellStyle name="Untitled7 4 2 3" xfId="10466"/>
    <cellStyle name="Untitled7 4 2 3 2" xfId="10467"/>
    <cellStyle name="Untitled7 4 2 3 3" xfId="10468"/>
    <cellStyle name="Untitled7 4 2 4" xfId="10469"/>
    <cellStyle name="Untitled7 4 2 5" xfId="10470"/>
    <cellStyle name="Untitled7 4 2 6" xfId="10471"/>
    <cellStyle name="Untitled7 4 2 7" xfId="10472"/>
    <cellStyle name="Untitled7 4 3" xfId="10473"/>
    <cellStyle name="Untitled7 4 3 2" xfId="10474"/>
    <cellStyle name="Untitled7 4 3 3" xfId="10475"/>
    <cellStyle name="Untitled7 4 3 4" xfId="10476"/>
    <cellStyle name="Untitled7 4 4" xfId="10477"/>
    <cellStyle name="Untitled7 4 4 2" xfId="10478"/>
    <cellStyle name="Untitled7 4 4 3" xfId="10479"/>
    <cellStyle name="Untitled7 4 5" xfId="10480"/>
    <cellStyle name="Untitled7 4 6" xfId="10481"/>
    <cellStyle name="Untitled7 4 7" xfId="10482"/>
    <cellStyle name="Untitled7 4 8" xfId="10483"/>
    <cellStyle name="Untitled7 5" xfId="10484"/>
    <cellStyle name="Untitled7 5 2" xfId="10485"/>
    <cellStyle name="Untitled7 5 3" xfId="10486"/>
    <cellStyle name="Untitled7 5 4" xfId="10487"/>
    <cellStyle name="Untitled7 6" xfId="10488"/>
    <cellStyle name="Untitled7 6 2" xfId="10489"/>
    <cellStyle name="Untitled7 6 3" xfId="10490"/>
    <cellStyle name="Untitled7 7" xfId="10491"/>
    <cellStyle name="Untitled7 8" xfId="10492"/>
    <cellStyle name="Untitled7 9" xfId="10493"/>
    <cellStyle name="Untitled8" xfId="10494"/>
    <cellStyle name="Untitled8 2" xfId="10495"/>
    <cellStyle name="Untitled8 2 2" xfId="10496"/>
    <cellStyle name="Untitled8 2 2 2" xfId="10497"/>
    <cellStyle name="Untitled8 2 2 2 2" xfId="10498"/>
    <cellStyle name="Untitled8 2 2 2 2 2" xfId="10499"/>
    <cellStyle name="Untitled8 2 2 2 3" xfId="10500"/>
    <cellStyle name="Untitled8 2 2 2 4" xfId="10501"/>
    <cellStyle name="Untitled8 2 2 2 5" xfId="10502"/>
    <cellStyle name="Untitled8 2 2 3" xfId="10503"/>
    <cellStyle name="Untitled8 2 2 3 2" xfId="10504"/>
    <cellStyle name="Untitled8 2 2 3 3" xfId="10505"/>
    <cellStyle name="Untitled8 2 2 4" xfId="10506"/>
    <cellStyle name="Untitled8 2 2 5" xfId="10507"/>
    <cellStyle name="Untitled8 2 2 6" xfId="10508"/>
    <cellStyle name="Untitled8 2 2 7" xfId="10509"/>
    <cellStyle name="Untitled8 2 3" xfId="10510"/>
    <cellStyle name="Untitled8 2 3 2" xfId="10511"/>
    <cellStyle name="Untitled8 2 3 3" xfId="10512"/>
    <cellStyle name="Untitled8 2 3 4" xfId="10513"/>
    <cellStyle name="Untitled8 2 4" xfId="10514"/>
    <cellStyle name="Untitled8 2 4 2" xfId="10515"/>
    <cellStyle name="Untitled8 2 4 3" xfId="10516"/>
    <cellStyle name="Untitled8 2 5" xfId="10517"/>
    <cellStyle name="Untitled8 2 6" xfId="10518"/>
    <cellStyle name="Untitled8 2 7" xfId="10519"/>
    <cellStyle name="Untitled8 2 8" xfId="10520"/>
    <cellStyle name="Untitled8 3" xfId="10521"/>
    <cellStyle name="Untitled8 3 2" xfId="10522"/>
    <cellStyle name="Untitled8 3 2 2" xfId="10523"/>
    <cellStyle name="Untitled8 3 2 3" xfId="10524"/>
    <cellStyle name="Untitled8 3 2 4" xfId="10525"/>
    <cellStyle name="Untitled8 3 3" xfId="10526"/>
    <cellStyle name="Untitled8 3 3 2" xfId="10527"/>
    <cellStyle name="Untitled8 3 3 3" xfId="10528"/>
    <cellStyle name="Untitled8 3 4" xfId="10529"/>
    <cellStyle name="Untitled8 3 5" xfId="10530"/>
    <cellStyle name="Untitled8 3 6" xfId="10531"/>
    <cellStyle name="Untitled8 4" xfId="10532"/>
    <cellStyle name="Untitled8 4 2" xfId="10533"/>
    <cellStyle name="Untitled8 4 2 2" xfId="10534"/>
    <cellStyle name="Untitled8 4 2 2 2" xfId="10535"/>
    <cellStyle name="Untitled8 4 2 2 2 2" xfId="10536"/>
    <cellStyle name="Untitled8 4 2 2 3" xfId="10537"/>
    <cellStyle name="Untitled8 4 2 2 4" xfId="10538"/>
    <cellStyle name="Untitled8 4 2 2 5" xfId="10539"/>
    <cellStyle name="Untitled8 4 2 3" xfId="10540"/>
    <cellStyle name="Untitled8 4 2 3 2" xfId="10541"/>
    <cellStyle name="Untitled8 4 2 3 3" xfId="10542"/>
    <cellStyle name="Untitled8 4 2 4" xfId="10543"/>
    <cellStyle name="Untitled8 4 2 5" xfId="10544"/>
    <cellStyle name="Untitled8 4 2 6" xfId="10545"/>
    <cellStyle name="Untitled8 4 2 7" xfId="10546"/>
    <cellStyle name="Untitled8 4 3" xfId="10547"/>
    <cellStyle name="Untitled8 4 3 2" xfId="10548"/>
    <cellStyle name="Untitled8 4 3 3" xfId="10549"/>
    <cellStyle name="Untitled8 4 3 4" xfId="10550"/>
    <cellStyle name="Untitled8 4 4" xfId="10551"/>
    <cellStyle name="Untitled8 4 4 2" xfId="10552"/>
    <cellStyle name="Untitled8 4 4 3" xfId="10553"/>
    <cellStyle name="Untitled8 4 5" xfId="10554"/>
    <cellStyle name="Untitled8 4 6" xfId="10555"/>
    <cellStyle name="Untitled8 4 7" xfId="10556"/>
    <cellStyle name="Untitled8 4 8" xfId="10557"/>
    <cellStyle name="Untitled8 5" xfId="10558"/>
    <cellStyle name="Untitled8 5 2" xfId="10559"/>
    <cellStyle name="Untitled8 5 3" xfId="10560"/>
    <cellStyle name="Untitled8 5 4" xfId="10561"/>
    <cellStyle name="Untitled8 6" xfId="10562"/>
    <cellStyle name="Untitled8 6 2" xfId="10563"/>
    <cellStyle name="Untitled8 6 3" xfId="10564"/>
    <cellStyle name="Untitled8 7" xfId="10565"/>
    <cellStyle name="Untitled8 8" xfId="10566"/>
    <cellStyle name="Untitled8 9" xfId="10567"/>
    <cellStyle name="Untitled9" xfId="10568"/>
    <cellStyle name="Untitled9 2" xfId="10569"/>
    <cellStyle name="Untitled9 2 2" xfId="10570"/>
    <cellStyle name="Untitled9 2 2 2" xfId="10571"/>
    <cellStyle name="Untitled9 2 2 3" xfId="10572"/>
    <cellStyle name="Untitled9 2 3" xfId="10573"/>
    <cellStyle name="Untitled9 2 4" xfId="10574"/>
    <cellStyle name="Untitled9 2 5" xfId="10575"/>
    <cellStyle name="Untitled9 3" xfId="10576"/>
    <cellStyle name="Untitled9 3 2" xfId="10577"/>
    <cellStyle name="Untitled9 3 3" xfId="10578"/>
    <cellStyle name="Untitled9 4" xfId="10579"/>
    <cellStyle name="Untitled9 4 2" xfId="10580"/>
    <cellStyle name="Untitled9 4 3" xfId="10581"/>
    <cellStyle name="Untitled9 5" xfId="10582"/>
    <cellStyle name="Untitled9 6" xfId="10583"/>
    <cellStyle name="Untitled9 7" xfId="10584"/>
    <cellStyle name="Warning Text 2" xfId="10585"/>
    <cellStyle name="Warning Text 2 2" xfId="10586"/>
    <cellStyle name="Warning Text 2 2 2" xfId="10587"/>
    <cellStyle name="Warning Text 2 2 2 2" xfId="10588"/>
    <cellStyle name="Warning Text 2 2 2 3" xfId="10589"/>
    <cellStyle name="Warning Text 2 2 2 4" xfId="10590"/>
    <cellStyle name="Warning Text 2 2 3" xfId="10591"/>
    <cellStyle name="Warning Text 2 2 4" xfId="10592"/>
    <cellStyle name="Warning Text 2 2 5" xfId="10593"/>
    <cellStyle name="Warning Text 2 3" xfId="10594"/>
    <cellStyle name="Warning Text 2 3 2" xfId="10595"/>
    <cellStyle name="Warning Text 2 3 2 2" xfId="10596"/>
    <cellStyle name="Warning Text 2 3 2 3" xfId="10597"/>
    <cellStyle name="Warning Text 2 3 2 4" xfId="10598"/>
    <cellStyle name="Warning Text 2 3 3" xfId="10599"/>
    <cellStyle name="Warning Text 2 3 3 2" xfId="10600"/>
    <cellStyle name="Warning Text 2 3 3 3" xfId="10601"/>
    <cellStyle name="Warning Text 2 3 4" xfId="10602"/>
    <cellStyle name="Warning Text 2 3 5" xfId="10603"/>
    <cellStyle name="Warning Text 2 3 6" xfId="10604"/>
    <cellStyle name="Warning Text 2 4" xfId="10605"/>
    <cellStyle name="Warning Text 2 4 2" xfId="10606"/>
    <cellStyle name="Warning Text 2 4 3" xfId="10607"/>
    <cellStyle name="Warning Text 2 5" xfId="10608"/>
    <cellStyle name="Warning Text 2 6" xfId="10609"/>
    <cellStyle name="Warning Text 2 7" xfId="10610"/>
    <cellStyle name="Warning Text 2 8" xfId="10611"/>
    <cellStyle name="Warning Text 3" xfId="10612"/>
    <cellStyle name="Warning Text 3 2" xfId="10613"/>
    <cellStyle name="Warning Text 3 2 2" xfId="10614"/>
    <cellStyle name="Warning Text 3 2 2 2" xfId="10615"/>
    <cellStyle name="Warning Text 3 2 2 2 2" xfId="10616"/>
    <cellStyle name="Warning Text 3 2 2 3" xfId="10617"/>
    <cellStyle name="Warning Text 3 2 3" xfId="10618"/>
    <cellStyle name="Warning Text 3 3" xfId="10619"/>
    <cellStyle name="Warning Text 4" xfId="10620"/>
    <cellStyle name="Warning Text 4 2" xfId="10621"/>
    <cellStyle name="Warning Text 4 2 2" xfId="10622"/>
    <cellStyle name="Warning Text 4 3" xfId="10623"/>
    <cellStyle name="Warning Text 5" xfId="10624"/>
    <cellStyle name="Warning Text 6" xfId="10625"/>
    <cellStyle name="常规 2" xfId="10626"/>
    <cellStyle name="常规 2 10" xfId="10627"/>
    <cellStyle name="常规 2 11" xfId="10628"/>
    <cellStyle name="常规 2 2" xfId="10629"/>
    <cellStyle name="常规 2 2 10" xfId="10630"/>
    <cellStyle name="常规 2 2 11" xfId="10631"/>
    <cellStyle name="常规 2 2 2" xfId="10632"/>
    <cellStyle name="常规 2 2 2 2" xfId="10633"/>
    <cellStyle name="常规 2 2 2 2 2" xfId="10634"/>
    <cellStyle name="常规 2 2 2 2 2 2" xfId="10635"/>
    <cellStyle name="常规 2 2 2 2 2 2 2" xfId="10636"/>
    <cellStyle name="常规 2 2 2 2 2 3" xfId="10637"/>
    <cellStyle name="常规 2 2 2 2 2 4" xfId="10638"/>
    <cellStyle name="常规 2 2 2 2 2 5" xfId="10639"/>
    <cellStyle name="常规 2 2 2 2 3" xfId="10640"/>
    <cellStyle name="常规 2 2 2 2 3 2" xfId="10641"/>
    <cellStyle name="常规 2 2 2 2 3 2 2" xfId="10642"/>
    <cellStyle name="常规 2 2 2 2 3 2 3" xfId="10643"/>
    <cellStyle name="常规 2 2 2 2 3 2 4" xfId="10644"/>
    <cellStyle name="常规 2 2 2 2 3 3" xfId="10645"/>
    <cellStyle name="常规 2 2 2 2 3 3 2" xfId="10646"/>
    <cellStyle name="常规 2 2 2 2 3 3 3" xfId="10647"/>
    <cellStyle name="常规 2 2 2 2 3 4" xfId="10648"/>
    <cellStyle name="常规 2 2 2 2 3 5" xfId="10649"/>
    <cellStyle name="常规 2 2 2 2 3 6" xfId="10650"/>
    <cellStyle name="常规 2 2 2 2 4" xfId="10651"/>
    <cellStyle name="常规 2 2 2 2 4 2" xfId="10652"/>
    <cellStyle name="常规 2 2 2 2 4 3" xfId="10653"/>
    <cellStyle name="常规 2 2 2 2 4 4" xfId="10654"/>
    <cellStyle name="常规 2 2 2 2 5" xfId="10655"/>
    <cellStyle name="常规 2 2 2 2 5 2" xfId="10656"/>
    <cellStyle name="常规 2 2 2 2 5 3" xfId="10657"/>
    <cellStyle name="常规 2 2 2 2 6" xfId="10658"/>
    <cellStyle name="常规 2 2 2 2 7" xfId="10659"/>
    <cellStyle name="常规 2 2 2 2 8" xfId="10660"/>
    <cellStyle name="常规 2 2 2 3" xfId="10661"/>
    <cellStyle name="常规 2 2 2 3 2" xfId="10662"/>
    <cellStyle name="常规 2 2 2 3 2 2" xfId="10663"/>
    <cellStyle name="常规 2 2 2 3 2 3" xfId="10664"/>
    <cellStyle name="常规 2 2 2 3 2 4" xfId="10665"/>
    <cellStyle name="常规 2 2 2 3 3" xfId="10666"/>
    <cellStyle name="常规 2 2 2 3 3 2" xfId="10667"/>
    <cellStyle name="常规 2 2 2 3 3 3" xfId="10668"/>
    <cellStyle name="常规 2 2 2 3 4" xfId="10669"/>
    <cellStyle name="常规 2 2 2 3 5" xfId="10670"/>
    <cellStyle name="常规 2 2 2 3 6" xfId="10671"/>
    <cellStyle name="常规 2 2 2 4" xfId="10672"/>
    <cellStyle name="常规 2 2 2 4 2" xfId="10673"/>
    <cellStyle name="常规 2 2 2 4 2 2" xfId="10674"/>
    <cellStyle name="常规 2 2 2 4 2 2 2" xfId="10675"/>
    <cellStyle name="常规 2 2 2 4 2 2 3" xfId="10676"/>
    <cellStyle name="常规 2 2 2 4 2 3" xfId="10677"/>
    <cellStyle name="常规 2 2 2 4 2 4" xfId="10678"/>
    <cellStyle name="常规 2 2 2 4 2 5" xfId="10679"/>
    <cellStyle name="常规 2 2 2 4 3" xfId="10680"/>
    <cellStyle name="常规 2 2 2 4 3 2" xfId="10681"/>
    <cellStyle name="常规 2 2 2 4 3 3" xfId="10682"/>
    <cellStyle name="常规 2 2 2 4 4" xfId="10683"/>
    <cellStyle name="常规 2 2 2 4 5" xfId="10684"/>
    <cellStyle name="常规 2 2 2 4 6" xfId="10685"/>
    <cellStyle name="常规 2 2 2 5" xfId="10686"/>
    <cellStyle name="常规 2 2 2 5 2" xfId="10687"/>
    <cellStyle name="常规 2 2 2 5 3" xfId="10688"/>
    <cellStyle name="常规 2 2 2 5 4" xfId="10689"/>
    <cellStyle name="常规 2 2 2 6" xfId="10690"/>
    <cellStyle name="常规 2 2 2 6 2" xfId="10691"/>
    <cellStyle name="常规 2 2 2 6 3" xfId="10692"/>
    <cellStyle name="常规 2 2 2 7" xfId="10693"/>
    <cellStyle name="常规 2 2 2 8" xfId="10694"/>
    <cellStyle name="常规 2 2 2 9" xfId="10695"/>
    <cellStyle name="常规 2 2 3" xfId="10696"/>
    <cellStyle name="常规 2 2 3 10" xfId="10697"/>
    <cellStyle name="常规 2 2 3 2" xfId="10698"/>
    <cellStyle name="常规 2 2 3 2 2" xfId="10699"/>
    <cellStyle name="常规 2 2 3 2 2 2" xfId="10700"/>
    <cellStyle name="常规 2 2 3 2 2 2 2" xfId="10701"/>
    <cellStyle name="常规 2 2 3 2 2 2 2 2" xfId="10702"/>
    <cellStyle name="常规 2 2 3 2 2 2 3" xfId="10703"/>
    <cellStyle name="常规 2 2 3 2 2 2 4" xfId="10704"/>
    <cellStyle name="常规 2 2 3 2 2 2 5" xfId="10705"/>
    <cellStyle name="常规 2 2 3 2 2 3" xfId="10706"/>
    <cellStyle name="常规 2 2 3 2 2 3 2" xfId="10707"/>
    <cellStyle name="常规 2 2 3 2 2 3 2 2" xfId="10708"/>
    <cellStyle name="常规 2 2 3 2 2 3 2 3" xfId="10709"/>
    <cellStyle name="常规 2 2 3 2 2 3 2 4" xfId="10710"/>
    <cellStyle name="常规 2 2 3 2 2 3 3" xfId="10711"/>
    <cellStyle name="常规 2 2 3 2 2 3 3 2" xfId="10712"/>
    <cellStyle name="常规 2 2 3 2 2 3 3 3" xfId="10713"/>
    <cellStyle name="常规 2 2 3 2 2 3 4" xfId="10714"/>
    <cellStyle name="常规 2 2 3 2 2 3 5" xfId="10715"/>
    <cellStyle name="常规 2 2 3 2 2 3 6" xfId="10716"/>
    <cellStyle name="常规 2 2 3 2 2 4" xfId="10717"/>
    <cellStyle name="常规 2 2 3 2 2 4 2" xfId="10718"/>
    <cellStyle name="常规 2 2 3 2 2 4 3" xfId="10719"/>
    <cellStyle name="常规 2 2 3 2 2 4 4" xfId="10720"/>
    <cellStyle name="常规 2 2 3 2 2 5" xfId="10721"/>
    <cellStyle name="常规 2 2 3 2 2 5 2" xfId="10722"/>
    <cellStyle name="常规 2 2 3 2 2 5 3" xfId="10723"/>
    <cellStyle name="常规 2 2 3 2 2 6" xfId="10724"/>
    <cellStyle name="常规 2 2 3 2 2 7" xfId="10725"/>
    <cellStyle name="常规 2 2 3 2 2 8" xfId="10726"/>
    <cellStyle name="常规 2 2 3 2 3" xfId="10727"/>
    <cellStyle name="常规 2 2 3 2 3 2" xfId="10728"/>
    <cellStyle name="常规 2 2 3 2 3 2 2" xfId="10729"/>
    <cellStyle name="常规 2 2 3 2 3 2 3" xfId="10730"/>
    <cellStyle name="常规 2 2 3 2 3 2 4" xfId="10731"/>
    <cellStyle name="常规 2 2 3 2 3 3" xfId="10732"/>
    <cellStyle name="常规 2 2 3 2 3 3 2" xfId="10733"/>
    <cellStyle name="常规 2 2 3 2 3 3 3" xfId="10734"/>
    <cellStyle name="常规 2 2 3 2 3 4" xfId="10735"/>
    <cellStyle name="常规 2 2 3 2 3 5" xfId="10736"/>
    <cellStyle name="常规 2 2 3 2 3 6" xfId="10737"/>
    <cellStyle name="常规 2 2 3 2 4" xfId="10738"/>
    <cellStyle name="常规 2 2 3 2 4 2" xfId="10739"/>
    <cellStyle name="常规 2 2 3 2 4 2 2" xfId="10740"/>
    <cellStyle name="常规 2 2 3 2 4 2 2 2" xfId="10741"/>
    <cellStyle name="常规 2 2 3 2 4 2 2 3" xfId="10742"/>
    <cellStyle name="常规 2 2 3 2 4 2 3" xfId="10743"/>
    <cellStyle name="常规 2 2 3 2 4 2 4" xfId="10744"/>
    <cellStyle name="常规 2 2 3 2 4 2 5" xfId="10745"/>
    <cellStyle name="常规 2 2 3 2 4 3" xfId="10746"/>
    <cellStyle name="常规 2 2 3 2 4 3 2" xfId="10747"/>
    <cellStyle name="常规 2 2 3 2 4 3 3" xfId="10748"/>
    <cellStyle name="常规 2 2 3 2 4 4" xfId="10749"/>
    <cellStyle name="常规 2 2 3 2 4 5" xfId="10750"/>
    <cellStyle name="常规 2 2 3 2 4 6" xfId="10751"/>
    <cellStyle name="常规 2 2 3 2 5" xfId="10752"/>
    <cellStyle name="常规 2 2 3 2 5 2" xfId="10753"/>
    <cellStyle name="常规 2 2 3 2 5 3" xfId="10754"/>
    <cellStyle name="常规 2 2 3 2 5 4" xfId="10755"/>
    <cellStyle name="常规 2 2 3 2 6" xfId="10756"/>
    <cellStyle name="常规 2 2 3 2 6 2" xfId="10757"/>
    <cellStyle name="常规 2 2 3 2 6 3" xfId="10758"/>
    <cellStyle name="常规 2 2 3 2 7" xfId="10759"/>
    <cellStyle name="常规 2 2 3 2 8" xfId="10760"/>
    <cellStyle name="常规 2 2 3 2 9" xfId="10761"/>
    <cellStyle name="常规 2 2 3 3" xfId="10762"/>
    <cellStyle name="常规 2 2 3 3 2" xfId="10763"/>
    <cellStyle name="常规 2 2 3 3 2 2" xfId="10764"/>
    <cellStyle name="常规 2 2 3 3 2 2 2" xfId="10765"/>
    <cellStyle name="常规 2 2 3 3 2 3" xfId="10766"/>
    <cellStyle name="常规 2 2 3 3 2 4" xfId="10767"/>
    <cellStyle name="常规 2 2 3 3 2 5" xfId="10768"/>
    <cellStyle name="常规 2 2 3 3 3" xfId="10769"/>
    <cellStyle name="常规 2 2 3 3 3 2" xfId="10770"/>
    <cellStyle name="常规 2 2 3 3 3 2 2" xfId="10771"/>
    <cellStyle name="常规 2 2 3 3 3 2 3" xfId="10772"/>
    <cellStyle name="常规 2 2 3 3 3 2 4" xfId="10773"/>
    <cellStyle name="常规 2 2 3 3 3 3" xfId="10774"/>
    <cellStyle name="常规 2 2 3 3 3 3 2" xfId="10775"/>
    <cellStyle name="常规 2 2 3 3 3 3 3" xfId="10776"/>
    <cellStyle name="常规 2 2 3 3 3 4" xfId="10777"/>
    <cellStyle name="常规 2 2 3 3 3 5" xfId="10778"/>
    <cellStyle name="常规 2 2 3 3 3 6" xfId="10779"/>
    <cellStyle name="常规 2 2 3 3 4" xfId="10780"/>
    <cellStyle name="常规 2 2 3 3 4 2" xfId="10781"/>
    <cellStyle name="常规 2 2 3 3 4 3" xfId="10782"/>
    <cellStyle name="常规 2 2 3 3 4 4" xfId="10783"/>
    <cellStyle name="常规 2 2 3 3 5" xfId="10784"/>
    <cellStyle name="常规 2 2 3 3 5 2" xfId="10785"/>
    <cellStyle name="常规 2 2 3 3 5 3" xfId="10786"/>
    <cellStyle name="常规 2 2 3 3 6" xfId="10787"/>
    <cellStyle name="常规 2 2 3 3 7" xfId="10788"/>
    <cellStyle name="常规 2 2 3 3 8" xfId="10789"/>
    <cellStyle name="常规 2 2 3 4" xfId="10790"/>
    <cellStyle name="常规 2 2 3 4 2" xfId="10791"/>
    <cellStyle name="常规 2 2 3 4 2 2" xfId="10792"/>
    <cellStyle name="常规 2 2 3 4 2 3" xfId="10793"/>
    <cellStyle name="常规 2 2 3 4 2 4" xfId="10794"/>
    <cellStyle name="常规 2 2 3 4 3" xfId="10795"/>
    <cellStyle name="常规 2 2 3 4 3 2" xfId="10796"/>
    <cellStyle name="常规 2 2 3 4 3 3" xfId="10797"/>
    <cellStyle name="常规 2 2 3 4 4" xfId="10798"/>
    <cellStyle name="常规 2 2 3 4 5" xfId="10799"/>
    <cellStyle name="常规 2 2 3 4 6" xfId="10800"/>
    <cellStyle name="常规 2 2 3 5" xfId="10801"/>
    <cellStyle name="常规 2 2 3 5 2" xfId="10802"/>
    <cellStyle name="常规 2 2 3 5 2 2" xfId="10803"/>
    <cellStyle name="常规 2 2 3 5 2 2 2" xfId="10804"/>
    <cellStyle name="常规 2 2 3 5 2 2 3" xfId="10805"/>
    <cellStyle name="常规 2 2 3 5 2 3" xfId="10806"/>
    <cellStyle name="常规 2 2 3 5 2 4" xfId="10807"/>
    <cellStyle name="常规 2 2 3 5 2 5" xfId="10808"/>
    <cellStyle name="常规 2 2 3 5 3" xfId="10809"/>
    <cellStyle name="常规 2 2 3 5 3 2" xfId="10810"/>
    <cellStyle name="常规 2 2 3 5 3 3" xfId="10811"/>
    <cellStyle name="常规 2 2 3 5 4" xfId="10812"/>
    <cellStyle name="常规 2 2 3 5 5" xfId="10813"/>
    <cellStyle name="常规 2 2 3 5 6" xfId="10814"/>
    <cellStyle name="常规 2 2 3 6" xfId="10815"/>
    <cellStyle name="常规 2 2 3 6 2" xfId="10816"/>
    <cellStyle name="常规 2 2 3 6 3" xfId="10817"/>
    <cellStyle name="常规 2 2 3 6 4" xfId="10818"/>
    <cellStyle name="常规 2 2 3 7" xfId="10819"/>
    <cellStyle name="常规 2 2 3 7 2" xfId="10820"/>
    <cellStyle name="常规 2 2 3 7 3" xfId="10821"/>
    <cellStyle name="常规 2 2 3 8" xfId="10822"/>
    <cellStyle name="常规 2 2 3 9" xfId="10823"/>
    <cellStyle name="常规 2 2 4" xfId="10824"/>
    <cellStyle name="常规 2 2 4 2" xfId="10825"/>
    <cellStyle name="常规 2 2 4 2 2" xfId="10826"/>
    <cellStyle name="常规 2 2 4 2 2 2" xfId="10827"/>
    <cellStyle name="常规 2 2 4 2 3" xfId="10828"/>
    <cellStyle name="常规 2 2 4 2 4" xfId="10829"/>
    <cellStyle name="常规 2 2 4 2 5" xfId="10830"/>
    <cellStyle name="常规 2 2 4 3" xfId="10831"/>
    <cellStyle name="常规 2 2 4 3 2" xfId="10832"/>
    <cellStyle name="常规 2 2 4 3 2 2" xfId="10833"/>
    <cellStyle name="常规 2 2 4 3 2 3" xfId="10834"/>
    <cellStyle name="常规 2 2 4 3 2 4" xfId="10835"/>
    <cellStyle name="常规 2 2 4 3 3" xfId="10836"/>
    <cellStyle name="常规 2 2 4 3 3 2" xfId="10837"/>
    <cellStyle name="常规 2 2 4 3 3 3" xfId="10838"/>
    <cellStyle name="常规 2 2 4 3 4" xfId="10839"/>
    <cellStyle name="常规 2 2 4 3 5" xfId="10840"/>
    <cellStyle name="常规 2 2 4 3 6" xfId="10841"/>
    <cellStyle name="常规 2 2 4 4" xfId="10842"/>
    <cellStyle name="常规 2 2 4 4 2" xfId="10843"/>
    <cellStyle name="常规 2 2 4 4 3" xfId="10844"/>
    <cellStyle name="常规 2 2 4 4 4" xfId="10845"/>
    <cellStyle name="常规 2 2 4 5" xfId="10846"/>
    <cellStyle name="常规 2 2 4 5 2" xfId="10847"/>
    <cellStyle name="常规 2 2 4 5 3" xfId="10848"/>
    <cellStyle name="常规 2 2 4 6" xfId="10849"/>
    <cellStyle name="常规 2 2 4 7" xfId="10850"/>
    <cellStyle name="常规 2 2 4 8" xfId="10851"/>
    <cellStyle name="常规 2 2 5" xfId="10852"/>
    <cellStyle name="常规 2 2 5 2" xfId="10853"/>
    <cellStyle name="常规 2 2 5 2 2" xfId="10854"/>
    <cellStyle name="常规 2 2 5 2 3" xfId="10855"/>
    <cellStyle name="常规 2 2 5 2 4" xfId="10856"/>
    <cellStyle name="常规 2 2 5 3" xfId="10857"/>
    <cellStyle name="常规 2 2 5 3 2" xfId="10858"/>
    <cellStyle name="常规 2 2 5 3 3" xfId="10859"/>
    <cellStyle name="常规 2 2 5 4" xfId="10860"/>
    <cellStyle name="常规 2 2 5 5" xfId="10861"/>
    <cellStyle name="常规 2 2 5 6" xfId="10862"/>
    <cellStyle name="常规 2 2 6" xfId="10863"/>
    <cellStyle name="常规 2 2 6 2" xfId="10864"/>
    <cellStyle name="常规 2 2 6 2 2" xfId="10865"/>
    <cellStyle name="常规 2 2 6 2 2 2" xfId="10866"/>
    <cellStyle name="常规 2 2 6 2 2 3" xfId="10867"/>
    <cellStyle name="常规 2 2 6 2 3" xfId="10868"/>
    <cellStyle name="常规 2 2 6 2 4" xfId="10869"/>
    <cellStyle name="常规 2 2 6 2 5" xfId="10870"/>
    <cellStyle name="常规 2 2 6 3" xfId="10871"/>
    <cellStyle name="常规 2 2 6 3 2" xfId="10872"/>
    <cellStyle name="常规 2 2 6 3 3" xfId="10873"/>
    <cellStyle name="常规 2 2 6 4" xfId="10874"/>
    <cellStyle name="常规 2 2 6 5" xfId="10875"/>
    <cellStyle name="常规 2 2 6 6" xfId="10876"/>
    <cellStyle name="常规 2 2 7" xfId="10877"/>
    <cellStyle name="常规 2 2 7 2" xfId="10878"/>
    <cellStyle name="常规 2 2 7 3" xfId="10879"/>
    <cellStyle name="常规 2 2 7 4" xfId="10880"/>
    <cellStyle name="常规 2 2 8" xfId="10881"/>
    <cellStyle name="常规 2 2 8 2" xfId="10882"/>
    <cellStyle name="常规 2 2 8 3" xfId="10883"/>
    <cellStyle name="常规 2 2 9" xfId="10884"/>
    <cellStyle name="常规 2 2_CG_RL78F13_F14_TestSpec&amp;Reporta" xfId="10885"/>
    <cellStyle name="常规 2 3" xfId="10886"/>
    <cellStyle name="常规 2 3 10" xfId="10887"/>
    <cellStyle name="常规 2 3 2" xfId="10888"/>
    <cellStyle name="常规 2 3 2 2" xfId="10889"/>
    <cellStyle name="常规 2 3 2 2 2" xfId="10890"/>
    <cellStyle name="常规 2 3 2 2 2 2" xfId="10891"/>
    <cellStyle name="常规 2 3 2 2 2 2 2" xfId="10892"/>
    <cellStyle name="常规 2 3 2 2 2 3" xfId="10893"/>
    <cellStyle name="常规 2 3 2 2 2 4" xfId="10894"/>
    <cellStyle name="常规 2 3 2 2 2 5" xfId="10895"/>
    <cellStyle name="常规 2 3 2 2 3" xfId="10896"/>
    <cellStyle name="常规 2 3 2 2 3 2" xfId="10897"/>
    <cellStyle name="常规 2 3 2 2 3 2 2" xfId="10898"/>
    <cellStyle name="常规 2 3 2 2 3 2 3" xfId="10899"/>
    <cellStyle name="常规 2 3 2 2 3 2 4" xfId="10900"/>
    <cellStyle name="常规 2 3 2 2 3 3" xfId="10901"/>
    <cellStyle name="常规 2 3 2 2 3 3 2" xfId="10902"/>
    <cellStyle name="常规 2 3 2 2 3 3 3" xfId="10903"/>
    <cellStyle name="常规 2 3 2 2 3 4" xfId="10904"/>
    <cellStyle name="常规 2 3 2 2 3 5" xfId="10905"/>
    <cellStyle name="常规 2 3 2 2 3 6" xfId="10906"/>
    <cellStyle name="常规 2 3 2 2 4" xfId="10907"/>
    <cellStyle name="常规 2 3 2 2 4 2" xfId="10908"/>
    <cellStyle name="常规 2 3 2 2 4 3" xfId="10909"/>
    <cellStyle name="常规 2 3 2 2 4 4" xfId="10910"/>
    <cellStyle name="常规 2 3 2 2 5" xfId="10911"/>
    <cellStyle name="常规 2 3 2 2 5 2" xfId="10912"/>
    <cellStyle name="常规 2 3 2 2 5 3" xfId="10913"/>
    <cellStyle name="常规 2 3 2 2 6" xfId="10914"/>
    <cellStyle name="常规 2 3 2 2 7" xfId="10915"/>
    <cellStyle name="常规 2 3 2 2 8" xfId="10916"/>
    <cellStyle name="常规 2 3 2 3" xfId="10917"/>
    <cellStyle name="常规 2 3 2 3 2" xfId="10918"/>
    <cellStyle name="常规 2 3 2 3 2 2" xfId="10919"/>
    <cellStyle name="常规 2 3 2 3 2 3" xfId="10920"/>
    <cellStyle name="常规 2 3 2 3 2 4" xfId="10921"/>
    <cellStyle name="常规 2 3 2 3 3" xfId="10922"/>
    <cellStyle name="常规 2 3 2 3 3 2" xfId="10923"/>
    <cellStyle name="常规 2 3 2 3 3 3" xfId="10924"/>
    <cellStyle name="常规 2 3 2 3 4" xfId="10925"/>
    <cellStyle name="常规 2 3 2 3 5" xfId="10926"/>
    <cellStyle name="常规 2 3 2 3 6" xfId="10927"/>
    <cellStyle name="常规 2 3 2 4" xfId="10928"/>
    <cellStyle name="常规 2 3 2 4 2" xfId="10929"/>
    <cellStyle name="常规 2 3 2 4 2 2" xfId="10930"/>
    <cellStyle name="常规 2 3 2 4 2 2 2" xfId="10931"/>
    <cellStyle name="常规 2 3 2 4 2 2 3" xfId="10932"/>
    <cellStyle name="常规 2 3 2 4 2 3" xfId="10933"/>
    <cellStyle name="常规 2 3 2 4 2 4" xfId="10934"/>
    <cellStyle name="常规 2 3 2 4 2 5" xfId="10935"/>
    <cellStyle name="常规 2 3 2 4 3" xfId="10936"/>
    <cellStyle name="常规 2 3 2 4 3 2" xfId="10937"/>
    <cellStyle name="常规 2 3 2 4 3 3" xfId="10938"/>
    <cellStyle name="常规 2 3 2 4 4" xfId="10939"/>
    <cellStyle name="常规 2 3 2 4 5" xfId="10940"/>
    <cellStyle name="常规 2 3 2 4 6" xfId="10941"/>
    <cellStyle name="常规 2 3 2 5" xfId="10942"/>
    <cellStyle name="常规 2 3 2 5 2" xfId="10943"/>
    <cellStyle name="常规 2 3 2 5 3" xfId="10944"/>
    <cellStyle name="常规 2 3 2 5 4" xfId="10945"/>
    <cellStyle name="常规 2 3 2 6" xfId="10946"/>
    <cellStyle name="常规 2 3 2 6 2" xfId="10947"/>
    <cellStyle name="常规 2 3 2 6 3" xfId="10948"/>
    <cellStyle name="常规 2 3 2 7" xfId="10949"/>
    <cellStyle name="常规 2 3 2 8" xfId="10950"/>
    <cellStyle name="常规 2 3 2 9" xfId="10951"/>
    <cellStyle name="常规 2 3 3" xfId="10952"/>
    <cellStyle name="常规 2 3 3 2" xfId="10953"/>
    <cellStyle name="常规 2 3 3 2 2" xfId="10954"/>
    <cellStyle name="常规 2 3 3 2 2 2" xfId="10955"/>
    <cellStyle name="常规 2 3 3 2 3" xfId="10956"/>
    <cellStyle name="常规 2 3 3 2 4" xfId="10957"/>
    <cellStyle name="常规 2 3 3 2 5" xfId="10958"/>
    <cellStyle name="常规 2 3 3 3" xfId="10959"/>
    <cellStyle name="常规 2 3 3 3 2" xfId="10960"/>
    <cellStyle name="常规 2 3 3 3 2 2" xfId="10961"/>
    <cellStyle name="常规 2 3 3 3 2 3" xfId="10962"/>
    <cellStyle name="常规 2 3 3 3 2 4" xfId="10963"/>
    <cellStyle name="常规 2 3 3 3 3" xfId="10964"/>
    <cellStyle name="常规 2 3 3 3 3 2" xfId="10965"/>
    <cellStyle name="常规 2 3 3 3 3 3" xfId="10966"/>
    <cellStyle name="常规 2 3 3 3 4" xfId="10967"/>
    <cellStyle name="常规 2 3 3 3 5" xfId="10968"/>
    <cellStyle name="常规 2 3 3 3 6" xfId="10969"/>
    <cellStyle name="常规 2 3 3 4" xfId="10970"/>
    <cellStyle name="常规 2 3 3 4 2" xfId="10971"/>
    <cellStyle name="常规 2 3 3 4 3" xfId="10972"/>
    <cellStyle name="常规 2 3 3 4 4" xfId="10973"/>
    <cellStyle name="常规 2 3 3 5" xfId="10974"/>
    <cellStyle name="常规 2 3 3 5 2" xfId="10975"/>
    <cellStyle name="常规 2 3 3 5 3" xfId="10976"/>
    <cellStyle name="常规 2 3 3 6" xfId="10977"/>
    <cellStyle name="常规 2 3 3 7" xfId="10978"/>
    <cellStyle name="常规 2 3 3 8" xfId="10979"/>
    <cellStyle name="常规 2 3 4" xfId="10980"/>
    <cellStyle name="常规 2 3 4 2" xfId="10981"/>
    <cellStyle name="常规 2 3 4 2 2" xfId="10982"/>
    <cellStyle name="常规 2 3 4 2 3" xfId="10983"/>
    <cellStyle name="常规 2 3 4 2 4" xfId="10984"/>
    <cellStyle name="常规 2 3 4 3" xfId="10985"/>
    <cellStyle name="常规 2 3 4 3 2" xfId="10986"/>
    <cellStyle name="常规 2 3 4 3 3" xfId="10987"/>
    <cellStyle name="常规 2 3 4 4" xfId="10988"/>
    <cellStyle name="常规 2 3 4 5" xfId="10989"/>
    <cellStyle name="常规 2 3 4 6" xfId="10990"/>
    <cellStyle name="常规 2 3 5" xfId="10991"/>
    <cellStyle name="常规 2 3 5 2" xfId="10992"/>
    <cellStyle name="常规 2 3 5 2 2" xfId="10993"/>
    <cellStyle name="常规 2 3 5 2 2 2" xfId="10994"/>
    <cellStyle name="常规 2 3 5 2 2 3" xfId="10995"/>
    <cellStyle name="常规 2 3 5 2 3" xfId="10996"/>
    <cellStyle name="常规 2 3 5 2 4" xfId="10997"/>
    <cellStyle name="常规 2 3 5 2 5" xfId="10998"/>
    <cellStyle name="常规 2 3 5 3" xfId="10999"/>
    <cellStyle name="常规 2 3 5 3 2" xfId="11000"/>
    <cellStyle name="常规 2 3 5 3 3" xfId="11001"/>
    <cellStyle name="常规 2 3 5 4" xfId="11002"/>
    <cellStyle name="常规 2 3 5 5" xfId="11003"/>
    <cellStyle name="常规 2 3 5 6" xfId="11004"/>
    <cellStyle name="常规 2 3 6" xfId="11005"/>
    <cellStyle name="常规 2 3 6 2" xfId="11006"/>
    <cellStyle name="常规 2 3 6 3" xfId="11007"/>
    <cellStyle name="常规 2 3 6 4" xfId="11008"/>
    <cellStyle name="常规 2 3 7" xfId="11009"/>
    <cellStyle name="常规 2 3 7 2" xfId="11010"/>
    <cellStyle name="常规 2 3 7 3" xfId="11011"/>
    <cellStyle name="常规 2 3 8" xfId="11012"/>
    <cellStyle name="常规 2 3 9" xfId="11013"/>
    <cellStyle name="常规 2 4" xfId="11014"/>
    <cellStyle name="常规 2 4 2" xfId="11015"/>
    <cellStyle name="常规 2 4 2 2" xfId="11016"/>
    <cellStyle name="常规 2 4 2 2 2" xfId="11017"/>
    <cellStyle name="常规 2 4 2 3" xfId="11018"/>
    <cellStyle name="常规 2 4 2 4" xfId="11019"/>
    <cellStyle name="常规 2 4 2 5" xfId="11020"/>
    <cellStyle name="常规 2 4 3" xfId="11021"/>
    <cellStyle name="常规 2 4 3 2" xfId="11022"/>
    <cellStyle name="常规 2 4 3 2 2" xfId="11023"/>
    <cellStyle name="常规 2 4 3 2 3" xfId="11024"/>
    <cellStyle name="常规 2 4 3 2 4" xfId="11025"/>
    <cellStyle name="常规 2 4 3 3" xfId="11026"/>
    <cellStyle name="常规 2 4 3 3 2" xfId="11027"/>
    <cellStyle name="常规 2 4 3 3 3" xfId="11028"/>
    <cellStyle name="常规 2 4 3 4" xfId="11029"/>
    <cellStyle name="常规 2 4 3 5" xfId="11030"/>
    <cellStyle name="常规 2 4 3 6" xfId="11031"/>
    <cellStyle name="常规 2 4 4" xfId="11032"/>
    <cellStyle name="常规 2 4 4 2" xfId="11033"/>
    <cellStyle name="常规 2 4 4 3" xfId="11034"/>
    <cellStyle name="常规 2 4 4 4" xfId="11035"/>
    <cellStyle name="常规 2 4 5" xfId="11036"/>
    <cellStyle name="常规 2 4 5 2" xfId="11037"/>
    <cellStyle name="常规 2 4 5 3" xfId="11038"/>
    <cellStyle name="常规 2 4 6" xfId="11039"/>
    <cellStyle name="常规 2 4 7" xfId="11040"/>
    <cellStyle name="常规 2 4 8" xfId="11041"/>
    <cellStyle name="常规 2 5" xfId="11042"/>
    <cellStyle name="常规 2 5 2" xfId="11043"/>
    <cellStyle name="常规 2 5 2 2" xfId="11044"/>
    <cellStyle name="常规 2 5 2 3" xfId="11045"/>
    <cellStyle name="常规 2 5 2 4" xfId="11046"/>
    <cellStyle name="常规 2 5 3" xfId="11047"/>
    <cellStyle name="常规 2 5 3 2" xfId="11048"/>
    <cellStyle name="常规 2 5 3 3" xfId="11049"/>
    <cellStyle name="常规 2 5 4" xfId="11050"/>
    <cellStyle name="常规 2 5 5" xfId="11051"/>
    <cellStyle name="常规 2 5 6" xfId="11052"/>
    <cellStyle name="常规 2 6" xfId="11053"/>
    <cellStyle name="常规 2 6 2" xfId="11054"/>
    <cellStyle name="常规 2 6 2 2" xfId="11055"/>
    <cellStyle name="常规 2 6 2 2 2" xfId="11056"/>
    <cellStyle name="常规 2 6 2 2 3" xfId="11057"/>
    <cellStyle name="常规 2 6 2 3" xfId="11058"/>
    <cellStyle name="常规 2 6 2 4" xfId="11059"/>
    <cellStyle name="常规 2 6 2 5" xfId="11060"/>
    <cellStyle name="常规 2 6 3" xfId="11061"/>
    <cellStyle name="常规 2 6 3 2" xfId="11062"/>
    <cellStyle name="常规 2 6 3 3" xfId="11063"/>
    <cellStyle name="常规 2 6 4" xfId="11064"/>
    <cellStyle name="常规 2 6 5" xfId="11065"/>
    <cellStyle name="常规 2 6 6" xfId="11066"/>
    <cellStyle name="常规 2 7" xfId="11067"/>
    <cellStyle name="常规 2 7 2" xfId="11068"/>
    <cellStyle name="常规 2 7 3" xfId="11069"/>
    <cellStyle name="常规 2 7 4" xfId="11070"/>
    <cellStyle name="常规 2 8" xfId="11071"/>
    <cellStyle name="常规 2 8 2" xfId="11072"/>
    <cellStyle name="常规 2 8 3" xfId="11073"/>
    <cellStyle name="常规 2 9" xfId="11074"/>
    <cellStyle name="常规 2_AD_GUI" xfId="11075"/>
    <cellStyle name="常规 3" xfId="11076"/>
    <cellStyle name="常规 3 10" xfId="11077"/>
    <cellStyle name="常规 3 10 2" xfId="11078"/>
    <cellStyle name="常规 3 10 3" xfId="11079"/>
    <cellStyle name="常规 3 10 4" xfId="11080"/>
    <cellStyle name="常规 3 11" xfId="11081"/>
    <cellStyle name="常规 3 11 2" xfId="11082"/>
    <cellStyle name="常规 3 11 3" xfId="11083"/>
    <cellStyle name="常规 3 12" xfId="11084"/>
    <cellStyle name="常规 3 13" xfId="11085"/>
    <cellStyle name="常规 3 14" xfId="11086"/>
    <cellStyle name="常规 3 2" xfId="11087"/>
    <cellStyle name="常规 3 2 10" xfId="11088"/>
    <cellStyle name="常规 3 2 11" xfId="11089"/>
    <cellStyle name="常规 3 2 12" xfId="11090"/>
    <cellStyle name="常规 3 2 2" xfId="11091"/>
    <cellStyle name="常规 3 2 2 10" xfId="11092"/>
    <cellStyle name="常规 3 2 2 11" xfId="11093"/>
    <cellStyle name="常规 3 2 2 2" xfId="11094"/>
    <cellStyle name="常规 3 2 2 2 10" xfId="11095"/>
    <cellStyle name="常规 3 2 2 2 2" xfId="11096"/>
    <cellStyle name="常规 3 2 2 2 2 10" xfId="11097"/>
    <cellStyle name="常规 3 2 2 2 2 2" xfId="11098"/>
    <cellStyle name="常规 3 2 2 2 2 2 2" xfId="11099"/>
    <cellStyle name="常规 3 2 2 2 2 2 2 2" xfId="11100"/>
    <cellStyle name="常规 3 2 2 2 2 2 2 2 2" xfId="11101"/>
    <cellStyle name="常规 3 2 2 2 2 2 2 2 2 2" xfId="11102"/>
    <cellStyle name="常规 3 2 2 2 2 2 2 2 3" xfId="11103"/>
    <cellStyle name="常规 3 2 2 2 2 2 2 2 4" xfId="11104"/>
    <cellStyle name="常规 3 2 2 2 2 2 2 2 5" xfId="11105"/>
    <cellStyle name="常规 3 2 2 2 2 2 2 3" xfId="11106"/>
    <cellStyle name="常规 3 2 2 2 2 2 2 3 2" xfId="11107"/>
    <cellStyle name="常规 3 2 2 2 2 2 2 3 2 2" xfId="11108"/>
    <cellStyle name="常规 3 2 2 2 2 2 2 3 2 3" xfId="11109"/>
    <cellStyle name="常规 3 2 2 2 2 2 2 3 2 4" xfId="11110"/>
    <cellStyle name="常规 3 2 2 2 2 2 2 3 3" xfId="11111"/>
    <cellStyle name="常规 3 2 2 2 2 2 2 3 3 2" xfId="11112"/>
    <cellStyle name="常规 3 2 2 2 2 2 2 3 3 3" xfId="11113"/>
    <cellStyle name="常规 3 2 2 2 2 2 2 3 4" xfId="11114"/>
    <cellStyle name="常规 3 2 2 2 2 2 2 3 5" xfId="11115"/>
    <cellStyle name="常规 3 2 2 2 2 2 2 3 6" xfId="11116"/>
    <cellStyle name="常规 3 2 2 2 2 2 2 4" xfId="11117"/>
    <cellStyle name="常规 3 2 2 2 2 2 2 4 2" xfId="11118"/>
    <cellStyle name="常规 3 2 2 2 2 2 2 4 3" xfId="11119"/>
    <cellStyle name="常规 3 2 2 2 2 2 2 4 4" xfId="11120"/>
    <cellStyle name="常规 3 2 2 2 2 2 2 5" xfId="11121"/>
    <cellStyle name="常规 3 2 2 2 2 2 2 5 2" xfId="11122"/>
    <cellStyle name="常规 3 2 2 2 2 2 2 5 3" xfId="11123"/>
    <cellStyle name="常规 3 2 2 2 2 2 2 6" xfId="11124"/>
    <cellStyle name="常规 3 2 2 2 2 2 2 7" xfId="11125"/>
    <cellStyle name="常规 3 2 2 2 2 2 2 8" xfId="11126"/>
    <cellStyle name="常规 3 2 2 2 2 2 3" xfId="11127"/>
    <cellStyle name="常规 3 2 2 2 2 2 3 2" xfId="11128"/>
    <cellStyle name="常规 3 2 2 2 2 2 3 2 2" xfId="11129"/>
    <cellStyle name="常规 3 2 2 2 2 2 3 2 3" xfId="11130"/>
    <cellStyle name="常规 3 2 2 2 2 2 3 2 4" xfId="11131"/>
    <cellStyle name="常规 3 2 2 2 2 2 3 3" xfId="11132"/>
    <cellStyle name="常规 3 2 2 2 2 2 3 3 2" xfId="11133"/>
    <cellStyle name="常规 3 2 2 2 2 2 3 3 3" xfId="11134"/>
    <cellStyle name="常规 3 2 2 2 2 2 3 4" xfId="11135"/>
    <cellStyle name="常规 3 2 2 2 2 2 3 5" xfId="11136"/>
    <cellStyle name="常规 3 2 2 2 2 2 3 6" xfId="11137"/>
    <cellStyle name="常规 3 2 2 2 2 2 4" xfId="11138"/>
    <cellStyle name="常规 3 2 2 2 2 2 4 2" xfId="11139"/>
    <cellStyle name="常规 3 2 2 2 2 2 4 2 2" xfId="11140"/>
    <cellStyle name="常规 3 2 2 2 2 2 4 2 2 2" xfId="11141"/>
    <cellStyle name="常规 3 2 2 2 2 2 4 2 2 3" xfId="11142"/>
    <cellStyle name="常规 3 2 2 2 2 2 4 2 3" xfId="11143"/>
    <cellStyle name="常规 3 2 2 2 2 2 4 2 4" xfId="11144"/>
    <cellStyle name="常规 3 2 2 2 2 2 4 2 5" xfId="11145"/>
    <cellStyle name="常规 3 2 2 2 2 2 4 3" xfId="11146"/>
    <cellStyle name="常规 3 2 2 2 2 2 4 3 2" xfId="11147"/>
    <cellStyle name="常规 3 2 2 2 2 2 4 3 3" xfId="11148"/>
    <cellStyle name="常规 3 2 2 2 2 2 4 4" xfId="11149"/>
    <cellStyle name="常规 3 2 2 2 2 2 4 5" xfId="11150"/>
    <cellStyle name="常规 3 2 2 2 2 2 4 6" xfId="11151"/>
    <cellStyle name="常规 3 2 2 2 2 2 5" xfId="11152"/>
    <cellStyle name="常规 3 2 2 2 2 2 5 2" xfId="11153"/>
    <cellStyle name="常规 3 2 2 2 2 2 5 3" xfId="11154"/>
    <cellStyle name="常规 3 2 2 2 2 2 5 4" xfId="11155"/>
    <cellStyle name="常规 3 2 2 2 2 2 6" xfId="11156"/>
    <cellStyle name="常规 3 2 2 2 2 2 6 2" xfId="11157"/>
    <cellStyle name="常规 3 2 2 2 2 2 6 3" xfId="11158"/>
    <cellStyle name="常规 3 2 2 2 2 2 7" xfId="11159"/>
    <cellStyle name="常规 3 2 2 2 2 2 8" xfId="11160"/>
    <cellStyle name="常规 3 2 2 2 2 2 9" xfId="11161"/>
    <cellStyle name="常规 3 2 2 2 2 3" xfId="11162"/>
    <cellStyle name="常规 3 2 2 2 2 3 2" xfId="11163"/>
    <cellStyle name="常规 3 2 2 2 2 3 2 2" xfId="11164"/>
    <cellStyle name="常规 3 2 2 2 2 3 2 2 2" xfId="11165"/>
    <cellStyle name="常规 3 2 2 2 2 3 2 3" xfId="11166"/>
    <cellStyle name="常规 3 2 2 2 2 3 2 4" xfId="11167"/>
    <cellStyle name="常规 3 2 2 2 2 3 2 5" xfId="11168"/>
    <cellStyle name="常规 3 2 2 2 2 3 3" xfId="11169"/>
    <cellStyle name="常规 3 2 2 2 2 3 3 2" xfId="11170"/>
    <cellStyle name="常规 3 2 2 2 2 3 3 2 2" xfId="11171"/>
    <cellStyle name="常规 3 2 2 2 2 3 3 2 3" xfId="11172"/>
    <cellStyle name="常规 3 2 2 2 2 3 3 2 4" xfId="11173"/>
    <cellStyle name="常规 3 2 2 2 2 3 3 3" xfId="11174"/>
    <cellStyle name="常规 3 2 2 2 2 3 3 3 2" xfId="11175"/>
    <cellStyle name="常规 3 2 2 2 2 3 3 3 3" xfId="11176"/>
    <cellStyle name="常规 3 2 2 2 2 3 3 4" xfId="11177"/>
    <cellStyle name="常规 3 2 2 2 2 3 3 5" xfId="11178"/>
    <cellStyle name="常规 3 2 2 2 2 3 3 6" xfId="11179"/>
    <cellStyle name="常规 3 2 2 2 2 3 4" xfId="11180"/>
    <cellStyle name="常规 3 2 2 2 2 3 4 2" xfId="11181"/>
    <cellStyle name="常规 3 2 2 2 2 3 4 3" xfId="11182"/>
    <cellStyle name="常规 3 2 2 2 2 3 4 4" xfId="11183"/>
    <cellStyle name="常规 3 2 2 2 2 3 5" xfId="11184"/>
    <cellStyle name="常规 3 2 2 2 2 3 5 2" xfId="11185"/>
    <cellStyle name="常规 3 2 2 2 2 3 5 3" xfId="11186"/>
    <cellStyle name="常规 3 2 2 2 2 3 6" xfId="11187"/>
    <cellStyle name="常规 3 2 2 2 2 3 7" xfId="11188"/>
    <cellStyle name="常规 3 2 2 2 2 3 8" xfId="11189"/>
    <cellStyle name="常规 3 2 2 2 2 4" xfId="11190"/>
    <cellStyle name="常规 3 2 2 2 2 4 2" xfId="11191"/>
    <cellStyle name="常规 3 2 2 2 2 4 2 2" xfId="11192"/>
    <cellStyle name="常规 3 2 2 2 2 4 2 3" xfId="11193"/>
    <cellStyle name="常规 3 2 2 2 2 4 2 4" xfId="11194"/>
    <cellStyle name="常规 3 2 2 2 2 4 3" xfId="11195"/>
    <cellStyle name="常规 3 2 2 2 2 4 3 2" xfId="11196"/>
    <cellStyle name="常规 3 2 2 2 2 4 3 3" xfId="11197"/>
    <cellStyle name="常规 3 2 2 2 2 4 4" xfId="11198"/>
    <cellStyle name="常规 3 2 2 2 2 4 5" xfId="11199"/>
    <cellStyle name="常规 3 2 2 2 2 4 6" xfId="11200"/>
    <cellStyle name="常规 3 2 2 2 2 5" xfId="11201"/>
    <cellStyle name="常规 3 2 2 2 2 5 2" xfId="11202"/>
    <cellStyle name="常规 3 2 2 2 2 5 2 2" xfId="11203"/>
    <cellStyle name="常规 3 2 2 2 2 5 2 2 2" xfId="11204"/>
    <cellStyle name="常规 3 2 2 2 2 5 2 2 3" xfId="11205"/>
    <cellStyle name="常规 3 2 2 2 2 5 2 3" xfId="11206"/>
    <cellStyle name="常规 3 2 2 2 2 5 2 4" xfId="11207"/>
    <cellStyle name="常规 3 2 2 2 2 5 2 5" xfId="11208"/>
    <cellStyle name="常规 3 2 2 2 2 5 3" xfId="11209"/>
    <cellStyle name="常规 3 2 2 2 2 5 3 2" xfId="11210"/>
    <cellStyle name="常规 3 2 2 2 2 5 3 3" xfId="11211"/>
    <cellStyle name="常规 3 2 2 2 2 5 4" xfId="11212"/>
    <cellStyle name="常规 3 2 2 2 2 5 5" xfId="11213"/>
    <cellStyle name="常规 3 2 2 2 2 5 6" xfId="11214"/>
    <cellStyle name="常规 3 2 2 2 2 6" xfId="11215"/>
    <cellStyle name="常规 3 2 2 2 2 6 2" xfId="11216"/>
    <cellStyle name="常规 3 2 2 2 2 6 3" xfId="11217"/>
    <cellStyle name="常规 3 2 2 2 2 6 4" xfId="11218"/>
    <cellStyle name="常规 3 2 2 2 2 7" xfId="11219"/>
    <cellStyle name="常规 3 2 2 2 2 7 2" xfId="11220"/>
    <cellStyle name="常规 3 2 2 2 2 7 3" xfId="11221"/>
    <cellStyle name="常规 3 2 2 2 2 8" xfId="11222"/>
    <cellStyle name="常规 3 2 2 2 2 9" xfId="11223"/>
    <cellStyle name="常规 3 2 2 2 3" xfId="11224"/>
    <cellStyle name="常规 3 2 2 2 3 2" xfId="11225"/>
    <cellStyle name="常规 3 2 2 2 3 2 2" xfId="11226"/>
    <cellStyle name="常规 3 2 2 2 3 2 2 2" xfId="11227"/>
    <cellStyle name="常规 3 2 2 2 3 2 3" xfId="11228"/>
    <cellStyle name="常规 3 2 2 2 3 2 4" xfId="11229"/>
    <cellStyle name="常规 3 2 2 2 3 2 5" xfId="11230"/>
    <cellStyle name="常规 3 2 2 2 3 3" xfId="11231"/>
    <cellStyle name="常规 3 2 2 2 3 3 2" xfId="11232"/>
    <cellStyle name="常规 3 2 2 2 3 3 2 2" xfId="11233"/>
    <cellStyle name="常规 3 2 2 2 3 3 2 3" xfId="11234"/>
    <cellStyle name="常规 3 2 2 2 3 3 2 4" xfId="11235"/>
    <cellStyle name="常规 3 2 2 2 3 3 3" xfId="11236"/>
    <cellStyle name="常规 3 2 2 2 3 3 3 2" xfId="11237"/>
    <cellStyle name="常规 3 2 2 2 3 3 3 3" xfId="11238"/>
    <cellStyle name="常规 3 2 2 2 3 3 4" xfId="11239"/>
    <cellStyle name="常规 3 2 2 2 3 3 5" xfId="11240"/>
    <cellStyle name="常规 3 2 2 2 3 3 6" xfId="11241"/>
    <cellStyle name="常规 3 2 2 2 3 4" xfId="11242"/>
    <cellStyle name="常规 3 2 2 2 3 4 2" xfId="11243"/>
    <cellStyle name="常规 3 2 2 2 3 4 3" xfId="11244"/>
    <cellStyle name="常规 3 2 2 2 3 4 4" xfId="11245"/>
    <cellStyle name="常规 3 2 2 2 3 5" xfId="11246"/>
    <cellStyle name="常规 3 2 2 2 3 5 2" xfId="11247"/>
    <cellStyle name="常规 3 2 2 2 3 5 3" xfId="11248"/>
    <cellStyle name="常规 3 2 2 2 3 6" xfId="11249"/>
    <cellStyle name="常规 3 2 2 2 3 7" xfId="11250"/>
    <cellStyle name="常规 3 2 2 2 3 8" xfId="11251"/>
    <cellStyle name="常规 3 2 2 2 4" xfId="11252"/>
    <cellStyle name="常规 3 2 2 2 4 2" xfId="11253"/>
    <cellStyle name="常规 3 2 2 2 4 2 2" xfId="11254"/>
    <cellStyle name="常规 3 2 2 2 4 2 3" xfId="11255"/>
    <cellStyle name="常规 3 2 2 2 4 2 4" xfId="11256"/>
    <cellStyle name="常规 3 2 2 2 4 3" xfId="11257"/>
    <cellStyle name="常规 3 2 2 2 4 3 2" xfId="11258"/>
    <cellStyle name="常规 3 2 2 2 4 3 3" xfId="11259"/>
    <cellStyle name="常规 3 2 2 2 4 4" xfId="11260"/>
    <cellStyle name="常规 3 2 2 2 4 5" xfId="11261"/>
    <cellStyle name="常规 3 2 2 2 4 6" xfId="11262"/>
    <cellStyle name="常规 3 2 2 2 5" xfId="11263"/>
    <cellStyle name="常规 3 2 2 2 5 2" xfId="11264"/>
    <cellStyle name="常规 3 2 2 2 5 2 2" xfId="11265"/>
    <cellStyle name="常规 3 2 2 2 5 2 2 2" xfId="11266"/>
    <cellStyle name="常规 3 2 2 2 5 2 2 3" xfId="11267"/>
    <cellStyle name="常规 3 2 2 2 5 2 3" xfId="11268"/>
    <cellStyle name="常规 3 2 2 2 5 2 4" xfId="11269"/>
    <cellStyle name="常规 3 2 2 2 5 2 5" xfId="11270"/>
    <cellStyle name="常规 3 2 2 2 5 3" xfId="11271"/>
    <cellStyle name="常规 3 2 2 2 5 3 2" xfId="11272"/>
    <cellStyle name="常规 3 2 2 2 5 3 3" xfId="11273"/>
    <cellStyle name="常规 3 2 2 2 5 4" xfId="11274"/>
    <cellStyle name="常规 3 2 2 2 5 5" xfId="11275"/>
    <cellStyle name="常规 3 2 2 2 5 6" xfId="11276"/>
    <cellStyle name="常规 3 2 2 2 6" xfId="11277"/>
    <cellStyle name="常规 3 2 2 2 6 2" xfId="11278"/>
    <cellStyle name="常规 3 2 2 2 6 3" xfId="11279"/>
    <cellStyle name="常规 3 2 2 2 6 4" xfId="11280"/>
    <cellStyle name="常规 3 2 2 2 7" xfId="11281"/>
    <cellStyle name="常规 3 2 2 2 7 2" xfId="11282"/>
    <cellStyle name="常规 3 2 2 2 7 3" xfId="11283"/>
    <cellStyle name="常规 3 2 2 2 8" xfId="11284"/>
    <cellStyle name="常规 3 2 2 2 9" xfId="11285"/>
    <cellStyle name="常规 3 2 2 3" xfId="11286"/>
    <cellStyle name="常规 3 2 2 3 10" xfId="11287"/>
    <cellStyle name="常规 3 2 2 3 2" xfId="11288"/>
    <cellStyle name="常规 3 2 2 3 2 2" xfId="11289"/>
    <cellStyle name="常规 3 2 2 3 2 2 2" xfId="11290"/>
    <cellStyle name="常规 3 2 2 3 2 2 2 2" xfId="11291"/>
    <cellStyle name="常规 3 2 2 3 2 2 2 2 2" xfId="11292"/>
    <cellStyle name="常规 3 2 2 3 2 2 2 3" xfId="11293"/>
    <cellStyle name="常规 3 2 2 3 2 2 2 4" xfId="11294"/>
    <cellStyle name="常规 3 2 2 3 2 2 2 5" xfId="11295"/>
    <cellStyle name="常规 3 2 2 3 2 2 3" xfId="11296"/>
    <cellStyle name="常规 3 2 2 3 2 2 3 2" xfId="11297"/>
    <cellStyle name="常规 3 2 2 3 2 2 3 2 2" xfId="11298"/>
    <cellStyle name="常规 3 2 2 3 2 2 3 2 3" xfId="11299"/>
    <cellStyle name="常规 3 2 2 3 2 2 3 2 4" xfId="11300"/>
    <cellStyle name="常规 3 2 2 3 2 2 3 3" xfId="11301"/>
    <cellStyle name="常规 3 2 2 3 2 2 3 3 2" xfId="11302"/>
    <cellStyle name="常规 3 2 2 3 2 2 3 3 3" xfId="11303"/>
    <cellStyle name="常规 3 2 2 3 2 2 3 4" xfId="11304"/>
    <cellStyle name="常规 3 2 2 3 2 2 3 5" xfId="11305"/>
    <cellStyle name="常规 3 2 2 3 2 2 3 6" xfId="11306"/>
    <cellStyle name="常规 3 2 2 3 2 2 4" xfId="11307"/>
    <cellStyle name="常规 3 2 2 3 2 2 4 2" xfId="11308"/>
    <cellStyle name="常规 3 2 2 3 2 2 4 3" xfId="11309"/>
    <cellStyle name="常规 3 2 2 3 2 2 4 4" xfId="11310"/>
    <cellStyle name="常规 3 2 2 3 2 2 5" xfId="11311"/>
    <cellStyle name="常规 3 2 2 3 2 2 5 2" xfId="11312"/>
    <cellStyle name="常规 3 2 2 3 2 2 5 3" xfId="11313"/>
    <cellStyle name="常规 3 2 2 3 2 2 6" xfId="11314"/>
    <cellStyle name="常规 3 2 2 3 2 2 7" xfId="11315"/>
    <cellStyle name="常规 3 2 2 3 2 2 8" xfId="11316"/>
    <cellStyle name="常规 3 2 2 3 2 3" xfId="11317"/>
    <cellStyle name="常规 3 2 2 3 2 3 2" xfId="11318"/>
    <cellStyle name="常规 3 2 2 3 2 3 2 2" xfId="11319"/>
    <cellStyle name="常规 3 2 2 3 2 3 2 3" xfId="11320"/>
    <cellStyle name="常规 3 2 2 3 2 3 2 4" xfId="11321"/>
    <cellStyle name="常规 3 2 2 3 2 3 3" xfId="11322"/>
    <cellStyle name="常规 3 2 2 3 2 3 3 2" xfId="11323"/>
    <cellStyle name="常规 3 2 2 3 2 3 3 3" xfId="11324"/>
    <cellStyle name="常规 3 2 2 3 2 3 4" xfId="11325"/>
    <cellStyle name="常规 3 2 2 3 2 3 5" xfId="11326"/>
    <cellStyle name="常规 3 2 2 3 2 3 6" xfId="11327"/>
    <cellStyle name="常规 3 2 2 3 2 4" xfId="11328"/>
    <cellStyle name="常规 3 2 2 3 2 4 2" xfId="11329"/>
    <cellStyle name="常规 3 2 2 3 2 4 2 2" xfId="11330"/>
    <cellStyle name="常规 3 2 2 3 2 4 2 2 2" xfId="11331"/>
    <cellStyle name="常规 3 2 2 3 2 4 2 2 3" xfId="11332"/>
    <cellStyle name="常规 3 2 2 3 2 4 2 3" xfId="11333"/>
    <cellStyle name="常规 3 2 2 3 2 4 2 4" xfId="11334"/>
    <cellStyle name="常规 3 2 2 3 2 4 2 5" xfId="11335"/>
    <cellStyle name="常规 3 2 2 3 2 4 3" xfId="11336"/>
    <cellStyle name="常规 3 2 2 3 2 4 3 2" xfId="11337"/>
    <cellStyle name="常规 3 2 2 3 2 4 3 3" xfId="11338"/>
    <cellStyle name="常规 3 2 2 3 2 4 4" xfId="11339"/>
    <cellStyle name="常规 3 2 2 3 2 4 5" xfId="11340"/>
    <cellStyle name="常规 3 2 2 3 2 4 6" xfId="11341"/>
    <cellStyle name="常规 3 2 2 3 2 5" xfId="11342"/>
    <cellStyle name="常规 3 2 2 3 2 5 2" xfId="11343"/>
    <cellStyle name="常规 3 2 2 3 2 5 3" xfId="11344"/>
    <cellStyle name="常规 3 2 2 3 2 5 4" xfId="11345"/>
    <cellStyle name="常规 3 2 2 3 2 6" xfId="11346"/>
    <cellStyle name="常规 3 2 2 3 2 6 2" xfId="11347"/>
    <cellStyle name="常规 3 2 2 3 2 6 3" xfId="11348"/>
    <cellStyle name="常规 3 2 2 3 2 7" xfId="11349"/>
    <cellStyle name="常规 3 2 2 3 2 8" xfId="11350"/>
    <cellStyle name="常规 3 2 2 3 2 9" xfId="11351"/>
    <cellStyle name="常规 3 2 2 3 3" xfId="11352"/>
    <cellStyle name="常规 3 2 2 3 3 2" xfId="11353"/>
    <cellStyle name="常规 3 2 2 3 3 2 2" xfId="11354"/>
    <cellStyle name="常规 3 2 2 3 3 2 2 2" xfId="11355"/>
    <cellStyle name="常规 3 2 2 3 3 2 3" xfId="11356"/>
    <cellStyle name="常规 3 2 2 3 3 2 4" xfId="11357"/>
    <cellStyle name="常规 3 2 2 3 3 2 5" xfId="11358"/>
    <cellStyle name="常规 3 2 2 3 3 3" xfId="11359"/>
    <cellStyle name="常规 3 2 2 3 3 3 2" xfId="11360"/>
    <cellStyle name="常规 3 2 2 3 3 3 2 2" xfId="11361"/>
    <cellStyle name="常规 3 2 2 3 3 3 2 3" xfId="11362"/>
    <cellStyle name="常规 3 2 2 3 3 3 2 4" xfId="11363"/>
    <cellStyle name="常规 3 2 2 3 3 3 3" xfId="11364"/>
    <cellStyle name="常规 3 2 2 3 3 3 3 2" xfId="11365"/>
    <cellStyle name="常规 3 2 2 3 3 3 3 3" xfId="11366"/>
    <cellStyle name="常规 3 2 2 3 3 3 4" xfId="11367"/>
    <cellStyle name="常规 3 2 2 3 3 3 5" xfId="11368"/>
    <cellStyle name="常规 3 2 2 3 3 3 6" xfId="11369"/>
    <cellStyle name="常规 3 2 2 3 3 4" xfId="11370"/>
    <cellStyle name="常规 3 2 2 3 3 4 2" xfId="11371"/>
    <cellStyle name="常规 3 2 2 3 3 4 3" xfId="11372"/>
    <cellStyle name="常规 3 2 2 3 3 4 4" xfId="11373"/>
    <cellStyle name="常规 3 2 2 3 3 5" xfId="11374"/>
    <cellStyle name="常规 3 2 2 3 3 5 2" xfId="11375"/>
    <cellStyle name="常规 3 2 2 3 3 5 3" xfId="11376"/>
    <cellStyle name="常规 3 2 2 3 3 6" xfId="11377"/>
    <cellStyle name="常规 3 2 2 3 3 7" xfId="11378"/>
    <cellStyle name="常规 3 2 2 3 3 8" xfId="11379"/>
    <cellStyle name="常规 3 2 2 3 4" xfId="11380"/>
    <cellStyle name="常规 3 2 2 3 4 2" xfId="11381"/>
    <cellStyle name="常规 3 2 2 3 4 2 2" xfId="11382"/>
    <cellStyle name="常规 3 2 2 3 4 2 3" xfId="11383"/>
    <cellStyle name="常规 3 2 2 3 4 2 4" xfId="11384"/>
    <cellStyle name="常规 3 2 2 3 4 3" xfId="11385"/>
    <cellStyle name="常规 3 2 2 3 4 3 2" xfId="11386"/>
    <cellStyle name="常规 3 2 2 3 4 3 3" xfId="11387"/>
    <cellStyle name="常规 3 2 2 3 4 4" xfId="11388"/>
    <cellStyle name="常规 3 2 2 3 4 5" xfId="11389"/>
    <cellStyle name="常规 3 2 2 3 4 6" xfId="11390"/>
    <cellStyle name="常规 3 2 2 3 5" xfId="11391"/>
    <cellStyle name="常规 3 2 2 3 5 2" xfId="11392"/>
    <cellStyle name="常规 3 2 2 3 5 2 2" xfId="11393"/>
    <cellStyle name="常规 3 2 2 3 5 2 2 2" xfId="11394"/>
    <cellStyle name="常规 3 2 2 3 5 2 2 3" xfId="11395"/>
    <cellStyle name="常规 3 2 2 3 5 2 3" xfId="11396"/>
    <cellStyle name="常规 3 2 2 3 5 2 4" xfId="11397"/>
    <cellStyle name="常规 3 2 2 3 5 2 5" xfId="11398"/>
    <cellStyle name="常规 3 2 2 3 5 3" xfId="11399"/>
    <cellStyle name="常规 3 2 2 3 5 3 2" xfId="11400"/>
    <cellStyle name="常规 3 2 2 3 5 3 3" xfId="11401"/>
    <cellStyle name="常规 3 2 2 3 5 4" xfId="11402"/>
    <cellStyle name="常规 3 2 2 3 5 5" xfId="11403"/>
    <cellStyle name="常规 3 2 2 3 5 6" xfId="11404"/>
    <cellStyle name="常规 3 2 2 3 6" xfId="11405"/>
    <cellStyle name="常规 3 2 2 3 6 2" xfId="11406"/>
    <cellStyle name="常规 3 2 2 3 6 3" xfId="11407"/>
    <cellStyle name="常规 3 2 2 3 6 4" xfId="11408"/>
    <cellStyle name="常规 3 2 2 3 7" xfId="11409"/>
    <cellStyle name="常规 3 2 2 3 7 2" xfId="11410"/>
    <cellStyle name="常规 3 2 2 3 7 3" xfId="11411"/>
    <cellStyle name="常规 3 2 2 3 8" xfId="11412"/>
    <cellStyle name="常规 3 2 2 3 9" xfId="11413"/>
    <cellStyle name="常规 3 2 2 4" xfId="11414"/>
    <cellStyle name="常规 3 2 2 4 2" xfId="11415"/>
    <cellStyle name="常规 3 2 2 4 2 2" xfId="11416"/>
    <cellStyle name="常规 3 2 2 4 2 2 2" xfId="11417"/>
    <cellStyle name="常规 3 2 2 4 2 3" xfId="11418"/>
    <cellStyle name="常规 3 2 2 4 2 4" xfId="11419"/>
    <cellStyle name="常规 3 2 2 4 2 5" xfId="11420"/>
    <cellStyle name="常规 3 2 2 4 3" xfId="11421"/>
    <cellStyle name="常规 3 2 2 4 3 2" xfId="11422"/>
    <cellStyle name="常规 3 2 2 4 3 2 2" xfId="11423"/>
    <cellStyle name="常规 3 2 2 4 3 2 3" xfId="11424"/>
    <cellStyle name="常规 3 2 2 4 3 2 4" xfId="11425"/>
    <cellStyle name="常规 3 2 2 4 3 3" xfId="11426"/>
    <cellStyle name="常规 3 2 2 4 3 3 2" xfId="11427"/>
    <cellStyle name="常规 3 2 2 4 3 3 3" xfId="11428"/>
    <cellStyle name="常规 3 2 2 4 3 4" xfId="11429"/>
    <cellStyle name="常规 3 2 2 4 3 5" xfId="11430"/>
    <cellStyle name="常规 3 2 2 4 3 6" xfId="11431"/>
    <cellStyle name="常规 3 2 2 4 4" xfId="11432"/>
    <cellStyle name="常规 3 2 2 4 4 2" xfId="11433"/>
    <cellStyle name="常规 3 2 2 4 4 3" xfId="11434"/>
    <cellStyle name="常规 3 2 2 4 4 4" xfId="11435"/>
    <cellStyle name="常规 3 2 2 4 5" xfId="11436"/>
    <cellStyle name="常规 3 2 2 4 5 2" xfId="11437"/>
    <cellStyle name="常规 3 2 2 4 5 3" xfId="11438"/>
    <cellStyle name="常规 3 2 2 4 6" xfId="11439"/>
    <cellStyle name="常规 3 2 2 4 7" xfId="11440"/>
    <cellStyle name="常规 3 2 2 4 8" xfId="11441"/>
    <cellStyle name="常规 3 2 2 5" xfId="11442"/>
    <cellStyle name="常规 3 2 2 5 2" xfId="11443"/>
    <cellStyle name="常规 3 2 2 5 2 2" xfId="11444"/>
    <cellStyle name="常规 3 2 2 5 2 3" xfId="11445"/>
    <cellStyle name="常规 3 2 2 5 2 4" xfId="11446"/>
    <cellStyle name="常规 3 2 2 5 3" xfId="11447"/>
    <cellStyle name="常规 3 2 2 5 3 2" xfId="11448"/>
    <cellStyle name="常规 3 2 2 5 3 3" xfId="11449"/>
    <cellStyle name="常规 3 2 2 5 4" xfId="11450"/>
    <cellStyle name="常规 3 2 2 5 5" xfId="11451"/>
    <cellStyle name="常规 3 2 2 5 6" xfId="11452"/>
    <cellStyle name="常规 3 2 2 6" xfId="11453"/>
    <cellStyle name="常规 3 2 2 6 2" xfId="11454"/>
    <cellStyle name="常规 3 2 2 6 2 2" xfId="11455"/>
    <cellStyle name="常规 3 2 2 6 2 2 2" xfId="11456"/>
    <cellStyle name="常规 3 2 2 6 2 2 3" xfId="11457"/>
    <cellStyle name="常规 3 2 2 6 2 3" xfId="11458"/>
    <cellStyle name="常规 3 2 2 6 2 4" xfId="11459"/>
    <cellStyle name="常规 3 2 2 6 2 5" xfId="11460"/>
    <cellStyle name="常规 3 2 2 6 3" xfId="11461"/>
    <cellStyle name="常规 3 2 2 6 3 2" xfId="11462"/>
    <cellStyle name="常规 3 2 2 6 3 3" xfId="11463"/>
    <cellStyle name="常规 3 2 2 6 4" xfId="11464"/>
    <cellStyle name="常规 3 2 2 6 5" xfId="11465"/>
    <cellStyle name="常规 3 2 2 6 6" xfId="11466"/>
    <cellStyle name="常规 3 2 2 7" xfId="11467"/>
    <cellStyle name="常规 3 2 2 7 2" xfId="11468"/>
    <cellStyle name="常规 3 2 2 7 3" xfId="11469"/>
    <cellStyle name="常规 3 2 2 7 4" xfId="11470"/>
    <cellStyle name="常规 3 2 2 8" xfId="11471"/>
    <cellStyle name="常规 3 2 2 8 2" xfId="11472"/>
    <cellStyle name="常规 3 2 2 8 3" xfId="11473"/>
    <cellStyle name="常规 3 2 2 9" xfId="11474"/>
    <cellStyle name="常规 3 2 3" xfId="11475"/>
    <cellStyle name="常规 3 2 3 10" xfId="11476"/>
    <cellStyle name="常规 3 2 3 2" xfId="11477"/>
    <cellStyle name="常规 3 2 3 2 2" xfId="11478"/>
    <cellStyle name="常规 3 2 3 2 2 2" xfId="11479"/>
    <cellStyle name="常规 3 2 3 2 2 2 2" xfId="11480"/>
    <cellStyle name="常规 3 2 3 2 2 2 2 2" xfId="11481"/>
    <cellStyle name="常规 3 2 3 2 2 2 3" xfId="11482"/>
    <cellStyle name="常规 3 2 3 2 2 2 4" xfId="11483"/>
    <cellStyle name="常规 3 2 3 2 2 2 5" xfId="11484"/>
    <cellStyle name="常规 3 2 3 2 2 3" xfId="11485"/>
    <cellStyle name="常规 3 2 3 2 2 3 2" xfId="11486"/>
    <cellStyle name="常规 3 2 3 2 2 3 2 2" xfId="11487"/>
    <cellStyle name="常规 3 2 3 2 2 3 2 3" xfId="11488"/>
    <cellStyle name="常规 3 2 3 2 2 3 2 4" xfId="11489"/>
    <cellStyle name="常规 3 2 3 2 2 3 3" xfId="11490"/>
    <cellStyle name="常规 3 2 3 2 2 3 3 2" xfId="11491"/>
    <cellStyle name="常规 3 2 3 2 2 3 3 3" xfId="11492"/>
    <cellStyle name="常规 3 2 3 2 2 3 4" xfId="11493"/>
    <cellStyle name="常规 3 2 3 2 2 3 5" xfId="11494"/>
    <cellStyle name="常规 3 2 3 2 2 3 6" xfId="11495"/>
    <cellStyle name="常规 3 2 3 2 2 4" xfId="11496"/>
    <cellStyle name="常规 3 2 3 2 2 4 2" xfId="11497"/>
    <cellStyle name="常规 3 2 3 2 2 4 3" xfId="11498"/>
    <cellStyle name="常规 3 2 3 2 2 4 4" xfId="11499"/>
    <cellStyle name="常规 3 2 3 2 2 5" xfId="11500"/>
    <cellStyle name="常规 3 2 3 2 2 5 2" xfId="11501"/>
    <cellStyle name="常规 3 2 3 2 2 5 3" xfId="11502"/>
    <cellStyle name="常规 3 2 3 2 2 6" xfId="11503"/>
    <cellStyle name="常规 3 2 3 2 2 7" xfId="11504"/>
    <cellStyle name="常规 3 2 3 2 2 8" xfId="11505"/>
    <cellStyle name="常规 3 2 3 2 3" xfId="11506"/>
    <cellStyle name="常规 3 2 3 2 3 2" xfId="11507"/>
    <cellStyle name="常规 3 2 3 2 3 2 2" xfId="11508"/>
    <cellStyle name="常规 3 2 3 2 3 2 3" xfId="11509"/>
    <cellStyle name="常规 3 2 3 2 3 2 4" xfId="11510"/>
    <cellStyle name="常规 3 2 3 2 3 3" xfId="11511"/>
    <cellStyle name="常规 3 2 3 2 3 3 2" xfId="11512"/>
    <cellStyle name="常规 3 2 3 2 3 3 3" xfId="11513"/>
    <cellStyle name="常规 3 2 3 2 3 4" xfId="11514"/>
    <cellStyle name="常规 3 2 3 2 3 5" xfId="11515"/>
    <cellStyle name="常规 3 2 3 2 3 6" xfId="11516"/>
    <cellStyle name="常规 3 2 3 2 4" xfId="11517"/>
    <cellStyle name="常规 3 2 3 2 4 2" xfId="11518"/>
    <cellStyle name="常规 3 2 3 2 4 2 2" xfId="11519"/>
    <cellStyle name="常规 3 2 3 2 4 2 2 2" xfId="11520"/>
    <cellStyle name="常规 3 2 3 2 4 2 2 3" xfId="11521"/>
    <cellStyle name="常规 3 2 3 2 4 2 3" xfId="11522"/>
    <cellStyle name="常规 3 2 3 2 4 2 4" xfId="11523"/>
    <cellStyle name="常规 3 2 3 2 4 2 5" xfId="11524"/>
    <cellStyle name="常规 3 2 3 2 4 3" xfId="11525"/>
    <cellStyle name="常规 3 2 3 2 4 3 2" xfId="11526"/>
    <cellStyle name="常规 3 2 3 2 4 3 3" xfId="11527"/>
    <cellStyle name="常规 3 2 3 2 4 4" xfId="11528"/>
    <cellStyle name="常规 3 2 3 2 4 5" xfId="11529"/>
    <cellStyle name="常规 3 2 3 2 4 6" xfId="11530"/>
    <cellStyle name="常规 3 2 3 2 5" xfId="11531"/>
    <cellStyle name="常规 3 2 3 2 5 2" xfId="11532"/>
    <cellStyle name="常规 3 2 3 2 5 3" xfId="11533"/>
    <cellStyle name="常规 3 2 3 2 5 4" xfId="11534"/>
    <cellStyle name="常规 3 2 3 2 6" xfId="11535"/>
    <cellStyle name="常规 3 2 3 2 6 2" xfId="11536"/>
    <cellStyle name="常规 3 2 3 2 6 3" xfId="11537"/>
    <cellStyle name="常规 3 2 3 2 7" xfId="11538"/>
    <cellStyle name="常规 3 2 3 2 8" xfId="11539"/>
    <cellStyle name="常规 3 2 3 2 9" xfId="11540"/>
    <cellStyle name="常规 3 2 3 3" xfId="11541"/>
    <cellStyle name="常规 3 2 3 3 2" xfId="11542"/>
    <cellStyle name="常规 3 2 3 3 2 2" xfId="11543"/>
    <cellStyle name="常规 3 2 3 3 2 2 2" xfId="11544"/>
    <cellStyle name="常规 3 2 3 3 2 3" xfId="11545"/>
    <cellStyle name="常规 3 2 3 3 2 4" xfId="11546"/>
    <cellStyle name="常规 3 2 3 3 2 5" xfId="11547"/>
    <cellStyle name="常规 3 2 3 3 3" xfId="11548"/>
    <cellStyle name="常规 3 2 3 3 3 2" xfId="11549"/>
    <cellStyle name="常规 3 2 3 3 3 2 2" xfId="11550"/>
    <cellStyle name="常规 3 2 3 3 3 2 3" xfId="11551"/>
    <cellStyle name="常规 3 2 3 3 3 2 4" xfId="11552"/>
    <cellStyle name="常规 3 2 3 3 3 3" xfId="11553"/>
    <cellStyle name="常规 3 2 3 3 3 3 2" xfId="11554"/>
    <cellStyle name="常规 3 2 3 3 3 3 3" xfId="11555"/>
    <cellStyle name="常规 3 2 3 3 3 4" xfId="11556"/>
    <cellStyle name="常规 3 2 3 3 3 5" xfId="11557"/>
    <cellStyle name="常规 3 2 3 3 3 6" xfId="11558"/>
    <cellStyle name="常规 3 2 3 3 4" xfId="11559"/>
    <cellStyle name="常规 3 2 3 3 4 2" xfId="11560"/>
    <cellStyle name="常规 3 2 3 3 4 3" xfId="11561"/>
    <cellStyle name="常规 3 2 3 3 4 4" xfId="11562"/>
    <cellStyle name="常规 3 2 3 3 5" xfId="11563"/>
    <cellStyle name="常规 3 2 3 3 5 2" xfId="11564"/>
    <cellStyle name="常规 3 2 3 3 5 3" xfId="11565"/>
    <cellStyle name="常规 3 2 3 3 6" xfId="11566"/>
    <cellStyle name="常规 3 2 3 3 7" xfId="11567"/>
    <cellStyle name="常规 3 2 3 3 8" xfId="11568"/>
    <cellStyle name="常规 3 2 3 4" xfId="11569"/>
    <cellStyle name="常规 3 2 3 4 2" xfId="11570"/>
    <cellStyle name="常规 3 2 3 4 2 2" xfId="11571"/>
    <cellStyle name="常规 3 2 3 4 2 3" xfId="11572"/>
    <cellStyle name="常规 3 2 3 4 2 4" xfId="11573"/>
    <cellStyle name="常规 3 2 3 4 3" xfId="11574"/>
    <cellStyle name="常规 3 2 3 4 3 2" xfId="11575"/>
    <cellStyle name="常规 3 2 3 4 3 3" xfId="11576"/>
    <cellStyle name="常规 3 2 3 4 4" xfId="11577"/>
    <cellStyle name="常规 3 2 3 4 5" xfId="11578"/>
    <cellStyle name="常规 3 2 3 4 6" xfId="11579"/>
    <cellStyle name="常规 3 2 3 5" xfId="11580"/>
    <cellStyle name="常规 3 2 3 5 2" xfId="11581"/>
    <cellStyle name="常规 3 2 3 5 2 2" xfId="11582"/>
    <cellStyle name="常规 3 2 3 5 2 2 2" xfId="11583"/>
    <cellStyle name="常规 3 2 3 5 2 2 3" xfId="11584"/>
    <cellStyle name="常规 3 2 3 5 2 3" xfId="11585"/>
    <cellStyle name="常规 3 2 3 5 2 4" xfId="11586"/>
    <cellStyle name="常规 3 2 3 5 2 5" xfId="11587"/>
    <cellStyle name="常规 3 2 3 5 3" xfId="11588"/>
    <cellStyle name="常规 3 2 3 5 3 2" xfId="11589"/>
    <cellStyle name="常规 3 2 3 5 3 3" xfId="11590"/>
    <cellStyle name="常规 3 2 3 5 4" xfId="11591"/>
    <cellStyle name="常规 3 2 3 5 5" xfId="11592"/>
    <cellStyle name="常规 3 2 3 5 6" xfId="11593"/>
    <cellStyle name="常规 3 2 3 6" xfId="11594"/>
    <cellStyle name="常规 3 2 3 6 2" xfId="11595"/>
    <cellStyle name="常规 3 2 3 6 3" xfId="11596"/>
    <cellStyle name="常规 3 2 3 6 4" xfId="11597"/>
    <cellStyle name="常规 3 2 3 7" xfId="11598"/>
    <cellStyle name="常规 3 2 3 7 2" xfId="11599"/>
    <cellStyle name="常规 3 2 3 7 3" xfId="11600"/>
    <cellStyle name="常规 3 2 3 8" xfId="11601"/>
    <cellStyle name="常规 3 2 3 9" xfId="11602"/>
    <cellStyle name="常规 3 2 4" xfId="11603"/>
    <cellStyle name="常规 3 2 4 2" xfId="11604"/>
    <cellStyle name="常规 3 2 4 2 2" xfId="11605"/>
    <cellStyle name="常规 3 2 4 2 2 2" xfId="11606"/>
    <cellStyle name="常规 3 2 4 2 2 2 2" xfId="11607"/>
    <cellStyle name="常规 3 2 4 2 2 3" xfId="11608"/>
    <cellStyle name="常规 3 2 4 2 2 4" xfId="11609"/>
    <cellStyle name="常规 3 2 4 2 2 5" xfId="11610"/>
    <cellStyle name="常规 3 2 4 2 3" xfId="11611"/>
    <cellStyle name="常规 3 2 4 2 3 2" xfId="11612"/>
    <cellStyle name="常规 3 2 4 2 3 2 2" xfId="11613"/>
    <cellStyle name="常规 3 2 4 2 3 2 3" xfId="11614"/>
    <cellStyle name="常规 3 2 4 2 3 2 4" xfId="11615"/>
    <cellStyle name="常规 3 2 4 2 3 3" xfId="11616"/>
    <cellStyle name="常规 3 2 4 2 3 3 2" xfId="11617"/>
    <cellStyle name="常规 3 2 4 2 3 3 3" xfId="11618"/>
    <cellStyle name="常规 3 2 4 2 3 4" xfId="11619"/>
    <cellStyle name="常规 3 2 4 2 3 5" xfId="11620"/>
    <cellStyle name="常规 3 2 4 2 3 6" xfId="11621"/>
    <cellStyle name="常规 3 2 4 2 4" xfId="11622"/>
    <cellStyle name="常规 3 2 4 2 4 2" xfId="11623"/>
    <cellStyle name="常规 3 2 4 2 4 3" xfId="11624"/>
    <cellStyle name="常规 3 2 4 2 4 4" xfId="11625"/>
    <cellStyle name="常规 3 2 4 2 5" xfId="11626"/>
    <cellStyle name="常规 3 2 4 2 5 2" xfId="11627"/>
    <cellStyle name="常规 3 2 4 2 5 3" xfId="11628"/>
    <cellStyle name="常规 3 2 4 2 6" xfId="11629"/>
    <cellStyle name="常规 3 2 4 2 7" xfId="11630"/>
    <cellStyle name="常规 3 2 4 2 8" xfId="11631"/>
    <cellStyle name="常规 3 2 4 3" xfId="11632"/>
    <cellStyle name="常规 3 2 4 3 2" xfId="11633"/>
    <cellStyle name="常规 3 2 4 3 2 2" xfId="11634"/>
    <cellStyle name="常规 3 2 4 3 2 3" xfId="11635"/>
    <cellStyle name="常规 3 2 4 3 2 4" xfId="11636"/>
    <cellStyle name="常规 3 2 4 3 3" xfId="11637"/>
    <cellStyle name="常规 3 2 4 3 3 2" xfId="11638"/>
    <cellStyle name="常规 3 2 4 3 3 3" xfId="11639"/>
    <cellStyle name="常规 3 2 4 3 4" xfId="11640"/>
    <cellStyle name="常规 3 2 4 3 5" xfId="11641"/>
    <cellStyle name="常规 3 2 4 3 6" xfId="11642"/>
    <cellStyle name="常规 3 2 4 4" xfId="11643"/>
    <cellStyle name="常规 3 2 4 4 2" xfId="11644"/>
    <cellStyle name="常规 3 2 4 4 2 2" xfId="11645"/>
    <cellStyle name="常规 3 2 4 4 2 2 2" xfId="11646"/>
    <cellStyle name="常规 3 2 4 4 2 2 3" xfId="11647"/>
    <cellStyle name="常规 3 2 4 4 2 3" xfId="11648"/>
    <cellStyle name="常规 3 2 4 4 2 4" xfId="11649"/>
    <cellStyle name="常规 3 2 4 4 2 5" xfId="11650"/>
    <cellStyle name="常规 3 2 4 4 3" xfId="11651"/>
    <cellStyle name="常规 3 2 4 4 3 2" xfId="11652"/>
    <cellStyle name="常规 3 2 4 4 3 3" xfId="11653"/>
    <cellStyle name="常规 3 2 4 4 4" xfId="11654"/>
    <cellStyle name="常规 3 2 4 4 5" xfId="11655"/>
    <cellStyle name="常规 3 2 4 4 6" xfId="11656"/>
    <cellStyle name="常规 3 2 4 5" xfId="11657"/>
    <cellStyle name="常规 3 2 4 5 2" xfId="11658"/>
    <cellStyle name="常规 3 2 4 5 3" xfId="11659"/>
    <cellStyle name="常规 3 2 4 5 4" xfId="11660"/>
    <cellStyle name="常规 3 2 4 6" xfId="11661"/>
    <cellStyle name="常规 3 2 4 6 2" xfId="11662"/>
    <cellStyle name="常规 3 2 4 6 3" xfId="11663"/>
    <cellStyle name="常规 3 2 4 7" xfId="11664"/>
    <cellStyle name="常规 3 2 4 8" xfId="11665"/>
    <cellStyle name="常规 3 2 4 9" xfId="11666"/>
    <cellStyle name="常规 3 2 5" xfId="11667"/>
    <cellStyle name="常规 3 2 5 2" xfId="11668"/>
    <cellStyle name="常规 3 2 5 2 2" xfId="11669"/>
    <cellStyle name="常规 3 2 5 2 2 2" xfId="11670"/>
    <cellStyle name="常规 3 2 5 2 3" xfId="11671"/>
    <cellStyle name="常规 3 2 5 2 4" xfId="11672"/>
    <cellStyle name="常规 3 2 5 2 5" xfId="11673"/>
    <cellStyle name="常规 3 2 5 3" xfId="11674"/>
    <cellStyle name="常规 3 2 5 3 2" xfId="11675"/>
    <cellStyle name="常规 3 2 5 3 2 2" xfId="11676"/>
    <cellStyle name="常规 3 2 5 3 2 3" xfId="11677"/>
    <cellStyle name="常规 3 2 5 3 2 4" xfId="11678"/>
    <cellStyle name="常规 3 2 5 3 3" xfId="11679"/>
    <cellStyle name="常规 3 2 5 3 3 2" xfId="11680"/>
    <cellStyle name="常规 3 2 5 3 3 3" xfId="11681"/>
    <cellStyle name="常规 3 2 5 3 4" xfId="11682"/>
    <cellStyle name="常规 3 2 5 3 5" xfId="11683"/>
    <cellStyle name="常规 3 2 5 3 6" xfId="11684"/>
    <cellStyle name="常规 3 2 5 4" xfId="11685"/>
    <cellStyle name="常规 3 2 5 4 2" xfId="11686"/>
    <cellStyle name="常规 3 2 5 4 3" xfId="11687"/>
    <cellStyle name="常规 3 2 5 4 4" xfId="11688"/>
    <cellStyle name="常规 3 2 5 5" xfId="11689"/>
    <cellStyle name="常规 3 2 5 5 2" xfId="11690"/>
    <cellStyle name="常规 3 2 5 5 3" xfId="11691"/>
    <cellStyle name="常规 3 2 5 6" xfId="11692"/>
    <cellStyle name="常规 3 2 5 7" xfId="11693"/>
    <cellStyle name="常规 3 2 5 8" xfId="11694"/>
    <cellStyle name="常规 3 2 6" xfId="11695"/>
    <cellStyle name="常规 3 2 6 2" xfId="11696"/>
    <cellStyle name="常规 3 2 6 2 2" xfId="11697"/>
    <cellStyle name="常规 3 2 6 2 3" xfId="11698"/>
    <cellStyle name="常规 3 2 6 2 4" xfId="11699"/>
    <cellStyle name="常规 3 2 6 3" xfId="11700"/>
    <cellStyle name="常规 3 2 6 3 2" xfId="11701"/>
    <cellStyle name="常规 3 2 6 3 3" xfId="11702"/>
    <cellStyle name="常规 3 2 6 4" xfId="11703"/>
    <cellStyle name="常规 3 2 6 5" xfId="11704"/>
    <cellStyle name="常规 3 2 6 6" xfId="11705"/>
    <cellStyle name="常规 3 2 7" xfId="11706"/>
    <cellStyle name="常规 3 2 7 2" xfId="11707"/>
    <cellStyle name="常规 3 2 7 2 2" xfId="11708"/>
    <cellStyle name="常规 3 2 7 2 2 2" xfId="11709"/>
    <cellStyle name="常规 3 2 7 2 2 3" xfId="11710"/>
    <cellStyle name="常规 3 2 7 2 3" xfId="11711"/>
    <cellStyle name="常规 3 2 7 2 4" xfId="11712"/>
    <cellStyle name="常规 3 2 7 2 5" xfId="11713"/>
    <cellStyle name="常规 3 2 7 3" xfId="11714"/>
    <cellStyle name="常规 3 2 7 3 2" xfId="11715"/>
    <cellStyle name="常规 3 2 7 3 3" xfId="11716"/>
    <cellStyle name="常规 3 2 7 4" xfId="11717"/>
    <cellStyle name="常规 3 2 7 5" xfId="11718"/>
    <cellStyle name="常规 3 2 7 6" xfId="11719"/>
    <cellStyle name="常规 3 2 8" xfId="11720"/>
    <cellStyle name="常规 3 2 8 2" xfId="11721"/>
    <cellStyle name="常规 3 2 8 3" xfId="11722"/>
    <cellStyle name="常规 3 2 8 4" xfId="11723"/>
    <cellStyle name="常规 3 2 9" xfId="11724"/>
    <cellStyle name="常规 3 2 9 2" xfId="11725"/>
    <cellStyle name="常规 3 2 9 3" xfId="11726"/>
    <cellStyle name="常规 3 3" xfId="11727"/>
    <cellStyle name="常规 3 3 2" xfId="11728"/>
    <cellStyle name="常规 3 3 2 2" xfId="11729"/>
    <cellStyle name="常规 3 3 2 2 2" xfId="11730"/>
    <cellStyle name="常规 3 3 2 2 2 2" xfId="11731"/>
    <cellStyle name="常规 3 3 2 2 3" xfId="11732"/>
    <cellStyle name="常规 3 3 2 2 4" xfId="11733"/>
    <cellStyle name="常规 3 3 2 2 5" xfId="11734"/>
    <cellStyle name="常规 3 3 2 3" xfId="11735"/>
    <cellStyle name="常规 3 3 2 3 2" xfId="11736"/>
    <cellStyle name="常规 3 3 2 3 2 2" xfId="11737"/>
    <cellStyle name="常规 3 3 2 3 2 3" xfId="11738"/>
    <cellStyle name="常规 3 3 2 3 2 4" xfId="11739"/>
    <cellStyle name="常规 3 3 2 3 3" xfId="11740"/>
    <cellStyle name="常规 3 3 2 3 3 2" xfId="11741"/>
    <cellStyle name="常规 3 3 2 3 3 3" xfId="11742"/>
    <cellStyle name="常规 3 3 2 3 4" xfId="11743"/>
    <cellStyle name="常规 3 3 2 3 5" xfId="11744"/>
    <cellStyle name="常规 3 3 2 3 6" xfId="11745"/>
    <cellStyle name="常规 3 3 2 4" xfId="11746"/>
    <cellStyle name="常规 3 3 2 4 2" xfId="11747"/>
    <cellStyle name="常规 3 3 2 4 3" xfId="11748"/>
    <cellStyle name="常规 3 3 2 4 4" xfId="11749"/>
    <cellStyle name="常规 3 3 2 5" xfId="11750"/>
    <cellStyle name="常规 3 3 2 5 2" xfId="11751"/>
    <cellStyle name="常规 3 3 2 5 3" xfId="11752"/>
    <cellStyle name="常规 3 3 2 6" xfId="11753"/>
    <cellStyle name="常规 3 3 2 7" xfId="11754"/>
    <cellStyle name="常规 3 3 2 8" xfId="11755"/>
    <cellStyle name="常规 3 3 3" xfId="11756"/>
    <cellStyle name="常规 3 3 3 2" xfId="11757"/>
    <cellStyle name="常规 3 3 3 2 2" xfId="11758"/>
    <cellStyle name="常规 3 3 3 2 3" xfId="11759"/>
    <cellStyle name="常规 3 3 3 2 4" xfId="11760"/>
    <cellStyle name="常规 3 3 3 3" xfId="11761"/>
    <cellStyle name="常规 3 3 3 3 2" xfId="11762"/>
    <cellStyle name="常规 3 3 3 3 3" xfId="11763"/>
    <cellStyle name="常规 3 3 3 4" xfId="11764"/>
    <cellStyle name="常规 3 3 3 5" xfId="11765"/>
    <cellStyle name="常规 3 3 3 6" xfId="11766"/>
    <cellStyle name="常规 3 3 4" xfId="11767"/>
    <cellStyle name="常规 3 3 4 2" xfId="11768"/>
    <cellStyle name="常规 3 3 4 2 2" xfId="11769"/>
    <cellStyle name="常规 3 3 4 2 2 2" xfId="11770"/>
    <cellStyle name="常规 3 3 4 2 2 3" xfId="11771"/>
    <cellStyle name="常规 3 3 4 2 3" xfId="11772"/>
    <cellStyle name="常规 3 3 4 2 4" xfId="11773"/>
    <cellStyle name="常规 3 3 4 2 5" xfId="11774"/>
    <cellStyle name="常规 3 3 4 3" xfId="11775"/>
    <cellStyle name="常规 3 3 4 3 2" xfId="11776"/>
    <cellStyle name="常规 3 3 4 3 3" xfId="11777"/>
    <cellStyle name="常规 3 3 4 4" xfId="11778"/>
    <cellStyle name="常规 3 3 4 5" xfId="11779"/>
    <cellStyle name="常规 3 3 4 6" xfId="11780"/>
    <cellStyle name="常规 3 3 5" xfId="11781"/>
    <cellStyle name="常规 3 3 5 2" xfId="11782"/>
    <cellStyle name="常规 3 3 5 3" xfId="11783"/>
    <cellStyle name="常规 3 3 5 4" xfId="11784"/>
    <cellStyle name="常规 3 3 6" xfId="11785"/>
    <cellStyle name="常规 3 3 6 2" xfId="11786"/>
    <cellStyle name="常规 3 3 6 3" xfId="11787"/>
    <cellStyle name="常规 3 3 7" xfId="11788"/>
    <cellStyle name="常规 3 3 8" xfId="11789"/>
    <cellStyle name="常规 3 3 9" xfId="11790"/>
    <cellStyle name="常规 3 4" xfId="11791"/>
    <cellStyle name="常规 3 4 2" xfId="11792"/>
    <cellStyle name="常规 3 4 2 2" xfId="11793"/>
    <cellStyle name="常规 3 4 2 2 2" xfId="11794"/>
    <cellStyle name="常规 3 4 2 2 2 2" xfId="11795"/>
    <cellStyle name="常规 3 4 2 2 3" xfId="11796"/>
    <cellStyle name="常规 3 4 2 2 4" xfId="11797"/>
    <cellStyle name="常规 3 4 2 2 5" xfId="11798"/>
    <cellStyle name="常规 3 4 2 3" xfId="11799"/>
    <cellStyle name="常规 3 4 2 3 2" xfId="11800"/>
    <cellStyle name="常规 3 4 2 3 2 2" xfId="11801"/>
    <cellStyle name="常规 3 4 2 3 2 3" xfId="11802"/>
    <cellStyle name="常规 3 4 2 3 2 4" xfId="11803"/>
    <cellStyle name="常规 3 4 2 3 3" xfId="11804"/>
    <cellStyle name="常规 3 4 2 3 3 2" xfId="11805"/>
    <cellStyle name="常规 3 4 2 3 3 3" xfId="11806"/>
    <cellStyle name="常规 3 4 2 3 4" xfId="11807"/>
    <cellStyle name="常规 3 4 2 3 5" xfId="11808"/>
    <cellStyle name="常规 3 4 2 3 6" xfId="11809"/>
    <cellStyle name="常规 3 4 2 4" xfId="11810"/>
    <cellStyle name="常规 3 4 2 4 2" xfId="11811"/>
    <cellStyle name="常规 3 4 2 4 3" xfId="11812"/>
    <cellStyle name="常规 3 4 2 4 4" xfId="11813"/>
    <cellStyle name="常规 3 4 2 5" xfId="11814"/>
    <cellStyle name="常规 3 4 2 5 2" xfId="11815"/>
    <cellStyle name="常规 3 4 2 5 3" xfId="11816"/>
    <cellStyle name="常规 3 4 2 6" xfId="11817"/>
    <cellStyle name="常规 3 4 2 7" xfId="11818"/>
    <cellStyle name="常规 3 4 2 8" xfId="11819"/>
    <cellStyle name="常规 3 4 3" xfId="11820"/>
    <cellStyle name="常规 3 4 3 2" xfId="11821"/>
    <cellStyle name="常规 3 4 3 2 2" xfId="11822"/>
    <cellStyle name="常规 3 4 3 2 3" xfId="11823"/>
    <cellStyle name="常规 3 4 3 2 4" xfId="11824"/>
    <cellStyle name="常规 3 4 3 3" xfId="11825"/>
    <cellStyle name="常规 3 4 3 3 2" xfId="11826"/>
    <cellStyle name="常规 3 4 3 3 3" xfId="11827"/>
    <cellStyle name="常规 3 4 3 4" xfId="11828"/>
    <cellStyle name="常规 3 4 3 5" xfId="11829"/>
    <cellStyle name="常规 3 4 3 6" xfId="11830"/>
    <cellStyle name="常规 3 4 4" xfId="11831"/>
    <cellStyle name="常规 3 4 4 2" xfId="11832"/>
    <cellStyle name="常规 3 4 4 2 2" xfId="11833"/>
    <cellStyle name="常规 3 4 4 2 2 2" xfId="11834"/>
    <cellStyle name="常规 3 4 4 2 2 3" xfId="11835"/>
    <cellStyle name="常规 3 4 4 2 3" xfId="11836"/>
    <cellStyle name="常规 3 4 4 2 4" xfId="11837"/>
    <cellStyle name="常规 3 4 4 2 5" xfId="11838"/>
    <cellStyle name="常规 3 4 4 3" xfId="11839"/>
    <cellStyle name="常规 3 4 4 3 2" xfId="11840"/>
    <cellStyle name="常规 3 4 4 3 3" xfId="11841"/>
    <cellStyle name="常规 3 4 4 4" xfId="11842"/>
    <cellStyle name="常规 3 4 4 5" xfId="11843"/>
    <cellStyle name="常规 3 4 4 6" xfId="11844"/>
    <cellStyle name="常规 3 4 5" xfId="11845"/>
    <cellStyle name="常规 3 4 5 2" xfId="11846"/>
    <cellStyle name="常规 3 4 5 3" xfId="11847"/>
    <cellStyle name="常规 3 4 5 4" xfId="11848"/>
    <cellStyle name="常规 3 4 6" xfId="11849"/>
    <cellStyle name="常规 3 4 6 2" xfId="11850"/>
    <cellStyle name="常规 3 4 6 3" xfId="11851"/>
    <cellStyle name="常规 3 4 7" xfId="11852"/>
    <cellStyle name="常规 3 4 8" xfId="11853"/>
    <cellStyle name="常规 3 4 9" xfId="11854"/>
    <cellStyle name="常规 3 5" xfId="11855"/>
    <cellStyle name="常规 3 5 2" xfId="11856"/>
    <cellStyle name="常规 3 5 2 2" xfId="11857"/>
    <cellStyle name="常规 3 5 2 2 2" xfId="11858"/>
    <cellStyle name="常规 3 5 2 2 2 2" xfId="11859"/>
    <cellStyle name="常规 3 5 2 2 3" xfId="11860"/>
    <cellStyle name="常规 3 5 2 2 4" xfId="11861"/>
    <cellStyle name="常规 3 5 2 2 5" xfId="11862"/>
    <cellStyle name="常规 3 5 2 3" xfId="11863"/>
    <cellStyle name="常规 3 5 2 3 2" xfId="11864"/>
    <cellStyle name="常规 3 5 2 3 2 2" xfId="11865"/>
    <cellStyle name="常规 3 5 2 3 2 3" xfId="11866"/>
    <cellStyle name="常规 3 5 2 3 2 4" xfId="11867"/>
    <cellStyle name="常规 3 5 2 3 3" xfId="11868"/>
    <cellStyle name="常规 3 5 2 3 3 2" xfId="11869"/>
    <cellStyle name="常规 3 5 2 3 3 3" xfId="11870"/>
    <cellStyle name="常规 3 5 2 3 4" xfId="11871"/>
    <cellStyle name="常规 3 5 2 3 5" xfId="11872"/>
    <cellStyle name="常规 3 5 2 3 6" xfId="11873"/>
    <cellStyle name="常规 3 5 2 4" xfId="11874"/>
    <cellStyle name="常规 3 5 2 4 2" xfId="11875"/>
    <cellStyle name="常规 3 5 2 4 3" xfId="11876"/>
    <cellStyle name="常规 3 5 2 4 4" xfId="11877"/>
    <cellStyle name="常规 3 5 2 5" xfId="11878"/>
    <cellStyle name="常规 3 5 2 5 2" xfId="11879"/>
    <cellStyle name="常规 3 5 2 5 3" xfId="11880"/>
    <cellStyle name="常规 3 5 2 6" xfId="11881"/>
    <cellStyle name="常规 3 5 2 7" xfId="11882"/>
    <cellStyle name="常规 3 5 2 8" xfId="11883"/>
    <cellStyle name="常规 3 5 3" xfId="11884"/>
    <cellStyle name="常规 3 5 3 2" xfId="11885"/>
    <cellStyle name="常规 3 5 3 2 2" xfId="11886"/>
    <cellStyle name="常规 3 5 3 2 3" xfId="11887"/>
    <cellStyle name="常规 3 5 3 2 4" xfId="11888"/>
    <cellStyle name="常规 3 5 3 3" xfId="11889"/>
    <cellStyle name="常规 3 5 3 3 2" xfId="11890"/>
    <cellStyle name="常规 3 5 3 3 3" xfId="11891"/>
    <cellStyle name="常规 3 5 3 4" xfId="11892"/>
    <cellStyle name="常规 3 5 3 5" xfId="11893"/>
    <cellStyle name="常规 3 5 3 6" xfId="11894"/>
    <cellStyle name="常规 3 5 4" xfId="11895"/>
    <cellStyle name="常规 3 5 4 2" xfId="11896"/>
    <cellStyle name="常规 3 5 4 2 2" xfId="11897"/>
    <cellStyle name="常规 3 5 4 2 2 2" xfId="11898"/>
    <cellStyle name="常规 3 5 4 2 2 3" xfId="11899"/>
    <cellStyle name="常规 3 5 4 2 3" xfId="11900"/>
    <cellStyle name="常规 3 5 4 2 4" xfId="11901"/>
    <cellStyle name="常规 3 5 4 2 5" xfId="11902"/>
    <cellStyle name="常规 3 5 4 3" xfId="11903"/>
    <cellStyle name="常规 3 5 4 3 2" xfId="11904"/>
    <cellStyle name="常规 3 5 4 3 3" xfId="11905"/>
    <cellStyle name="常规 3 5 4 4" xfId="11906"/>
    <cellStyle name="常规 3 5 4 5" xfId="11907"/>
    <cellStyle name="常规 3 5 4 6" xfId="11908"/>
    <cellStyle name="常规 3 5 5" xfId="11909"/>
    <cellStyle name="常规 3 5 5 2" xfId="11910"/>
    <cellStyle name="常规 3 5 5 3" xfId="11911"/>
    <cellStyle name="常规 3 5 5 4" xfId="11912"/>
    <cellStyle name="常规 3 5 6" xfId="11913"/>
    <cellStyle name="常规 3 5 6 2" xfId="11914"/>
    <cellStyle name="常规 3 5 6 3" xfId="11915"/>
    <cellStyle name="常规 3 5 7" xfId="11916"/>
    <cellStyle name="常规 3 5 8" xfId="11917"/>
    <cellStyle name="常规 3 5 9" xfId="11918"/>
    <cellStyle name="常规 3 6" xfId="11919"/>
    <cellStyle name="常规 3 6 10" xfId="11920"/>
    <cellStyle name="常规 3 6 2" xfId="11921"/>
    <cellStyle name="常规 3 6 2 2" xfId="11922"/>
    <cellStyle name="常规 3 6 2 2 2" xfId="11923"/>
    <cellStyle name="常规 3 6 2 2 2 2" xfId="11924"/>
    <cellStyle name="常规 3 6 2 2 2 2 2" xfId="11925"/>
    <cellStyle name="常规 3 6 2 2 2 3" xfId="11926"/>
    <cellStyle name="常规 3 6 2 2 2 4" xfId="11927"/>
    <cellStyle name="常规 3 6 2 2 2 5" xfId="11928"/>
    <cellStyle name="常规 3 6 2 2 3" xfId="11929"/>
    <cellStyle name="常规 3 6 2 2 3 2" xfId="11930"/>
    <cellStyle name="常规 3 6 2 2 3 2 2" xfId="11931"/>
    <cellStyle name="常规 3 6 2 2 3 2 3" xfId="11932"/>
    <cellStyle name="常规 3 6 2 2 3 2 4" xfId="11933"/>
    <cellStyle name="常规 3 6 2 2 3 3" xfId="11934"/>
    <cellStyle name="常规 3 6 2 2 3 3 2" xfId="11935"/>
    <cellStyle name="常规 3 6 2 2 3 3 3" xfId="11936"/>
    <cellStyle name="常规 3 6 2 2 3 4" xfId="11937"/>
    <cellStyle name="常规 3 6 2 2 3 5" xfId="11938"/>
    <cellStyle name="常规 3 6 2 2 3 6" xfId="11939"/>
    <cellStyle name="常规 3 6 2 2 4" xfId="11940"/>
    <cellStyle name="常规 3 6 2 2 4 2" xfId="11941"/>
    <cellStyle name="常规 3 6 2 2 4 3" xfId="11942"/>
    <cellStyle name="常规 3 6 2 2 4 4" xfId="11943"/>
    <cellStyle name="常规 3 6 2 2 5" xfId="11944"/>
    <cellStyle name="常规 3 6 2 2 5 2" xfId="11945"/>
    <cellStyle name="常规 3 6 2 2 5 3" xfId="11946"/>
    <cellStyle name="常规 3 6 2 2 6" xfId="11947"/>
    <cellStyle name="常规 3 6 2 2 7" xfId="11948"/>
    <cellStyle name="常规 3 6 2 2 8" xfId="11949"/>
    <cellStyle name="常规 3 6 2 3" xfId="11950"/>
    <cellStyle name="常规 3 6 2 3 2" xfId="11951"/>
    <cellStyle name="常规 3 6 2 3 2 2" xfId="11952"/>
    <cellStyle name="常规 3 6 2 3 2 3" xfId="11953"/>
    <cellStyle name="常规 3 6 2 3 2 4" xfId="11954"/>
    <cellStyle name="常规 3 6 2 3 3" xfId="11955"/>
    <cellStyle name="常规 3 6 2 3 3 2" xfId="11956"/>
    <cellStyle name="常规 3 6 2 3 3 3" xfId="11957"/>
    <cellStyle name="常规 3 6 2 3 4" xfId="11958"/>
    <cellStyle name="常规 3 6 2 3 5" xfId="11959"/>
    <cellStyle name="常规 3 6 2 3 6" xfId="11960"/>
    <cellStyle name="常规 3 6 2 4" xfId="11961"/>
    <cellStyle name="常规 3 6 2 4 2" xfId="11962"/>
    <cellStyle name="常规 3 6 2 4 2 2" xfId="11963"/>
    <cellStyle name="常规 3 6 2 4 2 2 2" xfId="11964"/>
    <cellStyle name="常规 3 6 2 4 2 2 3" xfId="11965"/>
    <cellStyle name="常规 3 6 2 4 2 3" xfId="11966"/>
    <cellStyle name="常规 3 6 2 4 2 4" xfId="11967"/>
    <cellStyle name="常规 3 6 2 4 2 5" xfId="11968"/>
    <cellStyle name="常规 3 6 2 4 3" xfId="11969"/>
    <cellStyle name="常规 3 6 2 4 3 2" xfId="11970"/>
    <cellStyle name="常规 3 6 2 4 3 3" xfId="11971"/>
    <cellStyle name="常规 3 6 2 4 4" xfId="11972"/>
    <cellStyle name="常规 3 6 2 4 5" xfId="11973"/>
    <cellStyle name="常规 3 6 2 4 6" xfId="11974"/>
    <cellStyle name="常规 3 6 2 5" xfId="11975"/>
    <cellStyle name="常规 3 6 2 5 2" xfId="11976"/>
    <cellStyle name="常规 3 6 2 5 3" xfId="11977"/>
    <cellStyle name="常规 3 6 2 5 4" xfId="11978"/>
    <cellStyle name="常规 3 6 2 6" xfId="11979"/>
    <cellStyle name="常规 3 6 2 6 2" xfId="11980"/>
    <cellStyle name="常规 3 6 2 6 3" xfId="11981"/>
    <cellStyle name="常规 3 6 2 7" xfId="11982"/>
    <cellStyle name="常规 3 6 2 8" xfId="11983"/>
    <cellStyle name="常规 3 6 2 9" xfId="11984"/>
    <cellStyle name="常规 3 6 3" xfId="11985"/>
    <cellStyle name="常规 3 6 3 2" xfId="11986"/>
    <cellStyle name="常规 3 6 3 2 2" xfId="11987"/>
    <cellStyle name="常规 3 6 3 2 2 2" xfId="11988"/>
    <cellStyle name="常规 3 6 3 2 3" xfId="11989"/>
    <cellStyle name="常规 3 6 3 2 4" xfId="11990"/>
    <cellStyle name="常规 3 6 3 2 5" xfId="11991"/>
    <cellStyle name="常规 3 6 3 3" xfId="11992"/>
    <cellStyle name="常规 3 6 3 3 2" xfId="11993"/>
    <cellStyle name="常规 3 6 3 3 2 2" xfId="11994"/>
    <cellStyle name="常规 3 6 3 3 2 3" xfId="11995"/>
    <cellStyle name="常规 3 6 3 3 2 4" xfId="11996"/>
    <cellStyle name="常规 3 6 3 3 3" xfId="11997"/>
    <cellStyle name="常规 3 6 3 3 3 2" xfId="11998"/>
    <cellStyle name="常规 3 6 3 3 3 3" xfId="11999"/>
    <cellStyle name="常规 3 6 3 3 4" xfId="12000"/>
    <cellStyle name="常规 3 6 3 3 5" xfId="12001"/>
    <cellStyle name="常规 3 6 3 3 6" xfId="12002"/>
    <cellStyle name="常规 3 6 3 4" xfId="12003"/>
    <cellStyle name="常规 3 6 3 4 2" xfId="12004"/>
    <cellStyle name="常规 3 6 3 4 3" xfId="12005"/>
    <cellStyle name="常规 3 6 3 4 4" xfId="12006"/>
    <cellStyle name="常规 3 6 3 5" xfId="12007"/>
    <cellStyle name="常规 3 6 3 5 2" xfId="12008"/>
    <cellStyle name="常规 3 6 3 5 3" xfId="12009"/>
    <cellStyle name="常规 3 6 3 6" xfId="12010"/>
    <cellStyle name="常规 3 6 3 7" xfId="12011"/>
    <cellStyle name="常规 3 6 3 8" xfId="12012"/>
    <cellStyle name="常规 3 6 4" xfId="12013"/>
    <cellStyle name="常规 3 6 4 2" xfId="12014"/>
    <cellStyle name="常规 3 6 4 2 2" xfId="12015"/>
    <cellStyle name="常规 3 6 4 2 3" xfId="12016"/>
    <cellStyle name="常规 3 6 4 2 4" xfId="12017"/>
    <cellStyle name="常规 3 6 4 3" xfId="12018"/>
    <cellStyle name="常规 3 6 4 3 2" xfId="12019"/>
    <cellStyle name="常规 3 6 4 3 3" xfId="12020"/>
    <cellStyle name="常规 3 6 4 4" xfId="12021"/>
    <cellStyle name="常规 3 6 4 5" xfId="12022"/>
    <cellStyle name="常规 3 6 4 6" xfId="12023"/>
    <cellStyle name="常规 3 6 5" xfId="12024"/>
    <cellStyle name="常规 3 6 5 2" xfId="12025"/>
    <cellStyle name="常规 3 6 5 2 2" xfId="12026"/>
    <cellStyle name="常规 3 6 5 2 2 2" xfId="12027"/>
    <cellStyle name="常规 3 6 5 2 2 3" xfId="12028"/>
    <cellStyle name="常规 3 6 5 2 3" xfId="12029"/>
    <cellStyle name="常规 3 6 5 2 4" xfId="12030"/>
    <cellStyle name="常规 3 6 5 2 5" xfId="12031"/>
    <cellStyle name="常规 3 6 5 3" xfId="12032"/>
    <cellStyle name="常规 3 6 5 3 2" xfId="12033"/>
    <cellStyle name="常规 3 6 5 3 3" xfId="12034"/>
    <cellStyle name="常规 3 6 5 4" xfId="12035"/>
    <cellStyle name="常规 3 6 5 5" xfId="12036"/>
    <cellStyle name="常规 3 6 5 6" xfId="12037"/>
    <cellStyle name="常规 3 6 6" xfId="12038"/>
    <cellStyle name="常规 3 6 6 2" xfId="12039"/>
    <cellStyle name="常规 3 6 6 3" xfId="12040"/>
    <cellStyle name="常规 3 6 6 4" xfId="12041"/>
    <cellStyle name="常规 3 6 7" xfId="12042"/>
    <cellStyle name="常规 3 6 7 2" xfId="12043"/>
    <cellStyle name="常规 3 6 7 3" xfId="12044"/>
    <cellStyle name="常规 3 6 8" xfId="12045"/>
    <cellStyle name="常规 3 6 9" xfId="12046"/>
    <cellStyle name="常规 3 7" xfId="12047"/>
    <cellStyle name="常规 3 7 2" xfId="12048"/>
    <cellStyle name="常规 3 7 2 2" xfId="12049"/>
    <cellStyle name="常规 3 7 2 2 2" xfId="12050"/>
    <cellStyle name="常规 3 7 2 3" xfId="12051"/>
    <cellStyle name="常规 3 7 2 4" xfId="12052"/>
    <cellStyle name="常规 3 7 2 5" xfId="12053"/>
    <cellStyle name="常规 3 7 3" xfId="12054"/>
    <cellStyle name="常规 3 7 3 2" xfId="12055"/>
    <cellStyle name="常规 3 7 3 2 2" xfId="12056"/>
    <cellStyle name="常规 3 7 3 2 3" xfId="12057"/>
    <cellStyle name="常规 3 7 3 2 4" xfId="12058"/>
    <cellStyle name="常规 3 7 3 3" xfId="12059"/>
    <cellStyle name="常规 3 7 3 3 2" xfId="12060"/>
    <cellStyle name="常规 3 7 3 3 3" xfId="12061"/>
    <cellStyle name="常规 3 7 3 4" xfId="12062"/>
    <cellStyle name="常规 3 7 3 5" xfId="12063"/>
    <cellStyle name="常规 3 7 3 6" xfId="12064"/>
    <cellStyle name="常规 3 7 4" xfId="12065"/>
    <cellStyle name="常规 3 7 4 2" xfId="12066"/>
    <cellStyle name="常规 3 7 4 3" xfId="12067"/>
    <cellStyle name="常规 3 7 4 4" xfId="12068"/>
    <cellStyle name="常规 3 7 5" xfId="12069"/>
    <cellStyle name="常规 3 7 5 2" xfId="12070"/>
    <cellStyle name="常规 3 7 5 3" xfId="12071"/>
    <cellStyle name="常规 3 7 6" xfId="12072"/>
    <cellStyle name="常规 3 7 7" xfId="12073"/>
    <cellStyle name="常规 3 7 8" xfId="12074"/>
    <cellStyle name="常规 3 8" xfId="12075"/>
    <cellStyle name="常规 3 8 2" xfId="12076"/>
    <cellStyle name="常规 3 8 2 2" xfId="12077"/>
    <cellStyle name="常规 3 8 2 3" xfId="12078"/>
    <cellStyle name="常规 3 8 2 4" xfId="12079"/>
    <cellStyle name="常规 3 8 3" xfId="12080"/>
    <cellStyle name="常规 3 8 3 2" xfId="12081"/>
    <cellStyle name="常规 3 8 3 3" xfId="12082"/>
    <cellStyle name="常规 3 8 4" xfId="12083"/>
    <cellStyle name="常规 3 8 5" xfId="12084"/>
    <cellStyle name="常规 3 8 6" xfId="12085"/>
    <cellStyle name="常规 3 9" xfId="12086"/>
    <cellStyle name="常规 3 9 2" xfId="12087"/>
    <cellStyle name="常规 3 9 2 2" xfId="12088"/>
    <cellStyle name="常规 3 9 2 2 2" xfId="12089"/>
    <cellStyle name="常规 3 9 2 2 3" xfId="12090"/>
    <cellStyle name="常规 3 9 2 3" xfId="12091"/>
    <cellStyle name="常规 3 9 2 4" xfId="12092"/>
    <cellStyle name="常规 3 9 2 5" xfId="12093"/>
    <cellStyle name="常规 3 9 3" xfId="12094"/>
    <cellStyle name="常规 3 9 3 2" xfId="12095"/>
    <cellStyle name="常规 3 9 3 3" xfId="12096"/>
    <cellStyle name="常规 3 9 4" xfId="12097"/>
    <cellStyle name="常规 3 9 5" xfId="12098"/>
    <cellStyle name="常规 3 9 6" xfId="12099"/>
    <cellStyle name="常规 3_AD_GUI" xfId="12100"/>
    <cellStyle name="常规_CG_78K0RKx3-L_TestSpec&amp;Report" xfId="12101"/>
    <cellStyle name="標準 2 2" xfId="12102"/>
    <cellStyle name="標準 2 2 10" xfId="12103"/>
    <cellStyle name="標準 2 2 2" xfId="12104"/>
    <cellStyle name="標準 2 2 2 2" xfId="12105"/>
    <cellStyle name="標準 2 2 2 2 2" xfId="12106"/>
    <cellStyle name="標準 2 2 2 2 2 2" xfId="12107"/>
    <cellStyle name="標準 2 2 2 2 2 3" xfId="12108"/>
    <cellStyle name="標準 2 2 2 2 2 4" xfId="12109"/>
    <cellStyle name="標準 2 2 2 2 3" xfId="12110"/>
    <cellStyle name="標準 2 2 2 2 3 2" xfId="12111"/>
    <cellStyle name="標準 2 2 2 2 3 3" xfId="12112"/>
    <cellStyle name="標準 2 2 2 2 4" xfId="12113"/>
    <cellStyle name="標準 2 2 2 2 5" xfId="12114"/>
    <cellStyle name="標準 2 2 2 2 6" xfId="12115"/>
    <cellStyle name="標準 2 2 2 3" xfId="12116"/>
    <cellStyle name="標準 2 2 2 3 2" xfId="12117"/>
    <cellStyle name="標準 2 2 2 3 2 2" xfId="12118"/>
    <cellStyle name="標準 2 2 2 3 2 3" xfId="12119"/>
    <cellStyle name="標準 2 2 2 3 2 4" xfId="12120"/>
    <cellStyle name="標準 2 2 2 3 3" xfId="12121"/>
    <cellStyle name="標準 2 2 2 3 3 2" xfId="12122"/>
    <cellStyle name="標準 2 2 2 3 3 3" xfId="12123"/>
    <cellStyle name="標準 2 2 2 3 4" xfId="12124"/>
    <cellStyle name="標準 2 2 2 3 5" xfId="12125"/>
    <cellStyle name="標準 2 2 2 3 6" xfId="12126"/>
    <cellStyle name="標準 2 2 2 4" xfId="12127"/>
    <cellStyle name="標準 2 2 2 4 2" xfId="12128"/>
    <cellStyle name="標準 2 2 2 4 2 2" xfId="12129"/>
    <cellStyle name="標準 2 2 2 4 2 3" xfId="12130"/>
    <cellStyle name="標準 2 2 2 4 2 4" xfId="12131"/>
    <cellStyle name="標準 2 2 2 4 3" xfId="12132"/>
    <cellStyle name="標準 2 2 2 4 3 2" xfId="12133"/>
    <cellStyle name="標準 2 2 2 4 3 3" xfId="12134"/>
    <cellStyle name="標準 2 2 2 4 4" xfId="12135"/>
    <cellStyle name="標準 2 2 2 4 5" xfId="12136"/>
    <cellStyle name="標準 2 2 2 4 6" xfId="12137"/>
    <cellStyle name="標準 2 2 2 5" xfId="12138"/>
    <cellStyle name="標準 2 2 2 5 2" xfId="12139"/>
    <cellStyle name="標準 2 2 2 5 3" xfId="12140"/>
    <cellStyle name="標準 2 2 2 5 4" xfId="12141"/>
    <cellStyle name="標準 2 2 2 6" xfId="12142"/>
    <cellStyle name="標準 2 2 2 6 2" xfId="12143"/>
    <cellStyle name="標準 2 2 2 6 3" xfId="12144"/>
    <cellStyle name="標準 2 2 2 7" xfId="12145"/>
    <cellStyle name="標準 2 2 2 8" xfId="12146"/>
    <cellStyle name="標準 2 2 2 9" xfId="12147"/>
    <cellStyle name="標準 2 2 3" xfId="12148"/>
    <cellStyle name="標準 2 2 3 2" xfId="12149"/>
    <cellStyle name="標準 2 2 3 2 2" xfId="12150"/>
    <cellStyle name="標準 2 2 3 2 3" xfId="12151"/>
    <cellStyle name="標準 2 2 3 2 4" xfId="12152"/>
    <cellStyle name="標準 2 2 3 3" xfId="12153"/>
    <cellStyle name="標準 2 2 3 3 2" xfId="12154"/>
    <cellStyle name="標準 2 2 3 3 3" xfId="12155"/>
    <cellStyle name="標準 2 2 3 4" xfId="12156"/>
    <cellStyle name="標準 2 2 3 5" xfId="12157"/>
    <cellStyle name="標準 2 2 3 6" xfId="12158"/>
    <cellStyle name="標準 2 2 4" xfId="12159"/>
    <cellStyle name="標準 2 2 4 2" xfId="12160"/>
    <cellStyle name="標準 2 2 4 2 2" xfId="12161"/>
    <cellStyle name="標準 2 2 4 2 3" xfId="12162"/>
    <cellStyle name="標準 2 2 4 2 4" xfId="12163"/>
    <cellStyle name="標準 2 2 4 3" xfId="12164"/>
    <cellStyle name="標準 2 2 4 3 2" xfId="12165"/>
    <cellStyle name="標準 2 2 4 3 3" xfId="12166"/>
    <cellStyle name="標準 2 2 4 4" xfId="12167"/>
    <cellStyle name="標準 2 2 4 5" xfId="12168"/>
    <cellStyle name="標準 2 2 4 6" xfId="12169"/>
    <cellStyle name="標準 2 2 5" xfId="12170"/>
    <cellStyle name="標準 2 2 5 2" xfId="12171"/>
    <cellStyle name="標準 2 2 5 3" xfId="12172"/>
    <cellStyle name="標準 2 2 5 4" xfId="12173"/>
    <cellStyle name="標準 2 2 6" xfId="12174"/>
    <cellStyle name="標準 2 2 6 2" xfId="12175"/>
    <cellStyle name="標準 2 2 6 3" xfId="12176"/>
    <cellStyle name="標準 2 2 7" xfId="12177"/>
    <cellStyle name="標準 2 2 8" xfId="12178"/>
    <cellStyle name="標準 2 2 9" xfId="12179"/>
    <cellStyle name="標準 3" xfId="12180"/>
    <cellStyle name="標準 3 10" xfId="12181"/>
    <cellStyle name="標準 3 11" xfId="12182"/>
    <cellStyle name="標準 3 2" xfId="12183"/>
    <cellStyle name="標準 3 2 10" xfId="12184"/>
    <cellStyle name="標準 3 2 11" xfId="12185"/>
    <cellStyle name="標準 3 2 2" xfId="12186"/>
    <cellStyle name="標準 3 2 2 2" xfId="12187"/>
    <cellStyle name="標準 3 2 2 2 2" xfId="12188"/>
    <cellStyle name="標準 3 2 2 2 2 2" xfId="12189"/>
    <cellStyle name="標準 3 2 2 2 2 3" xfId="12190"/>
    <cellStyle name="標準 3 2 2 2 2 4" xfId="12191"/>
    <cellStyle name="標準 3 2 2 2 3" xfId="12192"/>
    <cellStyle name="標準 3 2 2 2 3 2" xfId="12193"/>
    <cellStyle name="標準 3 2 2 2 3 3" xfId="12194"/>
    <cellStyle name="標準 3 2 2 2 4" xfId="12195"/>
    <cellStyle name="標準 3 2 2 2 5" xfId="12196"/>
    <cellStyle name="標準 3 2 2 2 6" xfId="12197"/>
    <cellStyle name="標準 3 2 2 3" xfId="12198"/>
    <cellStyle name="標準 3 2 2 3 2" xfId="12199"/>
    <cellStyle name="標準 3 2 2 3 2 2" xfId="12200"/>
    <cellStyle name="標準 3 2 2 3 2 3" xfId="12201"/>
    <cellStyle name="標準 3 2 2 3 2 4" xfId="12202"/>
    <cellStyle name="標準 3 2 2 3 3" xfId="12203"/>
    <cellStyle name="標準 3 2 2 3 3 2" xfId="12204"/>
    <cellStyle name="標準 3 2 2 3 3 3" xfId="12205"/>
    <cellStyle name="標準 3 2 2 3 4" xfId="12206"/>
    <cellStyle name="標準 3 2 2 3 5" xfId="12207"/>
    <cellStyle name="標準 3 2 2 3 6" xfId="12208"/>
    <cellStyle name="標準 3 2 2 4" xfId="12209"/>
    <cellStyle name="標準 3 2 2 4 2" xfId="12210"/>
    <cellStyle name="標準 3 2 2 4 2 2" xfId="12211"/>
    <cellStyle name="標準 3 2 2 4 2 3" xfId="12212"/>
    <cellStyle name="標準 3 2 2 4 2 4" xfId="12213"/>
    <cellStyle name="標準 3 2 2 4 3" xfId="12214"/>
    <cellStyle name="標準 3 2 2 4 3 2" xfId="12215"/>
    <cellStyle name="標準 3 2 2 4 3 3" xfId="12216"/>
    <cellStyle name="標準 3 2 2 4 4" xfId="12217"/>
    <cellStyle name="標準 3 2 2 4 5" xfId="12218"/>
    <cellStyle name="標準 3 2 2 4 6" xfId="12219"/>
    <cellStyle name="標準 3 2 2 5" xfId="12220"/>
    <cellStyle name="標準 3 2 2 5 2" xfId="12221"/>
    <cellStyle name="標準 3 2 2 5 3" xfId="12222"/>
    <cellStyle name="標準 3 2 2 5 4" xfId="12223"/>
    <cellStyle name="標準 3 2 2 6" xfId="12224"/>
    <cellStyle name="標準 3 2 2 6 2" xfId="12225"/>
    <cellStyle name="標準 3 2 2 6 3" xfId="12226"/>
    <cellStyle name="標準 3 2 2 7" xfId="12227"/>
    <cellStyle name="標準 3 2 2 8" xfId="12228"/>
    <cellStyle name="標準 3 2 2 9" xfId="12229"/>
    <cellStyle name="標準 3 2 3" xfId="12230"/>
    <cellStyle name="標準 3 2 3 2" xfId="12231"/>
    <cellStyle name="標準 3 2 3 2 2" xfId="12232"/>
    <cellStyle name="標準 3 2 3 2 3" xfId="12233"/>
    <cellStyle name="標準 3 2 3 2 4" xfId="12234"/>
    <cellStyle name="標準 3 2 3 3" xfId="12235"/>
    <cellStyle name="標準 3 2 3 3 2" xfId="12236"/>
    <cellStyle name="標準 3 2 3 3 3" xfId="12237"/>
    <cellStyle name="標準 3 2 3 4" xfId="12238"/>
    <cellStyle name="標準 3 2 3 5" xfId="12239"/>
    <cellStyle name="標準 3 2 3 6" xfId="12240"/>
    <cellStyle name="標準 3 2 4" xfId="12241"/>
    <cellStyle name="標準 3 2 4 2" xfId="12242"/>
    <cellStyle name="標準 3 2 4 2 2" xfId="12243"/>
    <cellStyle name="標準 3 2 4 2 3" xfId="12244"/>
    <cellStyle name="標準 3 2 4 2 4" xfId="12245"/>
    <cellStyle name="標準 3 2 4 3" xfId="12246"/>
    <cellStyle name="標準 3 2 4 3 2" xfId="12247"/>
    <cellStyle name="標準 3 2 4 3 3" xfId="12248"/>
    <cellStyle name="標準 3 2 4 4" xfId="12249"/>
    <cellStyle name="標準 3 2 4 5" xfId="12250"/>
    <cellStyle name="標準 3 2 4 6" xfId="12251"/>
    <cellStyle name="標準 3 2 5" xfId="12252"/>
    <cellStyle name="標準 3 2 5 2" xfId="12253"/>
    <cellStyle name="標準 3 2 5 2 2" xfId="12254"/>
    <cellStyle name="標準 3 2 5 2 3" xfId="12255"/>
    <cellStyle name="標準 3 2 5 2 4" xfId="12256"/>
    <cellStyle name="標準 3 2 5 3" xfId="12257"/>
    <cellStyle name="標準 3 2 5 3 2" xfId="12258"/>
    <cellStyle name="標準 3 2 5 3 3" xfId="12259"/>
    <cellStyle name="標準 3 2 5 4" xfId="12260"/>
    <cellStyle name="標準 3 2 5 5" xfId="12261"/>
    <cellStyle name="標準 3 2 5 6" xfId="12262"/>
    <cellStyle name="標準 3 2 6" xfId="12263"/>
    <cellStyle name="標準 3 2 6 2" xfId="12264"/>
    <cellStyle name="標準 3 2 6 3" xfId="12265"/>
    <cellStyle name="標準 3 2 6 4" xfId="12266"/>
    <cellStyle name="標準 3 2 7" xfId="12267"/>
    <cellStyle name="標準 3 2 7 2" xfId="12268"/>
    <cellStyle name="標準 3 2 7 3" xfId="12269"/>
    <cellStyle name="標準 3 2 8" xfId="12270"/>
    <cellStyle name="標準 3 2 9" xfId="12271"/>
    <cellStyle name="標準 3 3" xfId="12272"/>
    <cellStyle name="標準 3 3 2" xfId="12273"/>
    <cellStyle name="標準 3 3 2 2" xfId="12274"/>
    <cellStyle name="標準 3 3 2 2 2" xfId="12275"/>
    <cellStyle name="標準 3 3 2 2 3" xfId="12276"/>
    <cellStyle name="標準 3 3 2 2 4" xfId="12277"/>
    <cellStyle name="標準 3 3 2 3" xfId="12278"/>
    <cellStyle name="標準 3 3 2 3 2" xfId="12279"/>
    <cellStyle name="標準 3 3 2 3 3" xfId="12280"/>
    <cellStyle name="標準 3 3 2 4" xfId="12281"/>
    <cellStyle name="標準 3 3 2 5" xfId="12282"/>
    <cellStyle name="標準 3 3 2 6" xfId="12283"/>
    <cellStyle name="標準 3 3 3" xfId="12284"/>
    <cellStyle name="標準 3 3 3 2" xfId="12285"/>
    <cellStyle name="標準 3 3 3 2 2" xfId="12286"/>
    <cellStyle name="標準 3 3 3 2 3" xfId="12287"/>
    <cellStyle name="標準 3 3 3 2 4" xfId="12288"/>
    <cellStyle name="標準 3 3 3 3" xfId="12289"/>
    <cellStyle name="標準 3 3 3 3 2" xfId="12290"/>
    <cellStyle name="標準 3 3 3 3 3" xfId="12291"/>
    <cellStyle name="標準 3 3 3 4" xfId="12292"/>
    <cellStyle name="標準 3 3 3 5" xfId="12293"/>
    <cellStyle name="標準 3 3 3 6" xfId="12294"/>
    <cellStyle name="標準 3 3 4" xfId="12295"/>
    <cellStyle name="標準 3 3 4 2" xfId="12296"/>
    <cellStyle name="標準 3 3 4 2 2" xfId="12297"/>
    <cellStyle name="標準 3 3 4 2 3" xfId="12298"/>
    <cellStyle name="標準 3 3 4 2 4" xfId="12299"/>
    <cellStyle name="標準 3 3 4 3" xfId="12300"/>
    <cellStyle name="標準 3 3 4 3 2" xfId="12301"/>
    <cellStyle name="標準 3 3 4 3 3" xfId="12302"/>
    <cellStyle name="標準 3 3 4 4" xfId="12303"/>
    <cellStyle name="標準 3 3 4 5" xfId="12304"/>
    <cellStyle name="標準 3 3 4 6" xfId="12305"/>
    <cellStyle name="標準 3 3 5" xfId="12306"/>
    <cellStyle name="標準 3 3 5 2" xfId="12307"/>
    <cellStyle name="標準 3 3 5 3" xfId="12308"/>
    <cellStyle name="標準 3 3 5 4" xfId="12309"/>
    <cellStyle name="標準 3 3 6" xfId="12310"/>
    <cellStyle name="標準 3 3 6 2" xfId="12311"/>
    <cellStyle name="標準 3 3 6 3" xfId="12312"/>
    <cellStyle name="標準 3 3 7" xfId="12313"/>
    <cellStyle name="標準 3 3 8" xfId="12314"/>
    <cellStyle name="標準 3 3 9" xfId="12315"/>
    <cellStyle name="標準 3 4" xfId="12316"/>
    <cellStyle name="標準 3 4 2" xfId="12317"/>
    <cellStyle name="標準 3 4 2 2" xfId="12318"/>
    <cellStyle name="標準 3 4 2 3" xfId="12319"/>
    <cellStyle name="標準 3 4 2 4" xfId="12320"/>
    <cellStyle name="標準 3 4 3" xfId="12321"/>
    <cellStyle name="標準 3 4 3 2" xfId="12322"/>
    <cellStyle name="標準 3 4 3 3" xfId="12323"/>
    <cellStyle name="標準 3 4 4" xfId="12324"/>
    <cellStyle name="標準 3 4 5" xfId="12325"/>
    <cellStyle name="標準 3 4 6" xfId="12326"/>
    <cellStyle name="標準 3 5" xfId="12327"/>
    <cellStyle name="標準 3 5 2" xfId="12328"/>
    <cellStyle name="標準 3 5 2 2" xfId="12329"/>
    <cellStyle name="標準 3 5 2 3" xfId="12330"/>
    <cellStyle name="標準 3 5 2 4" xfId="12331"/>
    <cellStyle name="標準 3 5 3" xfId="12332"/>
    <cellStyle name="標準 3 5 3 2" xfId="12333"/>
    <cellStyle name="標準 3 5 3 3" xfId="12334"/>
    <cellStyle name="標準 3 5 4" xfId="12335"/>
    <cellStyle name="標準 3 5 5" xfId="12336"/>
    <cellStyle name="標準 3 5 6" xfId="12337"/>
    <cellStyle name="標準 3 6" xfId="12338"/>
    <cellStyle name="標準 3 6 2" xfId="12339"/>
    <cellStyle name="標準 3 6 3" xfId="12340"/>
    <cellStyle name="標準 3 6 4" xfId="12341"/>
    <cellStyle name="標準 3 7" xfId="12342"/>
    <cellStyle name="標準 3 7 2" xfId="12343"/>
    <cellStyle name="標準 3 7 3" xfId="12344"/>
    <cellStyle name="標準 3 8" xfId="12345"/>
    <cellStyle name="標準 3 9" xfId="12346"/>
    <cellStyle name="超链接 2" xfId="12347"/>
    <cellStyle name="超链接 2 2" xfId="12348"/>
    <cellStyle name="超链接 2 2 2" xfId="12349"/>
    <cellStyle name="超链接 2 2 2 2" xfId="12350"/>
    <cellStyle name="超链接 2 2 2 2 2" xfId="12351"/>
    <cellStyle name="超链接 2 2 2 3" xfId="12352"/>
    <cellStyle name="超链接 2 2 2 4" xfId="12353"/>
    <cellStyle name="超链接 2 2 2 5" xfId="12354"/>
    <cellStyle name="超链接 2 2 3" xfId="12355"/>
    <cellStyle name="超链接 2 2 3 2" xfId="12356"/>
    <cellStyle name="超链接 2 2 3 2 2" xfId="12357"/>
    <cellStyle name="超链接 2 2 3 2 3" xfId="12358"/>
    <cellStyle name="超链接 2 2 3 2 4" xfId="12359"/>
    <cellStyle name="超链接 2 2 3 3" xfId="12360"/>
    <cellStyle name="超链接 2 2 3 3 2" xfId="12361"/>
    <cellStyle name="超链接 2 2 3 3 3" xfId="12362"/>
    <cellStyle name="超链接 2 2 3 4" xfId="12363"/>
    <cellStyle name="超链接 2 2 3 5" xfId="12364"/>
    <cellStyle name="超链接 2 2 3 6" xfId="12365"/>
    <cellStyle name="超链接 2 2 4" xfId="12366"/>
    <cellStyle name="超链接 2 2 4 2" xfId="12367"/>
    <cellStyle name="超链接 2 2 4 3" xfId="12368"/>
    <cellStyle name="超链接 2 2 4 4" xfId="12369"/>
    <cellStyle name="超链接 2 2 5" xfId="12370"/>
    <cellStyle name="超链接 2 2 5 2" xfId="12371"/>
    <cellStyle name="超链接 2 2 5 3" xfId="12372"/>
    <cellStyle name="超链接 2 2 6" xfId="12373"/>
    <cellStyle name="超链接 2 2 7" xfId="12374"/>
    <cellStyle name="超链接 2 2 8" xfId="12375"/>
    <cellStyle name="超链接 2 3" xfId="12376"/>
    <cellStyle name="超链接 2 3 2" xfId="12377"/>
    <cellStyle name="超链接 2 3 2 2" xfId="12378"/>
    <cellStyle name="超链接 2 3 2 3" xfId="12379"/>
    <cellStyle name="超链接 2 3 2 4" xfId="12380"/>
    <cellStyle name="超链接 2 3 3" xfId="12381"/>
    <cellStyle name="超链接 2 3 3 2" xfId="12382"/>
    <cellStyle name="超链接 2 3 3 3" xfId="12383"/>
    <cellStyle name="超链接 2 3 4" xfId="12384"/>
    <cellStyle name="超链接 2 3 5" xfId="12385"/>
    <cellStyle name="超链接 2 3 6" xfId="12386"/>
    <cellStyle name="超链接 2 4" xfId="12387"/>
    <cellStyle name="超链接 2 4 2" xfId="12388"/>
    <cellStyle name="超链接 2 4 2 2" xfId="12389"/>
    <cellStyle name="超链接 2 4 2 2 2" xfId="12390"/>
    <cellStyle name="超链接 2 4 2 2 3" xfId="12391"/>
    <cellStyle name="超链接 2 4 2 3" xfId="12392"/>
    <cellStyle name="超链接 2 4 2 4" xfId="12393"/>
    <cellStyle name="超链接 2 4 2 5" xfId="12394"/>
    <cellStyle name="超链接 2 4 3" xfId="12395"/>
    <cellStyle name="超链接 2 4 3 2" xfId="12396"/>
    <cellStyle name="超链接 2 4 3 3" xfId="12397"/>
    <cellStyle name="超链接 2 4 4" xfId="12398"/>
    <cellStyle name="超链接 2 4 5" xfId="12399"/>
    <cellStyle name="超链接 2 4 6" xfId="12400"/>
    <cellStyle name="超链接 2 5" xfId="12401"/>
    <cellStyle name="超链接 2 5 2" xfId="12402"/>
    <cellStyle name="超链接 2 5 3" xfId="12403"/>
    <cellStyle name="超链接 2 5 4" xfId="12404"/>
    <cellStyle name="超链接 2 6" xfId="12405"/>
    <cellStyle name="超链接 2 6 2" xfId="12406"/>
    <cellStyle name="超链接 2 6 3" xfId="12407"/>
    <cellStyle name="超链接 2 7" xfId="12408"/>
    <cellStyle name="超链接 2 8" xfId="12409"/>
    <cellStyle name="超链接 2 9" xfId="12410"/>
  </cellStyles>
  <dxfs count="4">
    <dxf>
      <font>
        <b val="0"/>
        <i val="0"/>
        <strike val="0"/>
        <condense val="0"/>
        <extend val="0"/>
        <u val="none"/>
        <sz val="10"/>
        <color indexed="8"/>
      </font>
      <fill>
        <patternFill patternType="solid">
          <fgColor indexed="39"/>
          <bgColor indexed="12"/>
        </patternFill>
      </fill>
      <border>
        <left/>
        <right/>
        <top/>
        <bottom/>
      </border>
    </dxf>
    <dxf>
      <font>
        <b val="0"/>
        <i val="0"/>
        <strike val="0"/>
        <condense val="0"/>
        <extend val="0"/>
        <u val="none"/>
        <sz val="10"/>
        <color indexed="8"/>
      </font>
      <fill>
        <patternFill patternType="solid">
          <fgColor indexed="39"/>
          <bgColor indexed="12"/>
        </patternFill>
      </fill>
      <border>
        <left/>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3"/>
      <tableStyleElement type="headerRow" dxfId="2"/>
    </tableStyle>
  </tableStyles>
  <colors>
    <mruColors>
      <color rgb="FF0000FF"/>
      <color rgb="FFCCFFCC"/>
      <color rgb="FF060ABA"/>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zoomScale="85" zoomScaleNormal="85" workbookViewId="0">
      <selection activeCell="F40" sqref="F40"/>
    </sheetView>
  </sheetViews>
  <sheetFormatPr defaultColWidth="9.140625" defaultRowHeight="15"/>
  <cols>
    <col min="1" max="1" width="2" style="3" customWidth="1"/>
    <col min="2" max="2" width="7.85546875" style="3" bestFit="1" customWidth="1"/>
    <col min="3" max="3" width="22.140625" style="3" customWidth="1"/>
    <col min="4" max="4" width="9.140625" style="3" customWidth="1"/>
    <col min="5" max="5" width="40" style="3" customWidth="1"/>
    <col min="6" max="6" width="21.7109375" style="3" customWidth="1"/>
    <col min="7" max="7" width="21.140625" style="3" customWidth="1"/>
    <col min="8" max="8" width="17.7109375" style="3" customWidth="1"/>
    <col min="9" max="16384" width="9.140625" style="3"/>
  </cols>
  <sheetData>
    <row r="1" spans="1:8">
      <c r="A1" s="1"/>
      <c r="B1" s="2"/>
      <c r="C1" s="1"/>
      <c r="D1" s="1"/>
      <c r="E1" s="1"/>
      <c r="F1" s="1"/>
      <c r="G1" s="1"/>
      <c r="H1" s="1"/>
    </row>
    <row r="2" spans="1:8" s="6" customFormat="1" ht="21">
      <c r="A2" s="4" t="s">
        <v>441</v>
      </c>
      <c r="B2" s="4"/>
      <c r="C2" s="4"/>
      <c r="D2" s="4"/>
      <c r="E2" s="4"/>
      <c r="F2" s="4"/>
      <c r="G2" s="5"/>
      <c r="H2" s="5"/>
    </row>
    <row r="3" spans="1:8">
      <c r="A3" s="1"/>
      <c r="B3" s="1"/>
      <c r="C3" s="1"/>
      <c r="D3" s="1"/>
      <c r="E3" s="1"/>
      <c r="F3" s="1"/>
      <c r="G3" s="1"/>
      <c r="H3" s="1"/>
    </row>
    <row r="4" spans="1:8">
      <c r="A4" s="1"/>
      <c r="B4" s="1"/>
      <c r="C4" s="1"/>
      <c r="D4" s="1"/>
      <c r="E4" s="1"/>
      <c r="F4" s="1"/>
      <c r="G4" s="1"/>
      <c r="H4" s="1"/>
    </row>
    <row r="5" spans="1:8">
      <c r="A5" s="1"/>
      <c r="B5" s="7" t="s">
        <v>442</v>
      </c>
      <c r="C5" s="7" t="s">
        <v>73</v>
      </c>
      <c r="D5" s="7" t="s">
        <v>443</v>
      </c>
      <c r="E5" s="7" t="s">
        <v>444</v>
      </c>
      <c r="F5" s="7" t="s">
        <v>445</v>
      </c>
      <c r="G5" s="7" t="s">
        <v>446</v>
      </c>
      <c r="H5" s="7" t="s">
        <v>447</v>
      </c>
    </row>
    <row r="6" spans="1:8" s="9" customFormat="1" ht="45">
      <c r="A6" s="8"/>
      <c r="B6" s="342" t="s">
        <v>448</v>
      </c>
      <c r="C6" s="89">
        <v>42761</v>
      </c>
      <c r="D6" s="343" t="s">
        <v>449</v>
      </c>
      <c r="E6" s="343" t="s">
        <v>1279</v>
      </c>
      <c r="F6" s="343" t="s">
        <v>1321</v>
      </c>
      <c r="G6" s="192" t="s">
        <v>1285</v>
      </c>
      <c r="H6" s="192" t="s">
        <v>1286</v>
      </c>
    </row>
    <row r="7" spans="1:8" ht="30">
      <c r="A7" s="1"/>
      <c r="B7" s="342">
        <v>1.1000000000000001</v>
      </c>
      <c r="C7" s="89">
        <v>42788</v>
      </c>
      <c r="D7" s="343" t="s">
        <v>449</v>
      </c>
      <c r="E7" s="343" t="s">
        <v>1312</v>
      </c>
      <c r="F7" s="343" t="s">
        <v>1319</v>
      </c>
      <c r="G7" s="192" t="s">
        <v>1285</v>
      </c>
      <c r="H7" s="192" t="s">
        <v>1286</v>
      </c>
    </row>
    <row r="8" spans="1:8" ht="30">
      <c r="A8" s="1"/>
      <c r="B8" s="342">
        <v>1.2</v>
      </c>
      <c r="C8" s="89">
        <v>42793</v>
      </c>
      <c r="D8" s="343" t="s">
        <v>449</v>
      </c>
      <c r="E8" s="343" t="s">
        <v>1314</v>
      </c>
      <c r="F8" s="343" t="s">
        <v>1313</v>
      </c>
      <c r="G8" s="192" t="s">
        <v>1285</v>
      </c>
      <c r="H8" s="192" t="s">
        <v>1286</v>
      </c>
    </row>
    <row r="9" spans="1:8" ht="30">
      <c r="A9" s="1"/>
      <c r="B9" s="342">
        <v>1.3</v>
      </c>
      <c r="C9" s="89">
        <v>42811</v>
      </c>
      <c r="D9" s="343" t="s">
        <v>449</v>
      </c>
      <c r="E9" s="343" t="s">
        <v>1320</v>
      </c>
      <c r="F9" s="343" t="s">
        <v>1319</v>
      </c>
      <c r="G9" s="192" t="s">
        <v>1285</v>
      </c>
      <c r="H9" s="192" t="s">
        <v>1286</v>
      </c>
    </row>
    <row r="10" spans="1:8">
      <c r="A10" s="1"/>
      <c r="B10" s="1"/>
      <c r="C10" s="1"/>
      <c r="D10" s="1"/>
      <c r="E10" s="1"/>
      <c r="F10" s="1"/>
      <c r="G10" s="1"/>
      <c r="H10" s="1"/>
    </row>
    <row r="11" spans="1:8">
      <c r="A11" s="1"/>
      <c r="B11" s="1"/>
      <c r="C11" s="1"/>
      <c r="D11" s="1"/>
      <c r="E11" s="1"/>
      <c r="F11" s="1"/>
      <c r="G11" s="1"/>
      <c r="H11" s="1"/>
    </row>
  </sheetData>
  <phoneticPr fontId="16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14"/>
  <sheetViews>
    <sheetView zoomScale="85" zoomScaleNormal="85" workbookViewId="0">
      <selection activeCell="AP27" sqref="AP27"/>
    </sheetView>
  </sheetViews>
  <sheetFormatPr defaultColWidth="9.140625" defaultRowHeight="15" outlineLevelCol="2"/>
  <cols>
    <col min="1" max="1" width="0.7109375" style="233" customWidth="1"/>
    <col min="2" max="2" width="1.85546875" style="233" customWidth="1"/>
    <col min="3" max="3" width="7" style="233" customWidth="1"/>
    <col min="4" max="4" width="35" style="233" bestFit="1" customWidth="1"/>
    <col min="5" max="5" width="5.85546875" style="233" bestFit="1" customWidth="1"/>
    <col min="6" max="6" width="7.85546875" style="233" bestFit="1" customWidth="1"/>
    <col min="7" max="7" width="5.85546875" style="233" bestFit="1" customWidth="1"/>
    <col min="8" max="8" width="5.28515625" style="233" hidden="1" customWidth="1" outlineLevel="1"/>
    <col min="9" max="9" width="7.7109375" style="233" hidden="1" customWidth="1" outlineLevel="1"/>
    <col min="10" max="10" width="4.85546875" style="233" hidden="1" customWidth="1" outlineLevel="1"/>
    <col min="11" max="11" width="5.85546875" style="233" hidden="1" customWidth="1" outlineLevel="1"/>
    <col min="12" max="12" width="6.140625" style="233" hidden="1" customWidth="1" outlineLevel="1"/>
    <col min="13" max="13" width="9.5703125" style="233" hidden="1" customWidth="1" outlineLevel="1"/>
    <col min="14" max="14" width="9.28515625" style="233" hidden="1" customWidth="1" outlineLevel="1"/>
    <col min="15" max="15" width="10.5703125" style="233" hidden="1" customWidth="1" outlineLevel="1"/>
    <col min="16" max="16" width="13.140625" style="233" hidden="1" customWidth="1" outlineLevel="1"/>
    <col min="17" max="17" width="5.140625" style="235" customWidth="1" collapsed="1"/>
    <col min="18" max="18" width="6.85546875" style="233" customWidth="1"/>
    <col min="19" max="19" width="5.28515625" style="233" hidden="1" customWidth="1" outlineLevel="1"/>
    <col min="20" max="21" width="7.7109375" style="233" hidden="1" customWidth="1" outlineLevel="1"/>
    <col min="22" max="22" width="5.42578125" style="245" hidden="1" customWidth="1" outlineLevel="1"/>
    <col min="23" max="23" width="4.85546875" style="233" hidden="1" customWidth="1" outlineLevel="1"/>
    <col min="24" max="24" width="4.140625" style="233" hidden="1" customWidth="1" outlineLevel="1"/>
    <col min="25" max="25" width="5.42578125" style="233" hidden="1" customWidth="1" outlineLevel="1"/>
    <col min="26" max="26" width="4.85546875" style="233" hidden="1" customWidth="1" outlineLevel="1"/>
    <col min="27" max="27" width="4.140625" style="233" hidden="1" customWidth="1" outlineLevel="1"/>
    <col min="28" max="28" width="5.42578125" style="233" hidden="1" customWidth="1" outlineLevel="1"/>
    <col min="29" max="29" width="4.85546875" style="233" hidden="1" customWidth="1" outlineLevel="1"/>
    <col min="30" max="30" width="4.140625" style="233" hidden="1" customWidth="1" outlineLevel="1"/>
    <col min="31" max="31" width="4.85546875" style="233" hidden="1" customWidth="1" outlineLevel="1"/>
    <col min="32" max="32" width="5.28515625" style="233" hidden="1" customWidth="1" outlineLevel="1"/>
    <col min="33" max="33" width="7.7109375" style="233" hidden="1" customWidth="1" outlineLevel="1"/>
    <col min="34" max="34" width="20.85546875" style="233" hidden="1" customWidth="1" outlineLevel="1"/>
    <col min="35" max="35" width="10" style="233" hidden="1" customWidth="1" outlineLevel="1"/>
    <col min="36" max="36" width="18.42578125" style="233" hidden="1" customWidth="1" outlineLevel="1"/>
    <col min="37" max="37" width="23.140625" style="233" hidden="1" customWidth="1" outlineLevel="1"/>
    <col min="38" max="38" width="6.5703125" style="235" customWidth="1" collapsed="1"/>
    <col min="39" max="39" width="4.85546875" style="233" customWidth="1"/>
    <col min="40" max="40" width="5.28515625" style="233" customWidth="1" outlineLevel="2"/>
    <col min="41" max="41" width="7.7109375" style="233" customWidth="1" outlineLevel="2"/>
    <col min="42" max="42" width="3.85546875" style="233" bestFit="1" customWidth="1" outlineLevel="2"/>
    <col min="43" max="43" width="5.42578125" style="245" customWidth="1" outlineLevel="2"/>
    <col min="44" max="44" width="4.85546875" style="233" customWidth="1" outlineLevel="2"/>
    <col min="45" max="45" width="4.140625" style="233" customWidth="1" outlineLevel="2"/>
    <col min="46" max="46" width="5.42578125" style="233" customWidth="1" outlineLevel="2"/>
    <col min="47" max="47" width="4.85546875" style="233" customWidth="1" outlineLevel="2"/>
    <col min="48" max="48" width="4.140625" style="233" customWidth="1" outlineLevel="2"/>
    <col min="49" max="49" width="5.42578125" style="233" customWidth="1" outlineLevel="2"/>
    <col min="50" max="50" width="4.85546875" style="233" customWidth="1" outlineLevel="2"/>
    <col min="51" max="51" width="4.140625" style="233" customWidth="1" outlineLevel="2"/>
    <col min="52" max="52" width="4.85546875" style="233" customWidth="1" outlineLevel="2"/>
    <col min="53" max="53" width="5.28515625" style="233" customWidth="1" outlineLevel="2"/>
    <col min="54" max="54" width="7.7109375" style="233" customWidth="1" outlineLevel="2"/>
    <col min="55" max="55" width="17.85546875" style="233" customWidth="1" outlineLevel="2"/>
    <col min="56" max="56" width="10" style="233" customWidth="1" outlineLevel="2"/>
    <col min="57" max="57" width="12.5703125" style="233" customWidth="1" outlineLevel="2"/>
    <col min="58" max="58" width="7.7109375" style="233" customWidth="1" outlineLevel="2"/>
    <col min="59" max="59" width="5.42578125" style="235" customWidth="1"/>
    <col min="60" max="60" width="4.85546875" style="233" bestFit="1" customWidth="1"/>
    <col min="61" max="61" width="5.28515625" style="233" hidden="1" customWidth="1" outlineLevel="1"/>
    <col min="62" max="62" width="7.7109375" style="233" hidden="1" customWidth="1" outlineLevel="1"/>
    <col min="63" max="63" width="2.7109375" style="233" hidden="1" customWidth="1" outlineLevel="1"/>
    <col min="64" max="64" width="5.42578125" style="245" hidden="1" customWidth="1" outlineLevel="1"/>
    <col min="65" max="65" width="4.85546875" style="233" hidden="1" customWidth="1" outlineLevel="1"/>
    <col min="66" max="66" width="4.140625" style="233" hidden="1" customWidth="1" outlineLevel="1"/>
    <col min="67" max="67" width="5.42578125" style="233" hidden="1" customWidth="1" outlineLevel="1"/>
    <col min="68" max="68" width="4.85546875" style="233" hidden="1" customWidth="1" outlineLevel="1"/>
    <col min="69" max="69" width="4.140625" style="233" hidden="1" customWidth="1" outlineLevel="1"/>
    <col min="70" max="70" width="5.42578125" style="233" hidden="1" customWidth="1" outlineLevel="1"/>
    <col min="71" max="71" width="4.85546875" style="233" hidden="1" customWidth="1" outlineLevel="1"/>
    <col min="72" max="72" width="4.140625" style="233" hidden="1" customWidth="1" outlineLevel="1"/>
    <col min="73" max="73" width="4.85546875" style="233" hidden="1" customWidth="1" outlineLevel="1"/>
    <col min="74" max="74" width="5.28515625" style="233" hidden="1" customWidth="1" outlineLevel="1"/>
    <col min="75" max="75" width="7.7109375" style="233" hidden="1" customWidth="1" outlineLevel="1"/>
    <col min="76" max="76" width="17.85546875" style="233" hidden="1" customWidth="1" outlineLevel="1"/>
    <col min="77" max="77" width="10" style="233" hidden="1" customWidth="1" outlineLevel="1"/>
    <col min="78" max="78" width="12.5703125" style="233" hidden="1" customWidth="1" outlineLevel="1"/>
    <col min="79" max="79" width="7.7109375" style="233" hidden="1" customWidth="1" outlineLevel="1"/>
    <col min="80" max="80" width="4.5703125" style="235" customWidth="1" collapsed="1"/>
    <col min="81" max="81" width="4.85546875" style="233" bestFit="1" customWidth="1"/>
    <col min="82" max="82" width="5.28515625" style="233" hidden="1" customWidth="1" outlineLevel="1"/>
    <col min="83" max="83" width="7.7109375" style="233" hidden="1" customWidth="1" outlineLevel="1"/>
    <col min="84" max="84" width="2.7109375" style="233" hidden="1" customWidth="1" outlineLevel="1"/>
    <col min="85" max="85" width="5.42578125" style="245" hidden="1" customWidth="1" outlineLevel="1"/>
    <col min="86" max="86" width="4.85546875" style="233" hidden="1" customWidth="1" outlineLevel="1"/>
    <col min="87" max="87" width="4.140625" style="233" hidden="1" customWidth="1" outlineLevel="1"/>
    <col min="88" max="88" width="5.42578125" style="233" hidden="1" customWidth="1" outlineLevel="1"/>
    <col min="89" max="89" width="4.85546875" style="233" hidden="1" customWidth="1" outlineLevel="1"/>
    <col min="90" max="90" width="4.140625" style="233" hidden="1" customWidth="1" outlineLevel="1"/>
    <col min="91" max="91" width="5.42578125" style="233" hidden="1" customWidth="1" outlineLevel="1"/>
    <col min="92" max="92" width="4.85546875" style="233" hidden="1" customWidth="1" outlineLevel="1"/>
    <col min="93" max="93" width="4.140625" style="233" hidden="1" customWidth="1" outlineLevel="1"/>
    <col min="94" max="94" width="4.85546875" style="233" hidden="1" customWidth="1" outlineLevel="1"/>
    <col min="95" max="95" width="5.28515625" style="233" hidden="1" customWidth="1" outlineLevel="1"/>
    <col min="96" max="96" width="7.7109375" style="233" hidden="1" customWidth="1" outlineLevel="1"/>
    <col min="97" max="97" width="17.85546875" style="233" hidden="1" customWidth="1" outlineLevel="1"/>
    <col min="98" max="98" width="10" style="233" hidden="1" customWidth="1" outlineLevel="1"/>
    <col min="99" max="99" width="12.5703125" style="233" hidden="1" customWidth="1" outlineLevel="1"/>
    <col min="100" max="100" width="7.7109375" style="233" hidden="1" customWidth="1" outlineLevel="1"/>
    <col min="101" max="101" width="4.42578125" style="235" customWidth="1" collapsed="1"/>
    <col min="102" max="102" width="4.85546875" style="233" bestFit="1" customWidth="1"/>
    <col min="103" max="103" width="5.28515625" style="233" hidden="1" customWidth="1" outlineLevel="1"/>
    <col min="104" max="104" width="7.7109375" style="233" hidden="1" customWidth="1" outlineLevel="1"/>
    <col min="105" max="105" width="2.7109375" style="233" hidden="1" customWidth="1" outlineLevel="1"/>
    <col min="106" max="106" width="5.42578125" style="245" hidden="1" customWidth="1" outlineLevel="1"/>
    <col min="107" max="107" width="4.85546875" style="233" hidden="1" customWidth="1" outlineLevel="1"/>
    <col min="108" max="108" width="4.140625" style="233" hidden="1" customWidth="1" outlineLevel="1"/>
    <col min="109" max="109" width="5.42578125" style="233" hidden="1" customWidth="1" outlineLevel="1"/>
    <col min="110" max="110" width="4.85546875" style="233" hidden="1" customWidth="1" outlineLevel="1"/>
    <col min="111" max="111" width="4.140625" style="233" hidden="1" customWidth="1" outlineLevel="1"/>
    <col min="112" max="112" width="5.42578125" style="233" hidden="1" customWidth="1" outlineLevel="1"/>
    <col min="113" max="113" width="4.85546875" style="233" hidden="1" customWidth="1" outlineLevel="1"/>
    <col min="114" max="114" width="4.140625" style="233" hidden="1" customWidth="1" outlineLevel="1"/>
    <col min="115" max="115" width="4.85546875" style="233" hidden="1" customWidth="1" outlineLevel="1"/>
    <col min="116" max="116" width="5.28515625" style="233" hidden="1" customWidth="1" outlineLevel="1"/>
    <col min="117" max="117" width="7.7109375" style="233" hidden="1" customWidth="1" outlineLevel="1"/>
    <col min="118" max="118" width="17.85546875" style="233" hidden="1" customWidth="1" outlineLevel="1"/>
    <col min="119" max="119" width="10" style="233" hidden="1" customWidth="1" outlineLevel="1"/>
    <col min="120" max="120" width="12.5703125" style="233" hidden="1" customWidth="1" outlineLevel="1"/>
    <col min="121" max="121" width="7.7109375" style="233" hidden="1" customWidth="1" outlineLevel="1"/>
    <col min="122" max="122" width="9.140625" style="233" collapsed="1"/>
    <col min="123" max="16384" width="9.140625" style="233"/>
  </cols>
  <sheetData>
    <row r="1" spans="1:121">
      <c r="E1" s="234"/>
      <c r="F1" s="234"/>
      <c r="G1" s="234"/>
      <c r="H1" s="234"/>
      <c r="I1" s="234"/>
      <c r="J1" s="234"/>
      <c r="K1" s="234"/>
      <c r="L1" s="234"/>
      <c r="M1" s="234"/>
      <c r="N1" s="234"/>
      <c r="O1" s="234"/>
      <c r="R1" s="234"/>
      <c r="S1" s="234"/>
      <c r="T1" s="234"/>
      <c r="U1" s="234"/>
      <c r="V1" s="236"/>
      <c r="W1" s="234"/>
      <c r="X1" s="234"/>
      <c r="Y1" s="234"/>
      <c r="Z1" s="234"/>
      <c r="AA1" s="234"/>
      <c r="AB1" s="234"/>
      <c r="AC1" s="234"/>
      <c r="AD1" s="234"/>
      <c r="AE1" s="234"/>
      <c r="AF1" s="234"/>
      <c r="AG1" s="234"/>
      <c r="AH1" s="234"/>
      <c r="AI1" s="234"/>
      <c r="AJ1" s="234"/>
      <c r="AM1" s="234"/>
      <c r="AN1" s="234"/>
      <c r="AO1" s="234"/>
      <c r="AP1" s="234"/>
      <c r="AQ1" s="236"/>
      <c r="AR1" s="234"/>
      <c r="AS1" s="234"/>
      <c r="AT1" s="234"/>
      <c r="AU1" s="234"/>
      <c r="AV1" s="234"/>
      <c r="AW1" s="234"/>
      <c r="AX1" s="234"/>
      <c r="AY1" s="234"/>
      <c r="AZ1" s="234"/>
      <c r="BA1" s="234"/>
      <c r="BB1" s="234"/>
      <c r="BC1" s="234"/>
      <c r="BD1" s="234"/>
      <c r="BE1" s="234"/>
      <c r="BH1" s="234"/>
      <c r="BI1" s="234"/>
      <c r="BJ1" s="234"/>
      <c r="BK1" s="234"/>
      <c r="BL1" s="236"/>
      <c r="BM1" s="234"/>
      <c r="BN1" s="234"/>
      <c r="BO1" s="234"/>
      <c r="BP1" s="234"/>
      <c r="BQ1" s="234"/>
      <c r="BR1" s="234"/>
      <c r="BS1" s="234"/>
      <c r="BT1" s="234"/>
      <c r="BU1" s="234"/>
      <c r="BV1" s="234"/>
      <c r="BW1" s="234"/>
      <c r="BX1" s="234"/>
      <c r="BY1" s="234"/>
      <c r="BZ1" s="234"/>
      <c r="CC1" s="234"/>
      <c r="CD1" s="234"/>
      <c r="CE1" s="234"/>
      <c r="CF1" s="234"/>
      <c r="CG1" s="236"/>
      <c r="CH1" s="234"/>
      <c r="CI1" s="234"/>
      <c r="CJ1" s="234"/>
      <c r="CK1" s="234"/>
      <c r="CL1" s="234"/>
      <c r="CM1" s="234"/>
      <c r="CN1" s="234"/>
      <c r="CO1" s="234"/>
      <c r="CP1" s="234"/>
      <c r="CQ1" s="234"/>
      <c r="CR1" s="234"/>
      <c r="CS1" s="234"/>
      <c r="CT1" s="234"/>
      <c r="CU1" s="234"/>
      <c r="CX1" s="234"/>
      <c r="CY1" s="234"/>
      <c r="CZ1" s="234"/>
      <c r="DA1" s="234"/>
      <c r="DB1" s="236"/>
      <c r="DC1" s="234"/>
      <c r="DD1" s="234"/>
      <c r="DE1" s="234"/>
      <c r="DF1" s="234"/>
      <c r="DG1" s="234"/>
      <c r="DH1" s="234"/>
      <c r="DI1" s="234"/>
      <c r="DJ1" s="234"/>
      <c r="DK1" s="234"/>
      <c r="DL1" s="234"/>
      <c r="DM1" s="234"/>
      <c r="DN1" s="234"/>
      <c r="DO1" s="234"/>
      <c r="DP1" s="234"/>
    </row>
    <row r="2" spans="1:121" s="239" customFormat="1" ht="21">
      <c r="A2" s="237" t="s">
        <v>1287</v>
      </c>
      <c r="B2" s="238"/>
      <c r="D2" s="238"/>
      <c r="E2" s="237"/>
      <c r="F2" s="237"/>
      <c r="G2" s="238"/>
      <c r="H2" s="238"/>
      <c r="I2" s="238"/>
      <c r="J2" s="238"/>
      <c r="K2" s="238"/>
      <c r="L2" s="238"/>
      <c r="M2" s="238"/>
      <c r="N2" s="238"/>
      <c r="O2" s="240" t="s">
        <v>1280</v>
      </c>
      <c r="P2" s="241">
        <v>1</v>
      </c>
      <c r="Q2" s="242"/>
      <c r="R2" s="243">
        <v>1</v>
      </c>
      <c r="S2" s="243"/>
      <c r="T2" s="243"/>
      <c r="U2" s="243"/>
      <c r="V2" s="243"/>
      <c r="W2" s="243"/>
      <c r="X2" s="243"/>
      <c r="Y2" s="243"/>
      <c r="Z2" s="243"/>
      <c r="AA2" s="243"/>
      <c r="AB2" s="243"/>
      <c r="AC2" s="243"/>
      <c r="AD2" s="243"/>
      <c r="AE2" s="243"/>
      <c r="AF2" s="243"/>
      <c r="AG2" s="243"/>
      <c r="AH2" s="243"/>
      <c r="AI2" s="243"/>
      <c r="AJ2" s="243"/>
      <c r="AK2" s="243"/>
      <c r="AL2" s="242"/>
      <c r="AM2" s="243">
        <v>2</v>
      </c>
      <c r="AN2" s="243"/>
      <c r="AO2" s="243"/>
      <c r="AP2" s="243"/>
      <c r="AQ2" s="243"/>
      <c r="AR2" s="243"/>
      <c r="AS2" s="243"/>
      <c r="AT2" s="243"/>
      <c r="AU2" s="243"/>
      <c r="AV2" s="243"/>
      <c r="AW2" s="243"/>
      <c r="AX2" s="243"/>
      <c r="AY2" s="243"/>
      <c r="AZ2" s="243"/>
      <c r="BA2" s="243"/>
      <c r="BB2" s="243"/>
      <c r="BC2" s="243"/>
      <c r="BD2" s="243"/>
      <c r="BE2" s="243"/>
      <c r="BF2" s="243"/>
      <c r="BG2" s="242"/>
      <c r="BH2" s="243">
        <v>3</v>
      </c>
      <c r="BI2" s="243"/>
      <c r="BJ2" s="243"/>
      <c r="BK2" s="243"/>
      <c r="BL2" s="243"/>
      <c r="BM2" s="243"/>
      <c r="BN2" s="243"/>
      <c r="BO2" s="243"/>
      <c r="BP2" s="243"/>
      <c r="BQ2" s="243"/>
      <c r="BR2" s="243"/>
      <c r="BS2" s="243"/>
      <c r="BT2" s="243"/>
      <c r="BU2" s="243"/>
      <c r="BV2" s="243"/>
      <c r="BW2" s="243"/>
      <c r="BX2" s="243"/>
      <c r="BY2" s="243"/>
      <c r="BZ2" s="243"/>
      <c r="CA2" s="243"/>
      <c r="CB2" s="242"/>
      <c r="CC2" s="243">
        <v>4</v>
      </c>
      <c r="CD2" s="243"/>
      <c r="CE2" s="243"/>
      <c r="CF2" s="243"/>
      <c r="CG2" s="243"/>
      <c r="CH2" s="243"/>
      <c r="CI2" s="243"/>
      <c r="CJ2" s="243"/>
      <c r="CK2" s="243"/>
      <c r="CL2" s="243"/>
      <c r="CM2" s="243"/>
      <c r="CN2" s="243"/>
      <c r="CO2" s="243"/>
      <c r="CP2" s="243"/>
      <c r="CQ2" s="243"/>
      <c r="CR2" s="243"/>
      <c r="CS2" s="243"/>
      <c r="CT2" s="243"/>
      <c r="CU2" s="243"/>
      <c r="CV2" s="243"/>
      <c r="CW2" s="242"/>
      <c r="CX2" s="243">
        <v>5</v>
      </c>
      <c r="CY2" s="243"/>
      <c r="CZ2" s="243"/>
      <c r="DA2" s="243"/>
      <c r="DB2" s="243"/>
      <c r="DC2" s="243"/>
      <c r="DD2" s="243"/>
      <c r="DE2" s="243"/>
      <c r="DF2" s="243"/>
      <c r="DG2" s="243"/>
      <c r="DH2" s="243"/>
      <c r="DI2" s="243"/>
      <c r="DJ2" s="243"/>
      <c r="DK2" s="243"/>
      <c r="DL2" s="243"/>
      <c r="DM2" s="243"/>
      <c r="DN2" s="243"/>
      <c r="DO2" s="243"/>
      <c r="DP2" s="243"/>
      <c r="DQ2" s="243"/>
    </row>
    <row r="3" spans="1:121">
      <c r="D3" s="244"/>
      <c r="E3" s="244"/>
      <c r="F3" s="244"/>
    </row>
    <row r="4" spans="1:121" s="246" customFormat="1">
      <c r="D4" s="247"/>
      <c r="E4" s="248" t="s">
        <v>1236</v>
      </c>
      <c r="F4" s="249"/>
      <c r="G4" s="249"/>
      <c r="H4" s="249"/>
      <c r="I4" s="249"/>
      <c r="J4" s="249"/>
      <c r="K4" s="249"/>
      <c r="L4" s="249"/>
      <c r="M4" s="249"/>
      <c r="N4" s="249"/>
      <c r="O4" s="249"/>
      <c r="P4" s="250"/>
      <c r="Q4" s="251"/>
      <c r="R4" s="252" t="s">
        <v>1288</v>
      </c>
      <c r="S4" s="253"/>
      <c r="T4" s="253"/>
      <c r="U4" s="253"/>
      <c r="V4" s="253"/>
      <c r="W4" s="253"/>
      <c r="X4" s="253"/>
      <c r="Y4" s="253"/>
      <c r="Z4" s="253"/>
      <c r="AA4" s="253"/>
      <c r="AB4" s="253"/>
      <c r="AC4" s="253"/>
      <c r="AD4" s="253"/>
      <c r="AE4" s="253"/>
      <c r="AF4" s="253"/>
      <c r="AG4" s="253"/>
      <c r="AH4" s="253"/>
      <c r="AI4" s="253"/>
      <c r="AJ4" s="253"/>
      <c r="AK4" s="254"/>
      <c r="AL4" s="255"/>
      <c r="AM4" s="252" t="s">
        <v>1316</v>
      </c>
      <c r="AN4" s="253"/>
      <c r="AO4" s="253"/>
      <c r="AP4" s="253"/>
      <c r="AQ4" s="253"/>
      <c r="AR4" s="253"/>
      <c r="AS4" s="253"/>
      <c r="AT4" s="253"/>
      <c r="AU4" s="253"/>
      <c r="AV4" s="253"/>
      <c r="AW4" s="253"/>
      <c r="AX4" s="253"/>
      <c r="AY4" s="253"/>
      <c r="AZ4" s="253"/>
      <c r="BA4" s="253"/>
      <c r="BB4" s="253"/>
      <c r="BC4" s="253"/>
      <c r="BD4" s="253"/>
      <c r="BE4" s="253"/>
      <c r="BF4" s="254"/>
      <c r="BG4" s="255"/>
      <c r="BH4" s="252" t="s">
        <v>1216</v>
      </c>
      <c r="BI4" s="253"/>
      <c r="BJ4" s="253"/>
      <c r="BK4" s="253"/>
      <c r="BL4" s="253"/>
      <c r="BM4" s="253"/>
      <c r="BN4" s="253"/>
      <c r="BO4" s="253"/>
      <c r="BP4" s="253"/>
      <c r="BQ4" s="253"/>
      <c r="BR4" s="253"/>
      <c r="BS4" s="253"/>
      <c r="BT4" s="253"/>
      <c r="BU4" s="253"/>
      <c r="BV4" s="253"/>
      <c r="BW4" s="253"/>
      <c r="BX4" s="253"/>
      <c r="BY4" s="253"/>
      <c r="BZ4" s="253"/>
      <c r="CA4" s="254"/>
      <c r="CB4" s="255"/>
      <c r="CC4" s="252" t="s">
        <v>1216</v>
      </c>
      <c r="CD4" s="253"/>
      <c r="CE4" s="253"/>
      <c r="CF4" s="253"/>
      <c r="CG4" s="253"/>
      <c r="CH4" s="253"/>
      <c r="CI4" s="253"/>
      <c r="CJ4" s="253"/>
      <c r="CK4" s="253"/>
      <c r="CL4" s="253"/>
      <c r="CM4" s="253"/>
      <c r="CN4" s="253"/>
      <c r="CO4" s="253"/>
      <c r="CP4" s="253"/>
      <c r="CQ4" s="253"/>
      <c r="CR4" s="253"/>
      <c r="CS4" s="253"/>
      <c r="CT4" s="253"/>
      <c r="CU4" s="253"/>
      <c r="CV4" s="254"/>
      <c r="CW4" s="256"/>
      <c r="CX4" s="252" t="s">
        <v>1216</v>
      </c>
      <c r="CY4" s="253"/>
      <c r="CZ4" s="253"/>
      <c r="DA4" s="253"/>
      <c r="DB4" s="253"/>
      <c r="DC4" s="253"/>
      <c r="DD4" s="253"/>
      <c r="DE4" s="253"/>
      <c r="DF4" s="253"/>
      <c r="DG4" s="253"/>
      <c r="DH4" s="253"/>
      <c r="DI4" s="253"/>
      <c r="DJ4" s="253"/>
      <c r="DK4" s="253"/>
      <c r="DL4" s="253"/>
      <c r="DM4" s="253"/>
      <c r="DN4" s="253"/>
      <c r="DO4" s="253"/>
      <c r="DP4" s="253"/>
      <c r="DQ4" s="254"/>
    </row>
    <row r="5" spans="1:121" s="246" customFormat="1" ht="15" customHeight="1">
      <c r="C5" s="257" t="s">
        <v>450</v>
      </c>
      <c r="D5" s="258"/>
      <c r="E5" s="259" t="s">
        <v>1218</v>
      </c>
      <c r="F5" s="260"/>
      <c r="G5" s="261" t="s">
        <v>440</v>
      </c>
      <c r="H5" s="262"/>
      <c r="I5" s="263"/>
      <c r="J5" s="264" t="s">
        <v>451</v>
      </c>
      <c r="K5" s="265"/>
      <c r="L5" s="266"/>
      <c r="M5" s="267" t="s">
        <v>1221</v>
      </c>
      <c r="N5" s="268" t="s">
        <v>945</v>
      </c>
      <c r="O5" s="268" t="s">
        <v>1214</v>
      </c>
      <c r="P5" s="257" t="s">
        <v>422</v>
      </c>
      <c r="Q5" s="269" t="s">
        <v>1250</v>
      </c>
      <c r="R5" s="270" t="s">
        <v>440</v>
      </c>
      <c r="S5" s="262"/>
      <c r="T5" s="263"/>
      <c r="U5" s="271" t="s">
        <v>1248</v>
      </c>
      <c r="V5" s="264" t="s">
        <v>451</v>
      </c>
      <c r="W5" s="265"/>
      <c r="X5" s="265"/>
      <c r="Y5" s="265"/>
      <c r="Z5" s="265"/>
      <c r="AA5" s="265"/>
      <c r="AB5" s="265"/>
      <c r="AC5" s="265"/>
      <c r="AD5" s="266"/>
      <c r="AE5" s="264" t="s">
        <v>452</v>
      </c>
      <c r="AF5" s="265"/>
      <c r="AG5" s="265"/>
      <c r="AH5" s="266"/>
      <c r="AI5" s="268" t="s">
        <v>1214</v>
      </c>
      <c r="AJ5" s="272" t="s">
        <v>1249</v>
      </c>
      <c r="AK5" s="273" t="s">
        <v>422</v>
      </c>
      <c r="AL5" s="274"/>
      <c r="AM5" s="270" t="s">
        <v>440</v>
      </c>
      <c r="AN5" s="262"/>
      <c r="AO5" s="263"/>
      <c r="AP5" s="271" t="s">
        <v>1248</v>
      </c>
      <c r="AQ5" s="264" t="s">
        <v>451</v>
      </c>
      <c r="AR5" s="265"/>
      <c r="AS5" s="265"/>
      <c r="AT5" s="265"/>
      <c r="AU5" s="265"/>
      <c r="AV5" s="265"/>
      <c r="AW5" s="265"/>
      <c r="AX5" s="265"/>
      <c r="AY5" s="266"/>
      <c r="AZ5" s="264" t="s">
        <v>452</v>
      </c>
      <c r="BA5" s="265"/>
      <c r="BB5" s="265"/>
      <c r="BC5" s="266"/>
      <c r="BD5" s="268" t="s">
        <v>1214</v>
      </c>
      <c r="BE5" s="272" t="s">
        <v>1249</v>
      </c>
      <c r="BF5" s="273" t="s">
        <v>422</v>
      </c>
      <c r="BG5" s="274"/>
      <c r="BH5" s="270" t="s">
        <v>440</v>
      </c>
      <c r="BI5" s="262"/>
      <c r="BJ5" s="263"/>
      <c r="BK5" s="271" t="s">
        <v>1248</v>
      </c>
      <c r="BL5" s="264" t="s">
        <v>451</v>
      </c>
      <c r="BM5" s="265"/>
      <c r="BN5" s="265"/>
      <c r="BO5" s="265"/>
      <c r="BP5" s="265"/>
      <c r="BQ5" s="265"/>
      <c r="BR5" s="265"/>
      <c r="BS5" s="265"/>
      <c r="BT5" s="266"/>
      <c r="BU5" s="264" t="s">
        <v>452</v>
      </c>
      <c r="BV5" s="265"/>
      <c r="BW5" s="265"/>
      <c r="BX5" s="266"/>
      <c r="BY5" s="268" t="s">
        <v>1214</v>
      </c>
      <c r="BZ5" s="272" t="s">
        <v>1249</v>
      </c>
      <c r="CA5" s="273" t="s">
        <v>422</v>
      </c>
      <c r="CB5" s="274"/>
      <c r="CC5" s="270" t="s">
        <v>440</v>
      </c>
      <c r="CD5" s="262"/>
      <c r="CE5" s="263"/>
      <c r="CF5" s="271" t="s">
        <v>1248</v>
      </c>
      <c r="CG5" s="264" t="s">
        <v>451</v>
      </c>
      <c r="CH5" s="265"/>
      <c r="CI5" s="265"/>
      <c r="CJ5" s="265"/>
      <c r="CK5" s="265"/>
      <c r="CL5" s="265"/>
      <c r="CM5" s="265"/>
      <c r="CN5" s="265"/>
      <c r="CO5" s="266"/>
      <c r="CP5" s="264" t="s">
        <v>452</v>
      </c>
      <c r="CQ5" s="265"/>
      <c r="CR5" s="265"/>
      <c r="CS5" s="266"/>
      <c r="CT5" s="268" t="s">
        <v>1214</v>
      </c>
      <c r="CU5" s="272" t="s">
        <v>1249</v>
      </c>
      <c r="CV5" s="273" t="s">
        <v>422</v>
      </c>
      <c r="CW5" s="256"/>
      <c r="CX5" s="270" t="s">
        <v>440</v>
      </c>
      <c r="CY5" s="262"/>
      <c r="CZ5" s="263"/>
      <c r="DA5" s="271" t="s">
        <v>1248</v>
      </c>
      <c r="DB5" s="264" t="s">
        <v>451</v>
      </c>
      <c r="DC5" s="265"/>
      <c r="DD5" s="265"/>
      <c r="DE5" s="265"/>
      <c r="DF5" s="265"/>
      <c r="DG5" s="265"/>
      <c r="DH5" s="265"/>
      <c r="DI5" s="265"/>
      <c r="DJ5" s="266"/>
      <c r="DK5" s="264" t="s">
        <v>452</v>
      </c>
      <c r="DL5" s="265"/>
      <c r="DM5" s="265"/>
      <c r="DN5" s="266"/>
      <c r="DO5" s="268" t="s">
        <v>1214</v>
      </c>
      <c r="DP5" s="272" t="s">
        <v>1249</v>
      </c>
      <c r="DQ5" s="273" t="s">
        <v>422</v>
      </c>
    </row>
    <row r="6" spans="1:121" s="246" customFormat="1" ht="15" customHeight="1">
      <c r="C6" s="275"/>
      <c r="D6" s="276"/>
      <c r="E6" s="277" t="s">
        <v>433</v>
      </c>
      <c r="F6" s="278" t="s">
        <v>453</v>
      </c>
      <c r="G6" s="279" t="s">
        <v>454</v>
      </c>
      <c r="H6" s="280" t="s">
        <v>425</v>
      </c>
      <c r="I6" s="280" t="s">
        <v>438</v>
      </c>
      <c r="J6" s="281" t="s">
        <v>454</v>
      </c>
      <c r="K6" s="282" t="s">
        <v>1219</v>
      </c>
      <c r="L6" s="283" t="b">
        <v>0</v>
      </c>
      <c r="M6" s="284"/>
      <c r="N6" s="285"/>
      <c r="O6" s="285"/>
      <c r="P6" s="275"/>
      <c r="Q6" s="269"/>
      <c r="R6" s="280" t="s">
        <v>454</v>
      </c>
      <c r="S6" s="280" t="s">
        <v>425</v>
      </c>
      <c r="T6" s="280" t="s">
        <v>438</v>
      </c>
      <c r="U6" s="286"/>
      <c r="V6" s="287" t="s">
        <v>454</v>
      </c>
      <c r="W6" s="288"/>
      <c r="X6" s="289"/>
      <c r="Y6" s="287" t="s">
        <v>425</v>
      </c>
      <c r="Z6" s="288"/>
      <c r="AA6" s="289"/>
      <c r="AB6" s="287" t="s">
        <v>438</v>
      </c>
      <c r="AC6" s="288"/>
      <c r="AD6" s="289"/>
      <c r="AE6" s="281" t="s">
        <v>454</v>
      </c>
      <c r="AF6" s="290" t="s">
        <v>425</v>
      </c>
      <c r="AG6" s="290" t="s">
        <v>438</v>
      </c>
      <c r="AH6" s="290" t="s">
        <v>455</v>
      </c>
      <c r="AI6" s="285"/>
      <c r="AJ6" s="291"/>
      <c r="AK6" s="292"/>
      <c r="AL6" s="274"/>
      <c r="AM6" s="280" t="s">
        <v>454</v>
      </c>
      <c r="AN6" s="280" t="s">
        <v>425</v>
      </c>
      <c r="AO6" s="280" t="s">
        <v>438</v>
      </c>
      <c r="AP6" s="286"/>
      <c r="AQ6" s="287" t="s">
        <v>454</v>
      </c>
      <c r="AR6" s="288"/>
      <c r="AS6" s="289"/>
      <c r="AT6" s="287" t="s">
        <v>425</v>
      </c>
      <c r="AU6" s="288"/>
      <c r="AV6" s="289"/>
      <c r="AW6" s="287" t="s">
        <v>438</v>
      </c>
      <c r="AX6" s="288"/>
      <c r="AY6" s="289"/>
      <c r="AZ6" s="281" t="s">
        <v>454</v>
      </c>
      <c r="BA6" s="290" t="s">
        <v>425</v>
      </c>
      <c r="BB6" s="290" t="s">
        <v>438</v>
      </c>
      <c r="BC6" s="290" t="s">
        <v>455</v>
      </c>
      <c r="BD6" s="285"/>
      <c r="BE6" s="291"/>
      <c r="BF6" s="292"/>
      <c r="BG6" s="274"/>
      <c r="BH6" s="280" t="s">
        <v>454</v>
      </c>
      <c r="BI6" s="280" t="s">
        <v>425</v>
      </c>
      <c r="BJ6" s="280" t="s">
        <v>438</v>
      </c>
      <c r="BK6" s="286"/>
      <c r="BL6" s="287" t="s">
        <v>454</v>
      </c>
      <c r="BM6" s="288"/>
      <c r="BN6" s="289"/>
      <c r="BO6" s="287" t="s">
        <v>425</v>
      </c>
      <c r="BP6" s="288"/>
      <c r="BQ6" s="289"/>
      <c r="BR6" s="287" t="s">
        <v>438</v>
      </c>
      <c r="BS6" s="288"/>
      <c r="BT6" s="289"/>
      <c r="BU6" s="281" t="s">
        <v>454</v>
      </c>
      <c r="BV6" s="290" t="s">
        <v>425</v>
      </c>
      <c r="BW6" s="290" t="s">
        <v>438</v>
      </c>
      <c r="BX6" s="290" t="s">
        <v>455</v>
      </c>
      <c r="BY6" s="285"/>
      <c r="BZ6" s="291"/>
      <c r="CA6" s="292"/>
      <c r="CB6" s="274"/>
      <c r="CC6" s="280" t="s">
        <v>454</v>
      </c>
      <c r="CD6" s="280" t="s">
        <v>425</v>
      </c>
      <c r="CE6" s="280" t="s">
        <v>438</v>
      </c>
      <c r="CF6" s="286"/>
      <c r="CG6" s="287" t="s">
        <v>454</v>
      </c>
      <c r="CH6" s="288"/>
      <c r="CI6" s="289"/>
      <c r="CJ6" s="287" t="s">
        <v>425</v>
      </c>
      <c r="CK6" s="288"/>
      <c r="CL6" s="289"/>
      <c r="CM6" s="287" t="s">
        <v>438</v>
      </c>
      <c r="CN6" s="288"/>
      <c r="CO6" s="289"/>
      <c r="CP6" s="281" t="s">
        <v>454</v>
      </c>
      <c r="CQ6" s="290" t="s">
        <v>425</v>
      </c>
      <c r="CR6" s="290" t="s">
        <v>438</v>
      </c>
      <c r="CS6" s="290" t="s">
        <v>455</v>
      </c>
      <c r="CT6" s="285"/>
      <c r="CU6" s="291"/>
      <c r="CV6" s="292"/>
      <c r="CW6" s="256"/>
      <c r="CX6" s="280" t="s">
        <v>454</v>
      </c>
      <c r="CY6" s="280" t="s">
        <v>425</v>
      </c>
      <c r="CZ6" s="280" t="s">
        <v>438</v>
      </c>
      <c r="DA6" s="286"/>
      <c r="DB6" s="287" t="s">
        <v>454</v>
      </c>
      <c r="DC6" s="288"/>
      <c r="DD6" s="289"/>
      <c r="DE6" s="287" t="s">
        <v>425</v>
      </c>
      <c r="DF6" s="288"/>
      <c r="DG6" s="289"/>
      <c r="DH6" s="287" t="s">
        <v>438</v>
      </c>
      <c r="DI6" s="288"/>
      <c r="DJ6" s="289"/>
      <c r="DK6" s="281" t="s">
        <v>454</v>
      </c>
      <c r="DL6" s="290" t="s">
        <v>425</v>
      </c>
      <c r="DM6" s="290" t="s">
        <v>438</v>
      </c>
      <c r="DN6" s="290" t="s">
        <v>455</v>
      </c>
      <c r="DO6" s="285"/>
      <c r="DP6" s="291"/>
      <c r="DQ6" s="292"/>
    </row>
    <row r="7" spans="1:121" s="246" customFormat="1">
      <c r="C7" s="293"/>
      <c r="D7" s="294"/>
      <c r="E7" s="277"/>
      <c r="F7" s="278"/>
      <c r="G7" s="295"/>
      <c r="H7" s="296"/>
      <c r="I7" s="296"/>
      <c r="J7" s="297"/>
      <c r="K7" s="298"/>
      <c r="L7" s="298"/>
      <c r="M7" s="297"/>
      <c r="N7" s="299"/>
      <c r="O7" s="299"/>
      <c r="P7" s="293"/>
      <c r="Q7" s="274"/>
      <c r="R7" s="280"/>
      <c r="S7" s="280"/>
      <c r="T7" s="280"/>
      <c r="U7" s="300"/>
      <c r="V7" s="281" t="s">
        <v>439</v>
      </c>
      <c r="W7" s="281" t="s">
        <v>0</v>
      </c>
      <c r="X7" s="281" t="s">
        <v>436</v>
      </c>
      <c r="Y7" s="281" t="s">
        <v>439</v>
      </c>
      <c r="Z7" s="281" t="s">
        <v>0</v>
      </c>
      <c r="AA7" s="281" t="s">
        <v>436</v>
      </c>
      <c r="AB7" s="281" t="s">
        <v>439</v>
      </c>
      <c r="AC7" s="281" t="s">
        <v>0</v>
      </c>
      <c r="AD7" s="281" t="s">
        <v>436</v>
      </c>
      <c r="AE7" s="281"/>
      <c r="AF7" s="290"/>
      <c r="AG7" s="290"/>
      <c r="AH7" s="290"/>
      <c r="AI7" s="299"/>
      <c r="AJ7" s="301"/>
      <c r="AK7" s="290"/>
      <c r="AL7" s="274"/>
      <c r="AM7" s="280"/>
      <c r="AN7" s="280"/>
      <c r="AO7" s="280"/>
      <c r="AP7" s="300"/>
      <c r="AQ7" s="281" t="s">
        <v>439</v>
      </c>
      <c r="AR7" s="281" t="s">
        <v>0</v>
      </c>
      <c r="AS7" s="281" t="s">
        <v>436</v>
      </c>
      <c r="AT7" s="281" t="s">
        <v>439</v>
      </c>
      <c r="AU7" s="281" t="s">
        <v>0</v>
      </c>
      <c r="AV7" s="281" t="s">
        <v>436</v>
      </c>
      <c r="AW7" s="281" t="s">
        <v>439</v>
      </c>
      <c r="AX7" s="281" t="s">
        <v>0</v>
      </c>
      <c r="AY7" s="281" t="s">
        <v>436</v>
      </c>
      <c r="AZ7" s="281"/>
      <c r="BA7" s="290"/>
      <c r="BB7" s="290"/>
      <c r="BC7" s="290"/>
      <c r="BD7" s="299"/>
      <c r="BE7" s="301"/>
      <c r="BF7" s="290"/>
      <c r="BG7" s="274"/>
      <c r="BH7" s="280"/>
      <c r="BI7" s="280"/>
      <c r="BJ7" s="280"/>
      <c r="BK7" s="300"/>
      <c r="BL7" s="281" t="s">
        <v>439</v>
      </c>
      <c r="BM7" s="281" t="s">
        <v>0</v>
      </c>
      <c r="BN7" s="281" t="s">
        <v>436</v>
      </c>
      <c r="BO7" s="281" t="s">
        <v>439</v>
      </c>
      <c r="BP7" s="281" t="s">
        <v>0</v>
      </c>
      <c r="BQ7" s="281" t="s">
        <v>436</v>
      </c>
      <c r="BR7" s="281" t="s">
        <v>439</v>
      </c>
      <c r="BS7" s="281" t="s">
        <v>0</v>
      </c>
      <c r="BT7" s="281" t="s">
        <v>436</v>
      </c>
      <c r="BU7" s="281"/>
      <c r="BV7" s="290"/>
      <c r="BW7" s="290"/>
      <c r="BX7" s="290"/>
      <c r="BY7" s="299"/>
      <c r="BZ7" s="301"/>
      <c r="CA7" s="290"/>
      <c r="CB7" s="274"/>
      <c r="CC7" s="280"/>
      <c r="CD7" s="280"/>
      <c r="CE7" s="280"/>
      <c r="CF7" s="300"/>
      <c r="CG7" s="281" t="s">
        <v>439</v>
      </c>
      <c r="CH7" s="281" t="s">
        <v>0</v>
      </c>
      <c r="CI7" s="281" t="s">
        <v>436</v>
      </c>
      <c r="CJ7" s="281" t="s">
        <v>439</v>
      </c>
      <c r="CK7" s="281" t="s">
        <v>0</v>
      </c>
      <c r="CL7" s="281" t="s">
        <v>436</v>
      </c>
      <c r="CM7" s="281" t="s">
        <v>439</v>
      </c>
      <c r="CN7" s="281" t="s">
        <v>0</v>
      </c>
      <c r="CO7" s="281" t="s">
        <v>436</v>
      </c>
      <c r="CP7" s="281"/>
      <c r="CQ7" s="290"/>
      <c r="CR7" s="290"/>
      <c r="CS7" s="290"/>
      <c r="CT7" s="299"/>
      <c r="CU7" s="301"/>
      <c r="CV7" s="290"/>
      <c r="CW7" s="256"/>
      <c r="CX7" s="280"/>
      <c r="CY7" s="280"/>
      <c r="CZ7" s="280"/>
      <c r="DA7" s="300"/>
      <c r="DB7" s="281" t="s">
        <v>439</v>
      </c>
      <c r="DC7" s="281" t="s">
        <v>0</v>
      </c>
      <c r="DD7" s="281" t="s">
        <v>436</v>
      </c>
      <c r="DE7" s="281" t="s">
        <v>439</v>
      </c>
      <c r="DF7" s="281" t="s">
        <v>0</v>
      </c>
      <c r="DG7" s="281" t="s">
        <v>436</v>
      </c>
      <c r="DH7" s="281" t="s">
        <v>439</v>
      </c>
      <c r="DI7" s="281" t="s">
        <v>0</v>
      </c>
      <c r="DJ7" s="281" t="s">
        <v>436</v>
      </c>
      <c r="DK7" s="281"/>
      <c r="DL7" s="290"/>
      <c r="DM7" s="290"/>
      <c r="DN7" s="290"/>
      <c r="DO7" s="299"/>
      <c r="DP7" s="301"/>
      <c r="DQ7" s="290"/>
    </row>
    <row r="8" spans="1:121">
      <c r="C8" s="302" t="s">
        <v>456</v>
      </c>
      <c r="D8" s="303" t="s">
        <v>457</v>
      </c>
      <c r="E8" s="304">
        <f t="shared" ref="E8:N8" ca="1" si="0">SUM(E9:E21)</f>
        <v>0</v>
      </c>
      <c r="F8" s="305">
        <f t="shared" ca="1" si="0"/>
        <v>388</v>
      </c>
      <c r="G8" s="306">
        <f t="shared" ca="1" si="0"/>
        <v>388</v>
      </c>
      <c r="H8" s="307">
        <f t="shared" ca="1" si="0"/>
        <v>329</v>
      </c>
      <c r="I8" s="307">
        <f t="shared" ca="1" si="0"/>
        <v>59</v>
      </c>
      <c r="J8" s="308">
        <f t="shared" ca="1" si="0"/>
        <v>0</v>
      </c>
      <c r="K8" s="309">
        <f t="shared" ca="1" si="0"/>
        <v>0</v>
      </c>
      <c r="L8" s="310">
        <f t="shared" ca="1" si="0"/>
        <v>0</v>
      </c>
      <c r="M8" s="307">
        <f t="shared" ca="1" si="0"/>
        <v>0</v>
      </c>
      <c r="N8" s="307">
        <f t="shared" ca="1" si="0"/>
        <v>0</v>
      </c>
      <c r="O8" s="311"/>
      <c r="P8" s="312"/>
      <c r="Q8" s="313"/>
      <c r="R8" s="314">
        <f>SUM(R9:R21)</f>
        <v>388</v>
      </c>
      <c r="S8" s="314">
        <f>SUM(S9:S21)</f>
        <v>329</v>
      </c>
      <c r="T8" s="314">
        <f>SUM(T9:T21)</f>
        <v>59</v>
      </c>
      <c r="U8" s="315">
        <f ca="1">IFERROR(V8/R8,"-")</f>
        <v>1</v>
      </c>
      <c r="V8" s="314">
        <f t="shared" ref="V8:AG8" ca="1" si="1">SUM(V9:V21)</f>
        <v>388</v>
      </c>
      <c r="W8" s="314">
        <f t="shared" ca="1" si="1"/>
        <v>383</v>
      </c>
      <c r="X8" s="316">
        <f t="shared" ca="1" si="1"/>
        <v>5</v>
      </c>
      <c r="Y8" s="314">
        <f t="shared" ca="1" si="1"/>
        <v>329</v>
      </c>
      <c r="Z8" s="314">
        <f t="shared" ca="1" si="1"/>
        <v>325</v>
      </c>
      <c r="AA8" s="316">
        <f t="shared" ca="1" si="1"/>
        <v>4</v>
      </c>
      <c r="AB8" s="314">
        <f t="shared" ca="1" si="1"/>
        <v>59</v>
      </c>
      <c r="AC8" s="314">
        <f t="shared" ca="1" si="1"/>
        <v>58</v>
      </c>
      <c r="AD8" s="316">
        <f t="shared" ca="1" si="1"/>
        <v>1</v>
      </c>
      <c r="AE8" s="314">
        <f t="shared" ca="1" si="1"/>
        <v>0</v>
      </c>
      <c r="AF8" s="314">
        <f t="shared" ca="1" si="1"/>
        <v>0</v>
      </c>
      <c r="AG8" s="314">
        <f t="shared" ca="1" si="1"/>
        <v>0</v>
      </c>
      <c r="AH8" s="302"/>
      <c r="AI8" s="302"/>
      <c r="AJ8" s="315"/>
      <c r="AK8" s="302"/>
      <c r="AL8" s="313"/>
      <c r="AM8" s="314">
        <f>SUM(AM9:AM21)</f>
        <v>388</v>
      </c>
      <c r="AN8" s="314">
        <f>SUM(AN9:AN21)</f>
        <v>329</v>
      </c>
      <c r="AO8" s="314">
        <f>SUM(AO9:AO21)</f>
        <v>59</v>
      </c>
      <c r="AP8" s="315">
        <f ca="1">IFERROR(AQ8/AM8,"-")</f>
        <v>1</v>
      </c>
      <c r="AQ8" s="314">
        <f t="shared" ref="AQ8:BB8" ca="1" si="2">SUM(AQ9:AQ21)</f>
        <v>388</v>
      </c>
      <c r="AR8" s="314">
        <f t="shared" ca="1" si="2"/>
        <v>384</v>
      </c>
      <c r="AS8" s="316">
        <f t="shared" ca="1" si="2"/>
        <v>4</v>
      </c>
      <c r="AT8" s="314">
        <f t="shared" ca="1" si="2"/>
        <v>329</v>
      </c>
      <c r="AU8" s="314">
        <f t="shared" ca="1" si="2"/>
        <v>325</v>
      </c>
      <c r="AV8" s="316">
        <f t="shared" ca="1" si="2"/>
        <v>4</v>
      </c>
      <c r="AW8" s="314">
        <f t="shared" ca="1" si="2"/>
        <v>59</v>
      </c>
      <c r="AX8" s="314">
        <f t="shared" ca="1" si="2"/>
        <v>59</v>
      </c>
      <c r="AY8" s="316">
        <f t="shared" ca="1" si="2"/>
        <v>0</v>
      </c>
      <c r="AZ8" s="314">
        <f t="shared" ca="1" si="2"/>
        <v>0</v>
      </c>
      <c r="BA8" s="314">
        <f t="shared" ca="1" si="2"/>
        <v>0</v>
      </c>
      <c r="BB8" s="314">
        <f t="shared" ca="1" si="2"/>
        <v>0</v>
      </c>
      <c r="BC8" s="302"/>
      <c r="BD8" s="302"/>
      <c r="BE8" s="315"/>
      <c r="BF8" s="302"/>
      <c r="BG8" s="313"/>
      <c r="BH8" s="314">
        <f>SUM(BH9:BH21)</f>
        <v>0</v>
      </c>
      <c r="BI8" s="314">
        <f>SUM(BI9:BI21)</f>
        <v>0</v>
      </c>
      <c r="BJ8" s="314">
        <f>SUM(BJ9:BJ21)</f>
        <v>0</v>
      </c>
      <c r="BK8" s="315" t="str">
        <f ca="1">IFERROR(BL8/BH8,"-")</f>
        <v>-</v>
      </c>
      <c r="BL8" s="314">
        <f t="shared" ref="BL8:BW8" ca="1" si="3">SUM(BL9:BL21)</f>
        <v>0</v>
      </c>
      <c r="BM8" s="314">
        <f t="shared" ca="1" si="3"/>
        <v>0</v>
      </c>
      <c r="BN8" s="316">
        <f t="shared" ca="1" si="3"/>
        <v>0</v>
      </c>
      <c r="BO8" s="314">
        <f t="shared" ca="1" si="3"/>
        <v>0</v>
      </c>
      <c r="BP8" s="314">
        <f t="shared" ca="1" si="3"/>
        <v>0</v>
      </c>
      <c r="BQ8" s="316">
        <f t="shared" ca="1" si="3"/>
        <v>0</v>
      </c>
      <c r="BR8" s="314">
        <f t="shared" ca="1" si="3"/>
        <v>0</v>
      </c>
      <c r="BS8" s="314">
        <f t="shared" ca="1" si="3"/>
        <v>0</v>
      </c>
      <c r="BT8" s="316">
        <f t="shared" ca="1" si="3"/>
        <v>0</v>
      </c>
      <c r="BU8" s="314">
        <f t="shared" ca="1" si="3"/>
        <v>0</v>
      </c>
      <c r="BV8" s="314">
        <f t="shared" ca="1" si="3"/>
        <v>0</v>
      </c>
      <c r="BW8" s="314">
        <f t="shared" ca="1" si="3"/>
        <v>0</v>
      </c>
      <c r="BX8" s="302"/>
      <c r="BY8" s="302"/>
      <c r="BZ8" s="315"/>
      <c r="CA8" s="302"/>
      <c r="CB8" s="313"/>
      <c r="CC8" s="314">
        <f>SUM(CC9:CC21)</f>
        <v>0</v>
      </c>
      <c r="CD8" s="314">
        <f>SUM(CD9:CD21)</f>
        <v>0</v>
      </c>
      <c r="CE8" s="314">
        <f>SUM(CE9:CE21)</f>
        <v>0</v>
      </c>
      <c r="CF8" s="315" t="str">
        <f ca="1">IFERROR(CG8/CC8,"-")</f>
        <v>-</v>
      </c>
      <c r="CG8" s="314">
        <f t="shared" ref="CG8:CR8" ca="1" si="4">SUM(CG9:CG21)</f>
        <v>0</v>
      </c>
      <c r="CH8" s="314">
        <f t="shared" ca="1" si="4"/>
        <v>0</v>
      </c>
      <c r="CI8" s="316">
        <f t="shared" ca="1" si="4"/>
        <v>0</v>
      </c>
      <c r="CJ8" s="314">
        <f t="shared" ca="1" si="4"/>
        <v>0</v>
      </c>
      <c r="CK8" s="314">
        <f t="shared" ca="1" si="4"/>
        <v>0</v>
      </c>
      <c r="CL8" s="316">
        <f t="shared" ca="1" si="4"/>
        <v>0</v>
      </c>
      <c r="CM8" s="314">
        <f t="shared" ca="1" si="4"/>
        <v>0</v>
      </c>
      <c r="CN8" s="314">
        <f t="shared" ca="1" si="4"/>
        <v>0</v>
      </c>
      <c r="CO8" s="316">
        <f t="shared" ca="1" si="4"/>
        <v>0</v>
      </c>
      <c r="CP8" s="314">
        <f t="shared" ca="1" si="4"/>
        <v>0</v>
      </c>
      <c r="CQ8" s="314">
        <f t="shared" ca="1" si="4"/>
        <v>0</v>
      </c>
      <c r="CR8" s="314">
        <f t="shared" ca="1" si="4"/>
        <v>0</v>
      </c>
      <c r="CS8" s="302"/>
      <c r="CT8" s="302"/>
      <c r="CU8" s="315"/>
      <c r="CV8" s="302"/>
      <c r="CW8" s="313"/>
      <c r="CX8" s="314">
        <f>SUM(CX9:CX21)</f>
        <v>0</v>
      </c>
      <c r="CY8" s="314">
        <f>SUM(CY9:CY21)</f>
        <v>0</v>
      </c>
      <c r="CZ8" s="314">
        <f>SUM(CZ9:CZ21)</f>
        <v>0</v>
      </c>
      <c r="DA8" s="315" t="str">
        <f ca="1">IFERROR(DB8/CX8,"-")</f>
        <v>-</v>
      </c>
      <c r="DB8" s="314">
        <f t="shared" ref="DB8:DM8" ca="1" si="5">SUM(DB9:DB21)</f>
        <v>0</v>
      </c>
      <c r="DC8" s="314">
        <f t="shared" ca="1" si="5"/>
        <v>0</v>
      </c>
      <c r="DD8" s="316">
        <f t="shared" ca="1" si="5"/>
        <v>0</v>
      </c>
      <c r="DE8" s="314">
        <f t="shared" ca="1" si="5"/>
        <v>0</v>
      </c>
      <c r="DF8" s="314">
        <f t="shared" ca="1" si="5"/>
        <v>0</v>
      </c>
      <c r="DG8" s="316">
        <f t="shared" ca="1" si="5"/>
        <v>0</v>
      </c>
      <c r="DH8" s="314">
        <f t="shared" ca="1" si="5"/>
        <v>0</v>
      </c>
      <c r="DI8" s="314">
        <f t="shared" ca="1" si="5"/>
        <v>0</v>
      </c>
      <c r="DJ8" s="316">
        <f t="shared" ca="1" si="5"/>
        <v>0</v>
      </c>
      <c r="DK8" s="314">
        <f t="shared" ca="1" si="5"/>
        <v>0</v>
      </c>
      <c r="DL8" s="314">
        <f t="shared" ca="1" si="5"/>
        <v>0</v>
      </c>
      <c r="DM8" s="314">
        <f t="shared" ca="1" si="5"/>
        <v>0</v>
      </c>
      <c r="DN8" s="302"/>
      <c r="DO8" s="302"/>
      <c r="DP8" s="315"/>
      <c r="DQ8" s="302"/>
    </row>
    <row r="9" spans="1:121" ht="45">
      <c r="C9" s="317" t="s">
        <v>458</v>
      </c>
      <c r="D9" s="318" t="s">
        <v>459</v>
      </c>
      <c r="E9" s="319">
        <f ca="1">INDIRECT("'"&amp;D9&amp;"'!"&amp;"C6")</f>
        <v>0</v>
      </c>
      <c r="F9" s="318">
        <f ca="1">G9-E9</f>
        <v>157</v>
      </c>
      <c r="G9" s="320">
        <f ca="1">INDIRECT("'"&amp;D9&amp;"'!"&amp;"C1")</f>
        <v>157</v>
      </c>
      <c r="H9" s="321">
        <f ca="1">INDIRECT("'"&amp;D9&amp;"'!"&amp;"C2")</f>
        <v>139</v>
      </c>
      <c r="I9" s="322">
        <f ca="1">G9-H9</f>
        <v>18</v>
      </c>
      <c r="J9" s="323">
        <f ca="1">SUM(K9:L9)</f>
        <v>0</v>
      </c>
      <c r="K9" s="324">
        <f ca="1">INDIRECT("'"&amp;D9&amp;"'!"&amp;"L5")</f>
        <v>0</v>
      </c>
      <c r="L9" s="325">
        <f ca="1">INDIRECT("'"&amp;D9&amp;"'!"&amp;"L6")</f>
        <v>0</v>
      </c>
      <c r="M9" s="326">
        <f ca="1">INDIRECT("'"&amp;D9&amp;"'!"&amp;"L7")</f>
        <v>0</v>
      </c>
      <c r="N9" s="327">
        <f ca="1">INDIRECT("'"&amp;D9&amp;"'!"&amp;"E3")</f>
        <v>0</v>
      </c>
      <c r="O9" s="327" t="str">
        <f ca="1">(IF(INDIRECT("'"&amp;D9&amp;"'!"&amp;"L3")=0,"-","-RVC="&amp;INDIRECT("'"&amp;D9&amp;"'!"&amp;"L3")&amp;"-"))&amp;IF(INDIRECT("'"&amp;D9&amp;"'!"&amp;"L4")=0,"-","-GCS="&amp;INDIRECT("'"&amp;D9&amp;"'!"&amp;"L4")&amp;"-")</f>
        <v>--</v>
      </c>
      <c r="P9" s="328"/>
      <c r="Q9" s="329" t="str">
        <f ca="1">INDIRECT(CONCATENATE("'",$D9,"'!$AN$12"))</f>
        <v>N</v>
      </c>
      <c r="R9" s="330">
        <f>SUM(S9:T9)</f>
        <v>157</v>
      </c>
      <c r="S9" s="331">
        <v>139</v>
      </c>
      <c r="T9" s="332">
        <v>18</v>
      </c>
      <c r="U9" s="333">
        <f ca="1">IFERROR(V9/R9,"-")</f>
        <v>1</v>
      </c>
      <c r="V9" s="334">
        <f ca="1">INDIRECT("'"&amp;D9&amp;"'!"&amp;"P3")</f>
        <v>157</v>
      </c>
      <c r="W9" s="334">
        <f ca="1">INDIRECT("'"&amp;D9&amp;"'!"&amp;"P4")</f>
        <v>152</v>
      </c>
      <c r="X9" s="335">
        <f ca="1">INDIRECT("'"&amp;D9&amp;"'!"&amp;"P5")</f>
        <v>5</v>
      </c>
      <c r="Y9" s="331">
        <f ca="1">INDIRECT("'"&amp;D9&amp;"'!"&amp;"Q3")</f>
        <v>139</v>
      </c>
      <c r="Z9" s="331">
        <f ca="1">INDIRECT("'"&amp;D9&amp;"'!"&amp;"Q4")</f>
        <v>135</v>
      </c>
      <c r="AA9" s="336">
        <f ca="1">INDIRECT("'"&amp;D9&amp;"'!"&amp;"Q5")</f>
        <v>4</v>
      </c>
      <c r="AB9" s="332">
        <f ca="1">INDIRECT("'"&amp;D9&amp;"'!"&amp;"R3")</f>
        <v>18</v>
      </c>
      <c r="AC9" s="332">
        <f ca="1">INDIRECT("'"&amp;D9&amp;"'!"&amp;"R4")</f>
        <v>17</v>
      </c>
      <c r="AD9" s="337">
        <f ca="1">INDIRECT("'"&amp;D9&amp;"'!"&amp;"R5")</f>
        <v>1</v>
      </c>
      <c r="AE9" s="338">
        <f ca="1">INDIRECT("'"&amp;D9&amp;"'!"&amp;"P10")</f>
        <v>0</v>
      </c>
      <c r="AF9" s="339">
        <f ca="1">INDIRECT("'"&amp;D9&amp;"'!"&amp;"Q10")</f>
        <v>0</v>
      </c>
      <c r="AG9" s="332">
        <f ca="1">INDIRECT("'"&amp;D9&amp;"'!"&amp;"R10")</f>
        <v>0</v>
      </c>
      <c r="AH9" s="327"/>
      <c r="AI9" s="327" t="str">
        <f ca="1">(IF(INDIRECT("'"&amp;D9&amp;"'!"&amp;"P1")=0,"-","-RVC="&amp;INDIRECT("'"&amp;D9&amp;"'!"&amp;"P1")))&amp;IF(INDIRECT("'"&amp;D9&amp;"'!"&amp;"R1")=0,"-","-GCS="&amp;INDIRECT("'"&amp;D9&amp;"'!"&amp;"R1"))</f>
        <v>--GCS=157</v>
      </c>
      <c r="AJ9" s="333" t="s">
        <v>1311</v>
      </c>
      <c r="AK9" s="327" t="s">
        <v>895</v>
      </c>
      <c r="AL9" s="329" t="str">
        <f ca="1">INDIRECT(CONCATENATE("'",$D9,"'!$AR$3"))</f>
        <v>E</v>
      </c>
      <c r="AM9" s="330">
        <f>SUM(AN9:AO9)</f>
        <v>157</v>
      </c>
      <c r="AN9" s="331">
        <v>139</v>
      </c>
      <c r="AO9" s="332">
        <v>18</v>
      </c>
      <c r="AP9" s="333">
        <f ca="1">IFERROR(AQ9/AM9,"-")</f>
        <v>1</v>
      </c>
      <c r="AQ9" s="330">
        <f ca="1">INDIRECT("'"&amp;D9&amp;"'!"&amp;"T3")</f>
        <v>157</v>
      </c>
      <c r="AR9" s="330">
        <f ca="1">INDIRECT("'"&amp;D9&amp;"'!"&amp;"T4")</f>
        <v>153</v>
      </c>
      <c r="AS9" s="340">
        <f ca="1">INDIRECT("'"&amp;D9&amp;"'!"&amp;"T5")</f>
        <v>4</v>
      </c>
      <c r="AT9" s="331">
        <f ca="1">INDIRECT("'"&amp;D9&amp;"'!"&amp;"U3")</f>
        <v>139</v>
      </c>
      <c r="AU9" s="331">
        <f ca="1">INDIRECT("'"&amp;D9&amp;"'!"&amp;"U4")</f>
        <v>135</v>
      </c>
      <c r="AV9" s="336">
        <f ca="1">INDIRECT("'"&amp;D9&amp;"'!"&amp;"U5")</f>
        <v>4</v>
      </c>
      <c r="AW9" s="332">
        <f ca="1">INDIRECT("'"&amp;D9&amp;"'!"&amp;"V3")</f>
        <v>18</v>
      </c>
      <c r="AX9" s="332">
        <f ca="1">INDIRECT("'"&amp;D9&amp;"'!"&amp;"V4")</f>
        <v>18</v>
      </c>
      <c r="AY9" s="337">
        <f ca="1">INDIRECT("'"&amp;D9&amp;"'!"&amp;"V5")</f>
        <v>0</v>
      </c>
      <c r="AZ9" s="341">
        <f ca="1">INDIRECT("'"&amp;D9&amp;"'!"&amp;"T10")</f>
        <v>0</v>
      </c>
      <c r="BA9" s="339">
        <f ca="1">INDIRECT("'"&amp;D9&amp;"'!"&amp;"U10")</f>
        <v>0</v>
      </c>
      <c r="BB9" s="332">
        <f ca="1">INDIRECT("'"&amp;D9&amp;"'!"&amp;"V10")</f>
        <v>0</v>
      </c>
      <c r="BC9" s="327" t="s">
        <v>1220</v>
      </c>
      <c r="BD9" s="327" t="str">
        <f ca="1">(IF(INDIRECT("'"&amp;D9&amp;"'!"&amp;"T1")=0,"-","-RVC="&amp;INDIRECT("'"&amp;D9&amp;"'!"&amp;"T1")))&amp;IF(INDIRECT("'"&amp;D9&amp;"'!"&amp;"V1")=0,"-","-GCS="&amp;INDIRECT("'"&amp;D9&amp;"'!"&amp;"V1"))</f>
        <v>--GCS=157</v>
      </c>
      <c r="BE9" s="333" t="s">
        <v>1247</v>
      </c>
      <c r="BF9" s="327" t="s">
        <v>895</v>
      </c>
      <c r="BG9" s="329" t="str">
        <f ca="1">INDIRECT(CONCATENATE("'",$D9,"'!$AR$4"))</f>
        <v>E</v>
      </c>
      <c r="BH9" s="330">
        <f>SUM(BI9:BJ9)</f>
        <v>0</v>
      </c>
      <c r="BI9" s="331"/>
      <c r="BJ9" s="332"/>
      <c r="BK9" s="333" t="str">
        <f ca="1">IFERROR(BL9/BH9,"-")</f>
        <v>-</v>
      </c>
      <c r="BL9" s="330">
        <f ca="1">INDIRECT("'"&amp;D9&amp;"'!"&amp;"X3")</f>
        <v>0</v>
      </c>
      <c r="BM9" s="330">
        <f ca="1">INDIRECT("'"&amp;D9&amp;"'!"&amp;"X4")</f>
        <v>0</v>
      </c>
      <c r="BN9" s="340">
        <f ca="1">INDIRECT("'"&amp;D9&amp;"'!"&amp;"X5")</f>
        <v>0</v>
      </c>
      <c r="BO9" s="331">
        <f ca="1">INDIRECT("'"&amp;D9&amp;"'!"&amp;"Y3")</f>
        <v>0</v>
      </c>
      <c r="BP9" s="331">
        <f ca="1">INDIRECT("'"&amp;D9&amp;"'!"&amp;"Y4")</f>
        <v>0</v>
      </c>
      <c r="BQ9" s="336">
        <f ca="1">INDIRECT("'"&amp;D9&amp;"'!"&amp;"Y5")</f>
        <v>0</v>
      </c>
      <c r="BR9" s="332">
        <f ca="1">INDIRECT("'"&amp;D9&amp;"'!"&amp;"Z3")</f>
        <v>0</v>
      </c>
      <c r="BS9" s="332">
        <f ca="1">INDIRECT("'"&amp;D9&amp;"'!"&amp;"Z4")</f>
        <v>0</v>
      </c>
      <c r="BT9" s="337">
        <f ca="1">INDIRECT("'"&amp;D9&amp;"'!"&amp;"Z5")</f>
        <v>0</v>
      </c>
      <c r="BU9" s="341">
        <f ca="1">INDIRECT("'"&amp;D9&amp;"'!"&amp;"X10")</f>
        <v>0</v>
      </c>
      <c r="BV9" s="339">
        <f ca="1">INDIRECT("'"&amp;D9&amp;"'!"&amp;"Y10")</f>
        <v>0</v>
      </c>
      <c r="BW9" s="332">
        <f ca="1">INDIRECT("'"&amp;D9&amp;"'!"&amp;"Z10")</f>
        <v>0</v>
      </c>
      <c r="BX9" s="327"/>
      <c r="BY9" s="327" t="str">
        <f ca="1">(IF(INDIRECT("'"&amp;D9&amp;"'!"&amp;"V1")=0,"-","-RVC="&amp;INDIRECT("'"&amp;D9&amp;"'!"&amp;"V1")))&amp;IF(INDIRECT("'"&amp;D9&amp;"'!"&amp;"X1")=0,"-","-GCS="&amp;INDIRECT("'"&amp;D9&amp;"'!"&amp;"X1"))</f>
        <v>-RVC=157-</v>
      </c>
      <c r="BZ9" s="333"/>
      <c r="CA9" s="327"/>
      <c r="CB9" s="329" t="str">
        <f ca="1">INDIRECT(CONCATENATE("'",$D9,"'!$AR$5"))</f>
        <v>NOT-YET</v>
      </c>
      <c r="CC9" s="330">
        <f>SUM(CD9:CE9)</f>
        <v>0</v>
      </c>
      <c r="CD9" s="331"/>
      <c r="CE9" s="332"/>
      <c r="CF9" s="333" t="str">
        <f ca="1">IFERROR(CG9/CC9,"-")</f>
        <v>-</v>
      </c>
      <c r="CG9" s="330">
        <f ca="1">INDIRECT("'"&amp;D9&amp;"'!"&amp;"AB3")</f>
        <v>0</v>
      </c>
      <c r="CH9" s="330">
        <f ca="1">INDIRECT("'"&amp;D9&amp;"'!"&amp;"AB4")</f>
        <v>0</v>
      </c>
      <c r="CI9" s="340">
        <f ca="1">INDIRECT("'"&amp;D9&amp;"'!"&amp;"AB5")</f>
        <v>0</v>
      </c>
      <c r="CJ9" s="331">
        <f ca="1">INDIRECT("'"&amp;D9&amp;"'!"&amp;"AC3")</f>
        <v>0</v>
      </c>
      <c r="CK9" s="331">
        <f ca="1">INDIRECT("'"&amp;D9&amp;"'!"&amp;"AC4")</f>
        <v>0</v>
      </c>
      <c r="CL9" s="336">
        <f ca="1">INDIRECT("'"&amp;D9&amp;"'!"&amp;"AC5")</f>
        <v>0</v>
      </c>
      <c r="CM9" s="332">
        <f ca="1">INDIRECT("'"&amp;D9&amp;"'!"&amp;"AD3")</f>
        <v>0</v>
      </c>
      <c r="CN9" s="332">
        <f ca="1">INDIRECT("'"&amp;D9&amp;"'!"&amp;"AD4")</f>
        <v>0</v>
      </c>
      <c r="CO9" s="337">
        <f ca="1">INDIRECT("'"&amp;D9&amp;"'!"&amp;"AD5")</f>
        <v>0</v>
      </c>
      <c r="CP9" s="341">
        <f ca="1">INDIRECT("'"&amp;D9&amp;"'!"&amp;"AB10")</f>
        <v>0</v>
      </c>
      <c r="CQ9" s="339">
        <f ca="1">INDIRECT("'"&amp;D9&amp;"'!"&amp;"AC10")</f>
        <v>0</v>
      </c>
      <c r="CR9" s="332">
        <f ca="1">INDIRECT("'"&amp;D9&amp;"'!"&amp;"AD10")</f>
        <v>0</v>
      </c>
      <c r="CS9" s="327"/>
      <c r="CT9" s="327" t="str">
        <f ca="1">(IF(INDIRECT("'"&amp;D9&amp;"'!"&amp;"Z1")=0,"-","-RVC="&amp;INDIRECT("'"&amp;D9&amp;"'!"&amp;"Z1")))&amp;IF(INDIRECT("'"&amp;D9&amp;"'!"&amp;"AB1")=0,"-","-GCS="&amp;INDIRECT("'"&amp;D9&amp;"'!"&amp;"AB1"))</f>
        <v>--</v>
      </c>
      <c r="CU9" s="333"/>
      <c r="CV9" s="327"/>
      <c r="CW9" s="256"/>
      <c r="CX9" s="330">
        <f>SUM(CY9:CZ9)</f>
        <v>0</v>
      </c>
      <c r="CY9" s="331"/>
      <c r="CZ9" s="332"/>
      <c r="DA9" s="333" t="str">
        <f ca="1">IFERROR(DB9/CX9,"-")</f>
        <v>-</v>
      </c>
      <c r="DB9" s="330">
        <f ca="1">INDIRECT("'"&amp;D9&amp;"'!"&amp;"AF3")</f>
        <v>0</v>
      </c>
      <c r="DC9" s="330">
        <f ca="1">INDIRECT("'"&amp;D9&amp;"'!"&amp;"AF4")</f>
        <v>0</v>
      </c>
      <c r="DD9" s="340">
        <f ca="1">INDIRECT("'"&amp;D9&amp;"'!"&amp;"AF5")</f>
        <v>0</v>
      </c>
      <c r="DE9" s="331">
        <f ca="1">INDIRECT("'"&amp;D9&amp;"'!"&amp;"AG3")</f>
        <v>0</v>
      </c>
      <c r="DF9" s="331">
        <f ca="1">INDIRECT("'"&amp;D9&amp;"'!"&amp;"AG4")</f>
        <v>0</v>
      </c>
      <c r="DG9" s="336">
        <f ca="1">INDIRECT("'"&amp;D9&amp;"'!"&amp;"AG5")</f>
        <v>0</v>
      </c>
      <c r="DH9" s="332">
        <f ca="1">INDIRECT("'"&amp;D9&amp;"'!"&amp;"AH3")</f>
        <v>0</v>
      </c>
      <c r="DI9" s="332">
        <f ca="1">INDIRECT("'"&amp;D9&amp;"'!"&amp;"AH4")</f>
        <v>0</v>
      </c>
      <c r="DJ9" s="337">
        <f ca="1">INDIRECT("'"&amp;D9&amp;"'!"&amp;"AH5")</f>
        <v>0</v>
      </c>
      <c r="DK9" s="341">
        <f ca="1">INDIRECT("'"&amp;D9&amp;"'!"&amp;"AF10")</f>
        <v>0</v>
      </c>
      <c r="DL9" s="339">
        <f ca="1">INDIRECT("'"&amp;D9&amp;"'!"&amp;"AG10")</f>
        <v>0</v>
      </c>
      <c r="DM9" s="332">
        <f ca="1">INDIRECT("'"&amp;D9&amp;"'!"&amp;"AH10")</f>
        <v>0</v>
      </c>
      <c r="DN9" s="327"/>
      <c r="DO9" s="327" t="str">
        <f ca="1">(IF(INDIRECT("'"&amp;D9&amp;"'!"&amp;"AD1")=0,"-","-RVC="&amp;INDIRECT("'"&amp;D9&amp;"'!"&amp;"AD1")))&amp;IF(INDIRECT("'"&amp;D9&amp;"'!"&amp;"AF1")=0,"-","-GCS="&amp;INDIRECT("'"&amp;D9&amp;"'!"&amp;"AF1"))</f>
        <v>--</v>
      </c>
      <c r="DP9" s="333"/>
      <c r="DQ9" s="327"/>
    </row>
    <row r="10" spans="1:121" ht="45">
      <c r="C10" s="317" t="s">
        <v>458</v>
      </c>
      <c r="D10" s="318" t="s">
        <v>460</v>
      </c>
      <c r="E10" s="319">
        <f ca="1">INDIRECT("'"&amp;D10&amp;"'!"&amp;"C6")</f>
        <v>0</v>
      </c>
      <c r="F10" s="318">
        <f ca="1">G10-E10</f>
        <v>110</v>
      </c>
      <c r="G10" s="320">
        <f ca="1">INDIRECT("'"&amp;D10&amp;"'!"&amp;"C1")</f>
        <v>110</v>
      </c>
      <c r="H10" s="321">
        <f ca="1">INDIRECT("'"&amp;D10&amp;"'!"&amp;"C2")</f>
        <v>109</v>
      </c>
      <c r="I10" s="322">
        <f ca="1">G10-H10</f>
        <v>1</v>
      </c>
      <c r="J10" s="323">
        <f t="shared" ref="J10:J11" ca="1" si="6">SUM(K10:L10)</f>
        <v>0</v>
      </c>
      <c r="K10" s="324">
        <f t="shared" ref="K10:K11" ca="1" si="7">COUNTIFS(INDIRECT("'"&amp;D10&amp;"'!"&amp;"$K$15:$K$1000"),"*Pass*")</f>
        <v>0</v>
      </c>
      <c r="L10" s="325">
        <f t="shared" ref="L10:L11" ca="1" si="8">COUNTIFS(INDIRECT("'"&amp;D10&amp;"'!"&amp;"$K$15:$K$1000"),"*Fail*")</f>
        <v>0</v>
      </c>
      <c r="M10" s="326">
        <f t="shared" ref="M10:M11" ca="1" si="9">COUNTIFS(INDIRECT("'"&amp;D10&amp;"'!"&amp;"$K$15:$K$1000"),"*skip*")</f>
        <v>0</v>
      </c>
      <c r="N10" s="327">
        <f ca="1">INDIRECT("'"&amp;D10&amp;"'!"&amp;"E3")</f>
        <v>0</v>
      </c>
      <c r="O10" s="327" t="str">
        <f ca="1">(IF(INDIRECT("'"&amp;D10&amp;"'!"&amp;"L3")=0,"-","-RVC="&amp;INDIRECT("'"&amp;D10&amp;"'!"&amp;"L3")&amp;"-"))&amp;IF(INDIRECT("'"&amp;D10&amp;"'!"&amp;"L4")=0,"-","-GCS="&amp;INDIRECT("'"&amp;D10&amp;"'!"&amp;"L4")&amp;"-")</f>
        <v>--</v>
      </c>
      <c r="P10" s="328"/>
      <c r="Q10" s="329" t="str">
        <f t="shared" ref="Q10:Q14" ca="1" si="10">INDIRECT(CONCATENATE("'",$D10,"'!$AN$12"))</f>
        <v>N</v>
      </c>
      <c r="R10" s="330">
        <f t="shared" ref="R10:R14" si="11">SUM(S10:T10)</f>
        <v>110</v>
      </c>
      <c r="S10" s="331">
        <v>109</v>
      </c>
      <c r="T10" s="332">
        <v>1</v>
      </c>
      <c r="U10" s="333">
        <f t="shared" ref="U10:U14" ca="1" si="12">IFERROR(V10/R10,"-")</f>
        <v>1</v>
      </c>
      <c r="V10" s="334">
        <f t="shared" ref="V10:V14" ca="1" si="13">INDIRECT("'"&amp;D10&amp;"'!"&amp;"P3")</f>
        <v>110</v>
      </c>
      <c r="W10" s="334">
        <f t="shared" ref="W10:W14" ca="1" si="14">INDIRECT("'"&amp;D10&amp;"'!"&amp;"P4")</f>
        <v>110</v>
      </c>
      <c r="X10" s="335">
        <f t="shared" ref="X10:X14" ca="1" si="15">INDIRECT("'"&amp;D10&amp;"'!"&amp;"P5")</f>
        <v>0</v>
      </c>
      <c r="Y10" s="331">
        <f t="shared" ref="Y10:Y14" ca="1" si="16">INDIRECT("'"&amp;D10&amp;"'!"&amp;"Q3")</f>
        <v>109</v>
      </c>
      <c r="Z10" s="331">
        <f t="shared" ref="Z10:Z14" ca="1" si="17">INDIRECT("'"&amp;D10&amp;"'!"&amp;"Q4")</f>
        <v>109</v>
      </c>
      <c r="AA10" s="336">
        <f t="shared" ref="AA10:AA14" ca="1" si="18">INDIRECT("'"&amp;D10&amp;"'!"&amp;"Q5")</f>
        <v>0</v>
      </c>
      <c r="AB10" s="332">
        <f t="shared" ref="AB10:AB14" ca="1" si="19">INDIRECT("'"&amp;D10&amp;"'!"&amp;"R3")</f>
        <v>1</v>
      </c>
      <c r="AC10" s="332">
        <f t="shared" ref="AC10:AC14" ca="1" si="20">INDIRECT("'"&amp;D10&amp;"'!"&amp;"R4")</f>
        <v>1</v>
      </c>
      <c r="AD10" s="337">
        <f t="shared" ref="AD10:AD14" ca="1" si="21">INDIRECT("'"&amp;D10&amp;"'!"&amp;"R5")</f>
        <v>0</v>
      </c>
      <c r="AE10" s="338">
        <f t="shared" ref="AE10:AE14" ca="1" si="22">INDIRECT("'"&amp;D10&amp;"'!"&amp;"P10")</f>
        <v>0</v>
      </c>
      <c r="AF10" s="339">
        <f t="shared" ref="AF10:AF14" ca="1" si="23">INDIRECT("'"&amp;D10&amp;"'!"&amp;"Q10")</f>
        <v>0</v>
      </c>
      <c r="AG10" s="332">
        <f t="shared" ref="AG10:AG14" ca="1" si="24">INDIRECT("'"&amp;D10&amp;"'!"&amp;"R10")</f>
        <v>0</v>
      </c>
      <c r="AH10" s="327"/>
      <c r="AI10" s="327" t="str">
        <f t="shared" ref="AI10:AI14" ca="1" si="25">(IF(INDIRECT("'"&amp;D10&amp;"'!"&amp;"P1")=0,"-","-RVC="&amp;INDIRECT("'"&amp;D10&amp;"'!"&amp;"P1")))&amp;IF(INDIRECT("'"&amp;D10&amp;"'!"&amp;"R1")=0,"-","-GCS="&amp;INDIRECT("'"&amp;D10&amp;"'!"&amp;"R1"))</f>
        <v>--GCS=110</v>
      </c>
      <c r="AJ10" s="333"/>
      <c r="AK10" s="327" t="s">
        <v>895</v>
      </c>
      <c r="AL10" s="329" t="str">
        <f t="shared" ref="AL10:AL14" ca="1" si="26">INDIRECT(CONCATENATE("'",$D10,"'!$AR$3"))</f>
        <v>NOT-YET</v>
      </c>
      <c r="AM10" s="330">
        <f t="shared" ref="AM10:AM14" si="27">SUM(AN10:AO10)</f>
        <v>110</v>
      </c>
      <c r="AN10" s="331">
        <v>109</v>
      </c>
      <c r="AO10" s="332">
        <v>1</v>
      </c>
      <c r="AP10" s="333">
        <f t="shared" ref="AP10:AP14" ca="1" si="28">IFERROR(AQ10/AM10,"-")</f>
        <v>1</v>
      </c>
      <c r="AQ10" s="330">
        <f t="shared" ref="AQ10:AQ14" ca="1" si="29">INDIRECT("'"&amp;D10&amp;"'!"&amp;"T3")</f>
        <v>110</v>
      </c>
      <c r="AR10" s="330">
        <f t="shared" ref="AR10:AR14" ca="1" si="30">INDIRECT("'"&amp;D10&amp;"'!"&amp;"T4")</f>
        <v>110</v>
      </c>
      <c r="AS10" s="340">
        <f t="shared" ref="AS10:AS14" ca="1" si="31">INDIRECT("'"&amp;D10&amp;"'!"&amp;"T5")</f>
        <v>0</v>
      </c>
      <c r="AT10" s="331">
        <f t="shared" ref="AT10:AT14" ca="1" si="32">INDIRECT("'"&amp;D10&amp;"'!"&amp;"U3")</f>
        <v>109</v>
      </c>
      <c r="AU10" s="331">
        <f t="shared" ref="AU10:AU14" ca="1" si="33">INDIRECT("'"&amp;D10&amp;"'!"&amp;"U4")</f>
        <v>109</v>
      </c>
      <c r="AV10" s="336">
        <f t="shared" ref="AV10:AV14" ca="1" si="34">INDIRECT("'"&amp;D10&amp;"'!"&amp;"U5")</f>
        <v>0</v>
      </c>
      <c r="AW10" s="332">
        <f t="shared" ref="AW10:AW14" ca="1" si="35">INDIRECT("'"&amp;D10&amp;"'!"&amp;"V3")</f>
        <v>1</v>
      </c>
      <c r="AX10" s="332">
        <f t="shared" ref="AX10:AX14" ca="1" si="36">INDIRECT("'"&amp;D10&amp;"'!"&amp;"V4")</f>
        <v>1</v>
      </c>
      <c r="AY10" s="337">
        <f t="shared" ref="AY10:AY14" ca="1" si="37">INDIRECT("'"&amp;D10&amp;"'!"&amp;"V5")</f>
        <v>0</v>
      </c>
      <c r="AZ10" s="341">
        <f t="shared" ref="AZ10:AZ14" ca="1" si="38">INDIRECT("'"&amp;D10&amp;"'!"&amp;"T10")</f>
        <v>0</v>
      </c>
      <c r="BA10" s="339">
        <f t="shared" ref="BA10:BA14" ca="1" si="39">INDIRECT("'"&amp;D10&amp;"'!"&amp;"U10")</f>
        <v>0</v>
      </c>
      <c r="BB10" s="332">
        <f t="shared" ref="BB10:BB14" ca="1" si="40">INDIRECT("'"&amp;D10&amp;"'!"&amp;"V10")</f>
        <v>0</v>
      </c>
      <c r="BC10" s="327" t="s">
        <v>1220</v>
      </c>
      <c r="BD10" s="327" t="str">
        <f t="shared" ref="BD10:BD14" ca="1" si="41">(IF(INDIRECT("'"&amp;D10&amp;"'!"&amp;"T1")=0,"-","-RVC="&amp;INDIRECT("'"&amp;D10&amp;"'!"&amp;"T1")))&amp;IF(INDIRECT("'"&amp;D10&amp;"'!"&amp;"V1")=0,"-","-GCS="&amp;INDIRECT("'"&amp;D10&amp;"'!"&amp;"V1"))</f>
        <v>--GCS=110</v>
      </c>
      <c r="BE10" s="333"/>
      <c r="BF10" s="327" t="s">
        <v>895</v>
      </c>
      <c r="BG10" s="329" t="str">
        <f t="shared" ref="BG10:BG14" ca="1" si="42">INDIRECT(CONCATENATE("'",$D10,"'!$AR$4"))</f>
        <v>NOT-YET</v>
      </c>
      <c r="BH10" s="330">
        <f t="shared" ref="BH10:BH14" si="43">SUM(BI10:BJ10)</f>
        <v>0</v>
      </c>
      <c r="BI10" s="331"/>
      <c r="BJ10" s="332"/>
      <c r="BK10" s="333" t="str">
        <f t="shared" ref="BK10:BK14" ca="1" si="44">IFERROR(BL10/BH10,"-")</f>
        <v>-</v>
      </c>
      <c r="BL10" s="330">
        <f t="shared" ref="BL10:BL14" ca="1" si="45">INDIRECT("'"&amp;D10&amp;"'!"&amp;"X3")</f>
        <v>0</v>
      </c>
      <c r="BM10" s="330">
        <f t="shared" ref="BM10:BM14" ca="1" si="46">INDIRECT("'"&amp;D10&amp;"'!"&amp;"X4")</f>
        <v>0</v>
      </c>
      <c r="BN10" s="340">
        <f t="shared" ref="BN10:BN14" ca="1" si="47">INDIRECT("'"&amp;D10&amp;"'!"&amp;"X5")</f>
        <v>0</v>
      </c>
      <c r="BO10" s="331">
        <f t="shared" ref="BO10:BO14" ca="1" si="48">INDIRECT("'"&amp;D10&amp;"'!"&amp;"Y3")</f>
        <v>0</v>
      </c>
      <c r="BP10" s="331">
        <f t="shared" ref="BP10:BP14" ca="1" si="49">INDIRECT("'"&amp;D10&amp;"'!"&amp;"Y4")</f>
        <v>0</v>
      </c>
      <c r="BQ10" s="336">
        <f t="shared" ref="BQ10:BQ14" ca="1" si="50">INDIRECT("'"&amp;D10&amp;"'!"&amp;"Y5")</f>
        <v>0</v>
      </c>
      <c r="BR10" s="332">
        <f t="shared" ref="BR10:BR14" ca="1" si="51">INDIRECT("'"&amp;D10&amp;"'!"&amp;"Z3")</f>
        <v>0</v>
      </c>
      <c r="BS10" s="332">
        <f t="shared" ref="BS10:BS14" ca="1" si="52">INDIRECT("'"&amp;D10&amp;"'!"&amp;"Z4")</f>
        <v>0</v>
      </c>
      <c r="BT10" s="337">
        <f t="shared" ref="BT10:BT14" ca="1" si="53">INDIRECT("'"&amp;D10&amp;"'!"&amp;"Z5")</f>
        <v>0</v>
      </c>
      <c r="BU10" s="341">
        <f t="shared" ref="BU10:BU14" ca="1" si="54">INDIRECT("'"&amp;D10&amp;"'!"&amp;"X10")</f>
        <v>0</v>
      </c>
      <c r="BV10" s="339">
        <f t="shared" ref="BV10:BV14" ca="1" si="55">INDIRECT("'"&amp;D10&amp;"'!"&amp;"Y10")</f>
        <v>0</v>
      </c>
      <c r="BW10" s="332">
        <f t="shared" ref="BW10:BW14" ca="1" si="56">INDIRECT("'"&amp;D10&amp;"'!"&amp;"Z10")</f>
        <v>0</v>
      </c>
      <c r="BX10" s="327"/>
      <c r="BY10" s="327" t="str">
        <f t="shared" ref="BY10:BY14" ca="1" si="57">(IF(INDIRECT("'"&amp;D10&amp;"'!"&amp;"V1")=0,"-","-RVC="&amp;INDIRECT("'"&amp;D10&amp;"'!"&amp;"V1")))&amp;IF(INDIRECT("'"&amp;D10&amp;"'!"&amp;"X1")=0,"-","-GCS="&amp;INDIRECT("'"&amp;D10&amp;"'!"&amp;"X1"))</f>
        <v>-RVC=110-</v>
      </c>
      <c r="BZ10" s="333"/>
      <c r="CA10" s="327"/>
      <c r="CB10" s="329" t="str">
        <f t="shared" ref="CB10:CB14" ca="1" si="58">INDIRECT(CONCATENATE("'",$D10,"'!$AR$5"))</f>
        <v>NOT-YET</v>
      </c>
      <c r="CC10" s="330">
        <f t="shared" ref="CC10:CC14" si="59">SUM(CD10:CE10)</f>
        <v>0</v>
      </c>
      <c r="CD10" s="331"/>
      <c r="CE10" s="332"/>
      <c r="CF10" s="333" t="str">
        <f t="shared" ref="CF10:CF14" ca="1" si="60">IFERROR(CG10/CC10,"-")</f>
        <v>-</v>
      </c>
      <c r="CG10" s="330">
        <f t="shared" ref="CG10:CG14" ca="1" si="61">INDIRECT("'"&amp;D10&amp;"'!"&amp;"AB3")</f>
        <v>0</v>
      </c>
      <c r="CH10" s="330">
        <f t="shared" ref="CH10:CH14" ca="1" si="62">INDIRECT("'"&amp;D10&amp;"'!"&amp;"AB4")</f>
        <v>0</v>
      </c>
      <c r="CI10" s="340">
        <f t="shared" ref="CI10:CI14" ca="1" si="63">INDIRECT("'"&amp;D10&amp;"'!"&amp;"AB5")</f>
        <v>0</v>
      </c>
      <c r="CJ10" s="331">
        <f t="shared" ref="CJ10:CJ14" ca="1" si="64">INDIRECT("'"&amp;D10&amp;"'!"&amp;"AC3")</f>
        <v>0</v>
      </c>
      <c r="CK10" s="331">
        <f t="shared" ref="CK10:CK14" ca="1" si="65">INDIRECT("'"&amp;D10&amp;"'!"&amp;"AC4")</f>
        <v>0</v>
      </c>
      <c r="CL10" s="336">
        <f t="shared" ref="CL10:CL14" ca="1" si="66">INDIRECT("'"&amp;D10&amp;"'!"&amp;"AC5")</f>
        <v>0</v>
      </c>
      <c r="CM10" s="332">
        <f t="shared" ref="CM10:CM14" ca="1" si="67">INDIRECT("'"&amp;D10&amp;"'!"&amp;"AD3")</f>
        <v>0</v>
      </c>
      <c r="CN10" s="332">
        <f t="shared" ref="CN10:CN14" ca="1" si="68">INDIRECT("'"&amp;D10&amp;"'!"&amp;"AD4")</f>
        <v>0</v>
      </c>
      <c r="CO10" s="337">
        <f t="shared" ref="CO10:CO14" ca="1" si="69">INDIRECT("'"&amp;D10&amp;"'!"&amp;"AD5")</f>
        <v>0</v>
      </c>
      <c r="CP10" s="341">
        <f t="shared" ref="CP10:CP14" ca="1" si="70">INDIRECT("'"&amp;D10&amp;"'!"&amp;"AB10")</f>
        <v>0</v>
      </c>
      <c r="CQ10" s="339">
        <f t="shared" ref="CQ10:CQ14" ca="1" si="71">INDIRECT("'"&amp;D10&amp;"'!"&amp;"AC10")</f>
        <v>0</v>
      </c>
      <c r="CR10" s="332">
        <f t="shared" ref="CR10:CR14" ca="1" si="72">INDIRECT("'"&amp;D10&amp;"'!"&amp;"AD10")</f>
        <v>0</v>
      </c>
      <c r="CS10" s="327"/>
      <c r="CT10" s="327" t="str">
        <f t="shared" ref="CT10:CT14" ca="1" si="73">(IF(INDIRECT("'"&amp;D10&amp;"'!"&amp;"Z1")=0,"-","-RVC="&amp;INDIRECT("'"&amp;D10&amp;"'!"&amp;"Z1")))&amp;IF(INDIRECT("'"&amp;D10&amp;"'!"&amp;"AB1")=0,"-","-GCS="&amp;INDIRECT("'"&amp;D10&amp;"'!"&amp;"AB1"))</f>
        <v>--</v>
      </c>
      <c r="CU10" s="333"/>
      <c r="CV10" s="327"/>
      <c r="CW10" s="256"/>
      <c r="CX10" s="330">
        <f t="shared" ref="CX10:CX14" si="74">SUM(CY10:CZ10)</f>
        <v>0</v>
      </c>
      <c r="CY10" s="331"/>
      <c r="CZ10" s="332"/>
      <c r="DA10" s="333" t="str">
        <f t="shared" ref="DA10:DA14" ca="1" si="75">IFERROR(DB10/CX10,"-")</f>
        <v>-</v>
      </c>
      <c r="DB10" s="330">
        <f t="shared" ref="DB10:DB14" ca="1" si="76">INDIRECT("'"&amp;D10&amp;"'!"&amp;"AF3")</f>
        <v>0</v>
      </c>
      <c r="DC10" s="330">
        <f t="shared" ref="DC10:DC14" ca="1" si="77">INDIRECT("'"&amp;D10&amp;"'!"&amp;"AF4")</f>
        <v>0</v>
      </c>
      <c r="DD10" s="340">
        <f t="shared" ref="DD10:DD14" ca="1" si="78">INDIRECT("'"&amp;D10&amp;"'!"&amp;"AF5")</f>
        <v>0</v>
      </c>
      <c r="DE10" s="331">
        <f t="shared" ref="DE10:DE14" ca="1" si="79">INDIRECT("'"&amp;D10&amp;"'!"&amp;"AG3")</f>
        <v>0</v>
      </c>
      <c r="DF10" s="331">
        <f t="shared" ref="DF10:DF14" ca="1" si="80">INDIRECT("'"&amp;D10&amp;"'!"&amp;"AG4")</f>
        <v>0</v>
      </c>
      <c r="DG10" s="336">
        <f t="shared" ref="DG10:DG14" ca="1" si="81">INDIRECT("'"&amp;D10&amp;"'!"&amp;"AG5")</f>
        <v>0</v>
      </c>
      <c r="DH10" s="332">
        <f t="shared" ref="DH10:DH14" ca="1" si="82">INDIRECT("'"&amp;D10&amp;"'!"&amp;"AH3")</f>
        <v>0</v>
      </c>
      <c r="DI10" s="332">
        <f t="shared" ref="DI10:DI14" ca="1" si="83">INDIRECT("'"&amp;D10&amp;"'!"&amp;"AH4")</f>
        <v>0</v>
      </c>
      <c r="DJ10" s="337">
        <f t="shared" ref="DJ10:DJ14" ca="1" si="84">INDIRECT("'"&amp;D10&amp;"'!"&amp;"AH5")</f>
        <v>0</v>
      </c>
      <c r="DK10" s="341">
        <f t="shared" ref="DK10:DK14" ca="1" si="85">INDIRECT("'"&amp;D10&amp;"'!"&amp;"AF10")</f>
        <v>0</v>
      </c>
      <c r="DL10" s="339">
        <f t="shared" ref="DL10:DL14" ca="1" si="86">INDIRECT("'"&amp;D10&amp;"'!"&amp;"AG10")</f>
        <v>0</v>
      </c>
      <c r="DM10" s="332">
        <f t="shared" ref="DM10:DM14" ca="1" si="87">INDIRECT("'"&amp;D10&amp;"'!"&amp;"AH10")</f>
        <v>0</v>
      </c>
      <c r="DN10" s="327"/>
      <c r="DO10" s="327" t="str">
        <f t="shared" ref="DO10:DO14" ca="1" si="88">(IF(INDIRECT("'"&amp;D10&amp;"'!"&amp;"AD1")=0,"-","-RVC="&amp;INDIRECT("'"&amp;D10&amp;"'!"&amp;"AD1")))&amp;IF(INDIRECT("'"&amp;D10&amp;"'!"&amp;"AF1")=0,"-","-GCS="&amp;INDIRECT("'"&amp;D10&amp;"'!"&amp;"AF1"))</f>
        <v>--</v>
      </c>
      <c r="DP10" s="333"/>
      <c r="DQ10" s="327"/>
    </row>
    <row r="11" spans="1:121" ht="45">
      <c r="C11" s="317" t="s">
        <v>458</v>
      </c>
      <c r="D11" s="318" t="s">
        <v>461</v>
      </c>
      <c r="E11" s="319">
        <f t="shared" ref="E11" ca="1" si="89">INDIRECT("'"&amp;D11&amp;"'!"&amp;"C6")</f>
        <v>0</v>
      </c>
      <c r="F11" s="318">
        <f t="shared" ref="F11" ca="1" si="90">G11-E11</f>
        <v>21</v>
      </c>
      <c r="G11" s="320">
        <f t="shared" ref="G11" ca="1" si="91">INDIRECT("'"&amp;D11&amp;"'!"&amp;"C1")</f>
        <v>21</v>
      </c>
      <c r="H11" s="321">
        <f t="shared" ref="H11" ca="1" si="92">INDIRECT("'"&amp;D11&amp;"'!"&amp;"C2")</f>
        <v>21</v>
      </c>
      <c r="I11" s="322">
        <f t="shared" ref="I11" ca="1" si="93">G11-H11</f>
        <v>0</v>
      </c>
      <c r="J11" s="323">
        <f t="shared" ca="1" si="6"/>
        <v>0</v>
      </c>
      <c r="K11" s="324">
        <f t="shared" ca="1" si="7"/>
        <v>0</v>
      </c>
      <c r="L11" s="325">
        <f t="shared" ca="1" si="8"/>
        <v>0</v>
      </c>
      <c r="M11" s="326">
        <f t="shared" ca="1" si="9"/>
        <v>0</v>
      </c>
      <c r="N11" s="327">
        <f t="shared" ref="N11" ca="1" si="94">INDIRECT("'"&amp;D11&amp;"'!"&amp;"E3")</f>
        <v>0</v>
      </c>
      <c r="O11" s="327" t="str">
        <f ca="1">(IF(INDIRECT("'"&amp;D11&amp;"'!"&amp;"L3")=0,"-","-RVC="&amp;INDIRECT("'"&amp;D11&amp;"'!"&amp;"L3")&amp;"-"))&amp;IF(INDIRECT("'"&amp;D11&amp;"'!"&amp;"L4")=0,"-","-GCS="&amp;INDIRECT("'"&amp;D11&amp;"'!"&amp;"L4")&amp;"-")</f>
        <v>--</v>
      </c>
      <c r="P11" s="328"/>
      <c r="Q11" s="329" t="str">
        <f t="shared" ca="1" si="10"/>
        <v>NOT-YET</v>
      </c>
      <c r="R11" s="330">
        <f t="shared" si="11"/>
        <v>21</v>
      </c>
      <c r="S11" s="331">
        <v>21</v>
      </c>
      <c r="T11" s="332">
        <v>0</v>
      </c>
      <c r="U11" s="333">
        <f t="shared" ca="1" si="12"/>
        <v>1</v>
      </c>
      <c r="V11" s="334">
        <f t="shared" ca="1" si="13"/>
        <v>21</v>
      </c>
      <c r="W11" s="334">
        <f t="shared" ca="1" si="14"/>
        <v>21</v>
      </c>
      <c r="X11" s="335">
        <f t="shared" ca="1" si="15"/>
        <v>0</v>
      </c>
      <c r="Y11" s="331">
        <f t="shared" ca="1" si="16"/>
        <v>21</v>
      </c>
      <c r="Z11" s="331">
        <f t="shared" ca="1" si="17"/>
        <v>21</v>
      </c>
      <c r="AA11" s="336">
        <f t="shared" ca="1" si="18"/>
        <v>0</v>
      </c>
      <c r="AB11" s="332">
        <f t="shared" ca="1" si="19"/>
        <v>0</v>
      </c>
      <c r="AC11" s="332">
        <f t="shared" ca="1" si="20"/>
        <v>0</v>
      </c>
      <c r="AD11" s="337">
        <f t="shared" ca="1" si="21"/>
        <v>0</v>
      </c>
      <c r="AE11" s="338">
        <f t="shared" ca="1" si="22"/>
        <v>0</v>
      </c>
      <c r="AF11" s="339">
        <f t="shared" ca="1" si="23"/>
        <v>0</v>
      </c>
      <c r="AG11" s="332">
        <f t="shared" ca="1" si="24"/>
        <v>0</v>
      </c>
      <c r="AH11" s="327"/>
      <c r="AI11" s="327" t="str">
        <f t="shared" ca="1" si="25"/>
        <v>--GCS=21</v>
      </c>
      <c r="AJ11" s="333"/>
      <c r="AK11" s="327" t="s">
        <v>895</v>
      </c>
      <c r="AL11" s="329" t="str">
        <f t="shared" ca="1" si="26"/>
        <v>NOT-YET</v>
      </c>
      <c r="AM11" s="330">
        <f t="shared" si="27"/>
        <v>21</v>
      </c>
      <c r="AN11" s="331">
        <v>21</v>
      </c>
      <c r="AO11" s="332">
        <v>0</v>
      </c>
      <c r="AP11" s="333">
        <f t="shared" ca="1" si="28"/>
        <v>1</v>
      </c>
      <c r="AQ11" s="330">
        <f t="shared" ca="1" si="29"/>
        <v>21</v>
      </c>
      <c r="AR11" s="330">
        <f t="shared" ca="1" si="30"/>
        <v>21</v>
      </c>
      <c r="AS11" s="340">
        <f t="shared" ca="1" si="31"/>
        <v>0</v>
      </c>
      <c r="AT11" s="331">
        <f t="shared" ca="1" si="32"/>
        <v>21</v>
      </c>
      <c r="AU11" s="331">
        <f t="shared" ca="1" si="33"/>
        <v>21</v>
      </c>
      <c r="AV11" s="336">
        <f t="shared" ca="1" si="34"/>
        <v>0</v>
      </c>
      <c r="AW11" s="332">
        <f t="shared" ca="1" si="35"/>
        <v>0</v>
      </c>
      <c r="AX11" s="332">
        <f t="shared" ca="1" si="36"/>
        <v>0</v>
      </c>
      <c r="AY11" s="337">
        <f t="shared" ca="1" si="37"/>
        <v>0</v>
      </c>
      <c r="AZ11" s="341">
        <f t="shared" ca="1" si="38"/>
        <v>0</v>
      </c>
      <c r="BA11" s="339">
        <f t="shared" ca="1" si="39"/>
        <v>0</v>
      </c>
      <c r="BB11" s="332">
        <f t="shared" ca="1" si="40"/>
        <v>0</v>
      </c>
      <c r="BC11" s="327" t="s">
        <v>1220</v>
      </c>
      <c r="BD11" s="327" t="str">
        <f t="shared" ca="1" si="41"/>
        <v>--GCS=21</v>
      </c>
      <c r="BE11" s="333"/>
      <c r="BF11" s="327" t="s">
        <v>895</v>
      </c>
      <c r="BG11" s="329" t="str">
        <f t="shared" ca="1" si="42"/>
        <v>NOT-YET</v>
      </c>
      <c r="BH11" s="330">
        <f t="shared" si="43"/>
        <v>0</v>
      </c>
      <c r="BI11" s="331"/>
      <c r="BJ11" s="332"/>
      <c r="BK11" s="333" t="str">
        <f t="shared" ca="1" si="44"/>
        <v>-</v>
      </c>
      <c r="BL11" s="330">
        <f t="shared" ca="1" si="45"/>
        <v>0</v>
      </c>
      <c r="BM11" s="330">
        <f t="shared" ca="1" si="46"/>
        <v>0</v>
      </c>
      <c r="BN11" s="340">
        <f t="shared" ca="1" si="47"/>
        <v>0</v>
      </c>
      <c r="BO11" s="331">
        <f t="shared" ca="1" si="48"/>
        <v>0</v>
      </c>
      <c r="BP11" s="331">
        <f t="shared" ca="1" si="49"/>
        <v>0</v>
      </c>
      <c r="BQ11" s="336">
        <f t="shared" ca="1" si="50"/>
        <v>0</v>
      </c>
      <c r="BR11" s="332">
        <f t="shared" ca="1" si="51"/>
        <v>0</v>
      </c>
      <c r="BS11" s="332">
        <f t="shared" ca="1" si="52"/>
        <v>0</v>
      </c>
      <c r="BT11" s="337">
        <f t="shared" ca="1" si="53"/>
        <v>0</v>
      </c>
      <c r="BU11" s="341">
        <f t="shared" ca="1" si="54"/>
        <v>0</v>
      </c>
      <c r="BV11" s="339">
        <f t="shared" ca="1" si="55"/>
        <v>0</v>
      </c>
      <c r="BW11" s="332">
        <f t="shared" ca="1" si="56"/>
        <v>0</v>
      </c>
      <c r="BX11" s="327"/>
      <c r="BY11" s="327" t="str">
        <f t="shared" ca="1" si="57"/>
        <v>-RVC=21-</v>
      </c>
      <c r="BZ11" s="333"/>
      <c r="CA11" s="327"/>
      <c r="CB11" s="329" t="str">
        <f t="shared" ca="1" si="58"/>
        <v>NOT-YET</v>
      </c>
      <c r="CC11" s="330">
        <f t="shared" si="59"/>
        <v>0</v>
      </c>
      <c r="CD11" s="331"/>
      <c r="CE11" s="332"/>
      <c r="CF11" s="333" t="str">
        <f t="shared" ca="1" si="60"/>
        <v>-</v>
      </c>
      <c r="CG11" s="330">
        <f t="shared" ca="1" si="61"/>
        <v>0</v>
      </c>
      <c r="CH11" s="330">
        <f t="shared" ca="1" si="62"/>
        <v>0</v>
      </c>
      <c r="CI11" s="340">
        <f t="shared" ca="1" si="63"/>
        <v>0</v>
      </c>
      <c r="CJ11" s="331">
        <f t="shared" ca="1" si="64"/>
        <v>0</v>
      </c>
      <c r="CK11" s="331">
        <f t="shared" ca="1" si="65"/>
        <v>0</v>
      </c>
      <c r="CL11" s="336">
        <f t="shared" ca="1" si="66"/>
        <v>0</v>
      </c>
      <c r="CM11" s="332">
        <f t="shared" ca="1" si="67"/>
        <v>0</v>
      </c>
      <c r="CN11" s="332">
        <f t="shared" ca="1" si="68"/>
        <v>0</v>
      </c>
      <c r="CO11" s="337">
        <f t="shared" ca="1" si="69"/>
        <v>0</v>
      </c>
      <c r="CP11" s="341">
        <f t="shared" ca="1" si="70"/>
        <v>0</v>
      </c>
      <c r="CQ11" s="339">
        <f t="shared" ca="1" si="71"/>
        <v>0</v>
      </c>
      <c r="CR11" s="332">
        <f t="shared" ca="1" si="72"/>
        <v>0</v>
      </c>
      <c r="CS11" s="327"/>
      <c r="CT11" s="327" t="str">
        <f t="shared" ca="1" si="73"/>
        <v>--</v>
      </c>
      <c r="CU11" s="333"/>
      <c r="CV11" s="327"/>
      <c r="CW11" s="256"/>
      <c r="CX11" s="330">
        <f t="shared" si="74"/>
        <v>0</v>
      </c>
      <c r="CY11" s="331"/>
      <c r="CZ11" s="332"/>
      <c r="DA11" s="333" t="str">
        <f t="shared" ca="1" si="75"/>
        <v>-</v>
      </c>
      <c r="DB11" s="330">
        <f t="shared" ca="1" si="76"/>
        <v>0</v>
      </c>
      <c r="DC11" s="330">
        <f t="shared" ca="1" si="77"/>
        <v>0</v>
      </c>
      <c r="DD11" s="340">
        <f t="shared" ca="1" si="78"/>
        <v>0</v>
      </c>
      <c r="DE11" s="331">
        <f t="shared" ca="1" si="79"/>
        <v>0</v>
      </c>
      <c r="DF11" s="331">
        <f t="shared" ca="1" si="80"/>
        <v>0</v>
      </c>
      <c r="DG11" s="336">
        <f t="shared" ca="1" si="81"/>
        <v>0</v>
      </c>
      <c r="DH11" s="332">
        <f t="shared" ca="1" si="82"/>
        <v>0</v>
      </c>
      <c r="DI11" s="332">
        <f t="shared" ca="1" si="83"/>
        <v>0</v>
      </c>
      <c r="DJ11" s="337">
        <f t="shared" ca="1" si="84"/>
        <v>0</v>
      </c>
      <c r="DK11" s="341">
        <f t="shared" ca="1" si="85"/>
        <v>0</v>
      </c>
      <c r="DL11" s="339">
        <f t="shared" ca="1" si="86"/>
        <v>0</v>
      </c>
      <c r="DM11" s="332">
        <f t="shared" ca="1" si="87"/>
        <v>0</v>
      </c>
      <c r="DN11" s="327"/>
      <c r="DO11" s="327" t="str">
        <f t="shared" ca="1" si="88"/>
        <v>--</v>
      </c>
      <c r="DP11" s="333"/>
      <c r="DQ11" s="327"/>
    </row>
    <row r="12" spans="1:121" ht="45">
      <c r="C12" s="317" t="s">
        <v>458</v>
      </c>
      <c r="D12" s="318" t="s">
        <v>462</v>
      </c>
      <c r="E12" s="319">
        <f t="shared" ref="E12:E14" ca="1" si="95">INDIRECT("'"&amp;D12&amp;"'!"&amp;"C6")</f>
        <v>0</v>
      </c>
      <c r="F12" s="318">
        <f t="shared" ref="F12:F14" ca="1" si="96">G12-E12</f>
        <v>60</v>
      </c>
      <c r="G12" s="320">
        <f t="shared" ref="G12:G14" ca="1" si="97">INDIRECT("'"&amp;D12&amp;"'!"&amp;"C1")</f>
        <v>60</v>
      </c>
      <c r="H12" s="321">
        <f t="shared" ref="H12:H14" ca="1" si="98">INDIRECT("'"&amp;D12&amp;"'!"&amp;"C2")</f>
        <v>60</v>
      </c>
      <c r="I12" s="322">
        <f t="shared" ref="I12:I14" ca="1" si="99">G12-H12</f>
        <v>0</v>
      </c>
      <c r="J12" s="323">
        <f t="shared" ref="J12:J14" ca="1" si="100">SUM(K12:L12)</f>
        <v>0</v>
      </c>
      <c r="K12" s="324">
        <f t="shared" ref="K12:K14" ca="1" si="101">COUNTIFS(INDIRECT("'"&amp;D12&amp;"'!"&amp;"$K$15:$K$1000"),"*Pass*")</f>
        <v>0</v>
      </c>
      <c r="L12" s="325">
        <f t="shared" ref="L12:L14" ca="1" si="102">COUNTIFS(INDIRECT("'"&amp;D12&amp;"'!"&amp;"$K$15:$K$1000"),"*Fail*")</f>
        <v>0</v>
      </c>
      <c r="M12" s="326">
        <f t="shared" ref="M12:M14" ca="1" si="103">COUNTIFS(INDIRECT("'"&amp;D12&amp;"'!"&amp;"$K$15:$K$1000"),"*skip*")</f>
        <v>0</v>
      </c>
      <c r="N12" s="327">
        <f t="shared" ref="N12:N14" ca="1" si="104">INDIRECT("'"&amp;D12&amp;"'!"&amp;"E3")</f>
        <v>0</v>
      </c>
      <c r="O12" s="327" t="str">
        <f t="shared" ref="O12:O14" ca="1" si="105">(IF(INDIRECT("'"&amp;D12&amp;"'!"&amp;"L3")=0,"-","-RVC="&amp;INDIRECT("'"&amp;D12&amp;"'!"&amp;"L3")&amp;"-"))&amp;IF(INDIRECT("'"&amp;D12&amp;"'!"&amp;"L4")=0,"-","-GCS="&amp;INDIRECT("'"&amp;D12&amp;"'!"&amp;"L4")&amp;"-")</f>
        <v>--</v>
      </c>
      <c r="P12" s="328"/>
      <c r="Q12" s="329" t="str">
        <f t="shared" ca="1" si="10"/>
        <v>NOT-YET</v>
      </c>
      <c r="R12" s="330">
        <f t="shared" si="11"/>
        <v>60</v>
      </c>
      <c r="S12" s="331">
        <v>60</v>
      </c>
      <c r="T12" s="332">
        <v>0</v>
      </c>
      <c r="U12" s="333">
        <f t="shared" ca="1" si="12"/>
        <v>1</v>
      </c>
      <c r="V12" s="334">
        <f t="shared" ca="1" si="13"/>
        <v>60</v>
      </c>
      <c r="W12" s="334">
        <f t="shared" ca="1" si="14"/>
        <v>60</v>
      </c>
      <c r="X12" s="335">
        <f t="shared" ca="1" si="15"/>
        <v>0</v>
      </c>
      <c r="Y12" s="331">
        <f t="shared" ca="1" si="16"/>
        <v>60</v>
      </c>
      <c r="Z12" s="331">
        <f t="shared" ca="1" si="17"/>
        <v>60</v>
      </c>
      <c r="AA12" s="336">
        <f t="shared" ca="1" si="18"/>
        <v>0</v>
      </c>
      <c r="AB12" s="332">
        <f t="shared" ca="1" si="19"/>
        <v>0</v>
      </c>
      <c r="AC12" s="332">
        <f t="shared" ca="1" si="20"/>
        <v>0</v>
      </c>
      <c r="AD12" s="337">
        <f t="shared" ca="1" si="21"/>
        <v>0</v>
      </c>
      <c r="AE12" s="338">
        <f t="shared" ca="1" si="22"/>
        <v>0</v>
      </c>
      <c r="AF12" s="339">
        <f t="shared" ca="1" si="23"/>
        <v>0</v>
      </c>
      <c r="AG12" s="332">
        <f t="shared" ca="1" si="24"/>
        <v>0</v>
      </c>
      <c r="AH12" s="327"/>
      <c r="AI12" s="327" t="str">
        <f t="shared" ca="1" si="25"/>
        <v>--GCS=60</v>
      </c>
      <c r="AJ12" s="333"/>
      <c r="AK12" s="327" t="s">
        <v>895</v>
      </c>
      <c r="AL12" s="329" t="str">
        <f t="shared" ca="1" si="26"/>
        <v>NOT-YET</v>
      </c>
      <c r="AM12" s="330">
        <f t="shared" si="27"/>
        <v>60</v>
      </c>
      <c r="AN12" s="331">
        <v>60</v>
      </c>
      <c r="AO12" s="332">
        <v>0</v>
      </c>
      <c r="AP12" s="333">
        <f t="shared" ca="1" si="28"/>
        <v>1</v>
      </c>
      <c r="AQ12" s="330">
        <f t="shared" ca="1" si="29"/>
        <v>60</v>
      </c>
      <c r="AR12" s="330">
        <f t="shared" ca="1" si="30"/>
        <v>60</v>
      </c>
      <c r="AS12" s="340">
        <f t="shared" ca="1" si="31"/>
        <v>0</v>
      </c>
      <c r="AT12" s="331">
        <f t="shared" ca="1" si="32"/>
        <v>60</v>
      </c>
      <c r="AU12" s="331">
        <f t="shared" ca="1" si="33"/>
        <v>60</v>
      </c>
      <c r="AV12" s="336">
        <f t="shared" ca="1" si="34"/>
        <v>0</v>
      </c>
      <c r="AW12" s="332">
        <f t="shared" ca="1" si="35"/>
        <v>0</v>
      </c>
      <c r="AX12" s="332">
        <f t="shared" ca="1" si="36"/>
        <v>0</v>
      </c>
      <c r="AY12" s="337">
        <f t="shared" ca="1" si="37"/>
        <v>0</v>
      </c>
      <c r="AZ12" s="341">
        <f t="shared" ca="1" si="38"/>
        <v>0</v>
      </c>
      <c r="BA12" s="339">
        <f t="shared" ca="1" si="39"/>
        <v>0</v>
      </c>
      <c r="BB12" s="332">
        <f t="shared" ca="1" si="40"/>
        <v>0</v>
      </c>
      <c r="BC12" s="327" t="s">
        <v>1220</v>
      </c>
      <c r="BD12" s="327" t="str">
        <f t="shared" ca="1" si="41"/>
        <v>--GCS=60</v>
      </c>
      <c r="BE12" s="333"/>
      <c r="BF12" s="327" t="s">
        <v>895</v>
      </c>
      <c r="BG12" s="329" t="str">
        <f t="shared" ca="1" si="42"/>
        <v>NOT-YET</v>
      </c>
      <c r="BH12" s="330">
        <f t="shared" si="43"/>
        <v>0</v>
      </c>
      <c r="BI12" s="331"/>
      <c r="BJ12" s="332"/>
      <c r="BK12" s="333" t="str">
        <f t="shared" ca="1" si="44"/>
        <v>-</v>
      </c>
      <c r="BL12" s="330">
        <f t="shared" ca="1" si="45"/>
        <v>0</v>
      </c>
      <c r="BM12" s="330">
        <f t="shared" ca="1" si="46"/>
        <v>0</v>
      </c>
      <c r="BN12" s="340">
        <f t="shared" ca="1" si="47"/>
        <v>0</v>
      </c>
      <c r="BO12" s="331">
        <f t="shared" ca="1" si="48"/>
        <v>0</v>
      </c>
      <c r="BP12" s="331">
        <f t="shared" ca="1" si="49"/>
        <v>0</v>
      </c>
      <c r="BQ12" s="336">
        <f t="shared" ca="1" si="50"/>
        <v>0</v>
      </c>
      <c r="BR12" s="332">
        <f t="shared" ca="1" si="51"/>
        <v>0</v>
      </c>
      <c r="BS12" s="332">
        <f t="shared" ca="1" si="52"/>
        <v>0</v>
      </c>
      <c r="BT12" s="337">
        <f t="shared" ca="1" si="53"/>
        <v>0</v>
      </c>
      <c r="BU12" s="341">
        <f t="shared" ca="1" si="54"/>
        <v>0</v>
      </c>
      <c r="BV12" s="339">
        <f t="shared" ca="1" si="55"/>
        <v>0</v>
      </c>
      <c r="BW12" s="332">
        <f t="shared" ca="1" si="56"/>
        <v>0</v>
      </c>
      <c r="BX12" s="327"/>
      <c r="BY12" s="327" t="str">
        <f t="shared" ca="1" si="57"/>
        <v>-RVC=60-</v>
      </c>
      <c r="BZ12" s="333"/>
      <c r="CA12" s="327"/>
      <c r="CB12" s="329" t="str">
        <f t="shared" ca="1" si="58"/>
        <v>NOT-YET</v>
      </c>
      <c r="CC12" s="330">
        <f t="shared" si="59"/>
        <v>0</v>
      </c>
      <c r="CD12" s="331"/>
      <c r="CE12" s="332"/>
      <c r="CF12" s="333" t="str">
        <f t="shared" ca="1" si="60"/>
        <v>-</v>
      </c>
      <c r="CG12" s="330">
        <f t="shared" ca="1" si="61"/>
        <v>0</v>
      </c>
      <c r="CH12" s="330">
        <f t="shared" ca="1" si="62"/>
        <v>0</v>
      </c>
      <c r="CI12" s="340">
        <f t="shared" ca="1" si="63"/>
        <v>0</v>
      </c>
      <c r="CJ12" s="331">
        <f t="shared" ca="1" si="64"/>
        <v>0</v>
      </c>
      <c r="CK12" s="331">
        <f t="shared" ca="1" si="65"/>
        <v>0</v>
      </c>
      <c r="CL12" s="336">
        <f t="shared" ca="1" si="66"/>
        <v>0</v>
      </c>
      <c r="CM12" s="332">
        <f t="shared" ca="1" si="67"/>
        <v>0</v>
      </c>
      <c r="CN12" s="332">
        <f t="shared" ca="1" si="68"/>
        <v>0</v>
      </c>
      <c r="CO12" s="337">
        <f t="shared" ca="1" si="69"/>
        <v>0</v>
      </c>
      <c r="CP12" s="341">
        <f t="shared" ca="1" si="70"/>
        <v>0</v>
      </c>
      <c r="CQ12" s="339">
        <f t="shared" ca="1" si="71"/>
        <v>0</v>
      </c>
      <c r="CR12" s="332">
        <f t="shared" ca="1" si="72"/>
        <v>0</v>
      </c>
      <c r="CS12" s="327"/>
      <c r="CT12" s="327" t="str">
        <f t="shared" ca="1" si="73"/>
        <v>--</v>
      </c>
      <c r="CU12" s="333"/>
      <c r="CV12" s="327"/>
      <c r="CW12" s="256"/>
      <c r="CX12" s="330">
        <f t="shared" si="74"/>
        <v>0</v>
      </c>
      <c r="CY12" s="331"/>
      <c r="CZ12" s="332"/>
      <c r="DA12" s="333" t="str">
        <f t="shared" ca="1" si="75"/>
        <v>-</v>
      </c>
      <c r="DB12" s="330">
        <f t="shared" ca="1" si="76"/>
        <v>0</v>
      </c>
      <c r="DC12" s="330">
        <f t="shared" ca="1" si="77"/>
        <v>0</v>
      </c>
      <c r="DD12" s="340">
        <f t="shared" ca="1" si="78"/>
        <v>0</v>
      </c>
      <c r="DE12" s="331">
        <f t="shared" ca="1" si="79"/>
        <v>0</v>
      </c>
      <c r="DF12" s="331">
        <f t="shared" ca="1" si="80"/>
        <v>0</v>
      </c>
      <c r="DG12" s="336">
        <f t="shared" ca="1" si="81"/>
        <v>0</v>
      </c>
      <c r="DH12" s="332">
        <f t="shared" ca="1" si="82"/>
        <v>0</v>
      </c>
      <c r="DI12" s="332">
        <f t="shared" ca="1" si="83"/>
        <v>0</v>
      </c>
      <c r="DJ12" s="337">
        <f t="shared" ca="1" si="84"/>
        <v>0</v>
      </c>
      <c r="DK12" s="341">
        <f t="shared" ca="1" si="85"/>
        <v>0</v>
      </c>
      <c r="DL12" s="339">
        <f t="shared" ca="1" si="86"/>
        <v>0</v>
      </c>
      <c r="DM12" s="332">
        <f t="shared" ca="1" si="87"/>
        <v>0</v>
      </c>
      <c r="DN12" s="327"/>
      <c r="DO12" s="327" t="str">
        <f t="shared" ca="1" si="88"/>
        <v>--</v>
      </c>
      <c r="DP12" s="333"/>
      <c r="DQ12" s="327"/>
    </row>
    <row r="13" spans="1:121" ht="45">
      <c r="C13" s="317" t="s">
        <v>458</v>
      </c>
      <c r="D13" s="318" t="s">
        <v>463</v>
      </c>
      <c r="E13" s="319">
        <f t="shared" ref="E13" ca="1" si="106">INDIRECT("'"&amp;D13&amp;"'!"&amp;"C6")</f>
        <v>0</v>
      </c>
      <c r="F13" s="318">
        <f t="shared" ref="F13" ca="1" si="107">G13-E13</f>
        <v>29</v>
      </c>
      <c r="G13" s="320">
        <f t="shared" ref="G13" ca="1" si="108">INDIRECT("'"&amp;D13&amp;"'!"&amp;"C1")</f>
        <v>29</v>
      </c>
      <c r="H13" s="321">
        <f t="shared" ref="H13" ca="1" si="109">INDIRECT("'"&amp;D13&amp;"'!"&amp;"C2")</f>
        <v>0</v>
      </c>
      <c r="I13" s="322">
        <f t="shared" ref="I13" ca="1" si="110">G13-H13</f>
        <v>29</v>
      </c>
      <c r="J13" s="323">
        <f t="shared" ref="J13" ca="1" si="111">SUM(K13:L13)</f>
        <v>0</v>
      </c>
      <c r="K13" s="324">
        <f t="shared" ref="K13" ca="1" si="112">COUNTIFS(INDIRECT("'"&amp;D13&amp;"'!"&amp;"$K$15:$K$1000"),"*Pass*")</f>
        <v>0</v>
      </c>
      <c r="L13" s="325">
        <f t="shared" ref="L13" ca="1" si="113">COUNTIFS(INDIRECT("'"&amp;D13&amp;"'!"&amp;"$K$15:$K$1000"),"*Fail*")</f>
        <v>0</v>
      </c>
      <c r="M13" s="326">
        <f t="shared" ref="M13" ca="1" si="114">COUNTIFS(INDIRECT("'"&amp;D13&amp;"'!"&amp;"$K$15:$K$1000"),"*skip*")</f>
        <v>0</v>
      </c>
      <c r="N13" s="327">
        <f t="shared" ref="N13" ca="1" si="115">INDIRECT("'"&amp;D13&amp;"'!"&amp;"E3")</f>
        <v>0</v>
      </c>
      <c r="O13" s="327" t="str">
        <f t="shared" ref="O13" ca="1" si="116">(IF(INDIRECT("'"&amp;D13&amp;"'!"&amp;"L3")=0,"-","-RVC="&amp;INDIRECT("'"&amp;D13&amp;"'!"&amp;"L3")&amp;"-"))&amp;IF(INDIRECT("'"&amp;D13&amp;"'!"&amp;"L4")=0,"-","-GCS="&amp;INDIRECT("'"&amp;D13&amp;"'!"&amp;"L4")&amp;"-")</f>
        <v>--</v>
      </c>
      <c r="P13" s="328"/>
      <c r="Q13" s="329" t="str">
        <f t="shared" ca="1" si="10"/>
        <v>N</v>
      </c>
      <c r="R13" s="330">
        <f t="shared" si="11"/>
        <v>29</v>
      </c>
      <c r="S13" s="331">
        <v>0</v>
      </c>
      <c r="T13" s="332">
        <v>29</v>
      </c>
      <c r="U13" s="333">
        <f t="shared" ca="1" si="12"/>
        <v>1</v>
      </c>
      <c r="V13" s="334">
        <f t="shared" ca="1" si="13"/>
        <v>29</v>
      </c>
      <c r="W13" s="334">
        <f t="shared" ca="1" si="14"/>
        <v>29</v>
      </c>
      <c r="X13" s="335">
        <f t="shared" ca="1" si="15"/>
        <v>0</v>
      </c>
      <c r="Y13" s="331">
        <f t="shared" ca="1" si="16"/>
        <v>0</v>
      </c>
      <c r="Z13" s="331">
        <f t="shared" ca="1" si="17"/>
        <v>0</v>
      </c>
      <c r="AA13" s="336">
        <f t="shared" ca="1" si="18"/>
        <v>0</v>
      </c>
      <c r="AB13" s="332">
        <f t="shared" ca="1" si="19"/>
        <v>29</v>
      </c>
      <c r="AC13" s="332">
        <f t="shared" ca="1" si="20"/>
        <v>29</v>
      </c>
      <c r="AD13" s="337">
        <f t="shared" ca="1" si="21"/>
        <v>0</v>
      </c>
      <c r="AE13" s="338">
        <f t="shared" ca="1" si="22"/>
        <v>0</v>
      </c>
      <c r="AF13" s="339">
        <f t="shared" ca="1" si="23"/>
        <v>0</v>
      </c>
      <c r="AG13" s="332">
        <f t="shared" ca="1" si="24"/>
        <v>0</v>
      </c>
      <c r="AH13" s="327"/>
      <c r="AI13" s="327" t="str">
        <f t="shared" ca="1" si="25"/>
        <v>--GCS=29</v>
      </c>
      <c r="AJ13" s="333"/>
      <c r="AK13" s="327" t="s">
        <v>895</v>
      </c>
      <c r="AL13" s="329" t="str">
        <f t="shared" ca="1" si="26"/>
        <v>E</v>
      </c>
      <c r="AM13" s="330">
        <f t="shared" si="27"/>
        <v>29</v>
      </c>
      <c r="AN13" s="331">
        <v>0</v>
      </c>
      <c r="AO13" s="332">
        <v>29</v>
      </c>
      <c r="AP13" s="333">
        <f t="shared" ca="1" si="28"/>
        <v>1</v>
      </c>
      <c r="AQ13" s="330">
        <f t="shared" ca="1" si="29"/>
        <v>29</v>
      </c>
      <c r="AR13" s="330">
        <f t="shared" ca="1" si="30"/>
        <v>29</v>
      </c>
      <c r="AS13" s="340">
        <f t="shared" ca="1" si="31"/>
        <v>0</v>
      </c>
      <c r="AT13" s="331">
        <f t="shared" ca="1" si="32"/>
        <v>0</v>
      </c>
      <c r="AU13" s="331">
        <f t="shared" ca="1" si="33"/>
        <v>0</v>
      </c>
      <c r="AV13" s="336">
        <f t="shared" ca="1" si="34"/>
        <v>0</v>
      </c>
      <c r="AW13" s="332">
        <f t="shared" ca="1" si="35"/>
        <v>29</v>
      </c>
      <c r="AX13" s="332">
        <f t="shared" ca="1" si="36"/>
        <v>29</v>
      </c>
      <c r="AY13" s="337">
        <f t="shared" ca="1" si="37"/>
        <v>0</v>
      </c>
      <c r="AZ13" s="341">
        <f t="shared" ca="1" si="38"/>
        <v>0</v>
      </c>
      <c r="BA13" s="339">
        <f t="shared" ca="1" si="39"/>
        <v>0</v>
      </c>
      <c r="BB13" s="332">
        <f t="shared" ca="1" si="40"/>
        <v>0</v>
      </c>
      <c r="BC13" s="327" t="s">
        <v>1220</v>
      </c>
      <c r="BD13" s="327" t="str">
        <f t="shared" ca="1" si="41"/>
        <v>--GCS=29</v>
      </c>
      <c r="BE13" s="333"/>
      <c r="BF13" s="327" t="s">
        <v>895</v>
      </c>
      <c r="BG13" s="329" t="str">
        <f t="shared" ca="1" si="42"/>
        <v>E</v>
      </c>
      <c r="BH13" s="330">
        <f t="shared" si="43"/>
        <v>0</v>
      </c>
      <c r="BI13" s="331"/>
      <c r="BJ13" s="332"/>
      <c r="BK13" s="333" t="str">
        <f t="shared" ca="1" si="44"/>
        <v>-</v>
      </c>
      <c r="BL13" s="330">
        <f t="shared" ca="1" si="45"/>
        <v>0</v>
      </c>
      <c r="BM13" s="330">
        <f t="shared" ca="1" si="46"/>
        <v>0</v>
      </c>
      <c r="BN13" s="340">
        <f t="shared" ca="1" si="47"/>
        <v>0</v>
      </c>
      <c r="BO13" s="331">
        <f t="shared" ca="1" si="48"/>
        <v>0</v>
      </c>
      <c r="BP13" s="331">
        <f t="shared" ca="1" si="49"/>
        <v>0</v>
      </c>
      <c r="BQ13" s="336">
        <f t="shared" ca="1" si="50"/>
        <v>0</v>
      </c>
      <c r="BR13" s="332">
        <f t="shared" ca="1" si="51"/>
        <v>0</v>
      </c>
      <c r="BS13" s="332">
        <f t="shared" ca="1" si="52"/>
        <v>0</v>
      </c>
      <c r="BT13" s="337">
        <f t="shared" ca="1" si="53"/>
        <v>0</v>
      </c>
      <c r="BU13" s="341">
        <f t="shared" ca="1" si="54"/>
        <v>0</v>
      </c>
      <c r="BV13" s="339">
        <f t="shared" ca="1" si="55"/>
        <v>0</v>
      </c>
      <c r="BW13" s="332">
        <f t="shared" ca="1" si="56"/>
        <v>0</v>
      </c>
      <c r="BX13" s="327"/>
      <c r="BY13" s="327" t="str">
        <f t="shared" ca="1" si="57"/>
        <v>-RVC=29-</v>
      </c>
      <c r="BZ13" s="333"/>
      <c r="CA13" s="327"/>
      <c r="CB13" s="329" t="str">
        <f t="shared" ca="1" si="58"/>
        <v>NOT-YET</v>
      </c>
      <c r="CC13" s="330">
        <f t="shared" si="59"/>
        <v>0</v>
      </c>
      <c r="CD13" s="331"/>
      <c r="CE13" s="332"/>
      <c r="CF13" s="333" t="str">
        <f t="shared" ca="1" si="60"/>
        <v>-</v>
      </c>
      <c r="CG13" s="330">
        <f t="shared" ca="1" si="61"/>
        <v>0</v>
      </c>
      <c r="CH13" s="330">
        <f t="shared" ca="1" si="62"/>
        <v>0</v>
      </c>
      <c r="CI13" s="340">
        <f t="shared" ca="1" si="63"/>
        <v>0</v>
      </c>
      <c r="CJ13" s="331">
        <f t="shared" ca="1" si="64"/>
        <v>0</v>
      </c>
      <c r="CK13" s="331">
        <f t="shared" ca="1" si="65"/>
        <v>0</v>
      </c>
      <c r="CL13" s="336">
        <f t="shared" ca="1" si="66"/>
        <v>0</v>
      </c>
      <c r="CM13" s="332">
        <f t="shared" ca="1" si="67"/>
        <v>0</v>
      </c>
      <c r="CN13" s="332">
        <f t="shared" ca="1" si="68"/>
        <v>0</v>
      </c>
      <c r="CO13" s="337">
        <f t="shared" ca="1" si="69"/>
        <v>0</v>
      </c>
      <c r="CP13" s="341">
        <f t="shared" ca="1" si="70"/>
        <v>0</v>
      </c>
      <c r="CQ13" s="339">
        <f t="shared" ca="1" si="71"/>
        <v>0</v>
      </c>
      <c r="CR13" s="332">
        <f t="shared" ca="1" si="72"/>
        <v>0</v>
      </c>
      <c r="CS13" s="327"/>
      <c r="CT13" s="327" t="str">
        <f t="shared" ca="1" si="73"/>
        <v>--</v>
      </c>
      <c r="CU13" s="333"/>
      <c r="CV13" s="327"/>
      <c r="CW13" s="256"/>
      <c r="CX13" s="330">
        <f t="shared" si="74"/>
        <v>0</v>
      </c>
      <c r="CY13" s="331"/>
      <c r="CZ13" s="332"/>
      <c r="DA13" s="333" t="str">
        <f t="shared" ca="1" si="75"/>
        <v>-</v>
      </c>
      <c r="DB13" s="330">
        <f t="shared" ca="1" si="76"/>
        <v>0</v>
      </c>
      <c r="DC13" s="330">
        <f t="shared" ca="1" si="77"/>
        <v>0</v>
      </c>
      <c r="DD13" s="340">
        <f t="shared" ca="1" si="78"/>
        <v>0</v>
      </c>
      <c r="DE13" s="331">
        <f t="shared" ca="1" si="79"/>
        <v>0</v>
      </c>
      <c r="DF13" s="331">
        <f t="shared" ca="1" si="80"/>
        <v>0</v>
      </c>
      <c r="DG13" s="336">
        <f t="shared" ca="1" si="81"/>
        <v>0</v>
      </c>
      <c r="DH13" s="332">
        <f t="shared" ca="1" si="82"/>
        <v>0</v>
      </c>
      <c r="DI13" s="332">
        <f t="shared" ca="1" si="83"/>
        <v>0</v>
      </c>
      <c r="DJ13" s="337">
        <f t="shared" ca="1" si="84"/>
        <v>0</v>
      </c>
      <c r="DK13" s="341">
        <f t="shared" ca="1" si="85"/>
        <v>0</v>
      </c>
      <c r="DL13" s="339">
        <f t="shared" ca="1" si="86"/>
        <v>0</v>
      </c>
      <c r="DM13" s="332">
        <f t="shared" ca="1" si="87"/>
        <v>0</v>
      </c>
      <c r="DN13" s="327"/>
      <c r="DO13" s="327" t="str">
        <f t="shared" ca="1" si="88"/>
        <v>--</v>
      </c>
      <c r="DP13" s="333"/>
      <c r="DQ13" s="327"/>
    </row>
    <row r="14" spans="1:121" ht="45">
      <c r="C14" s="317" t="s">
        <v>458</v>
      </c>
      <c r="D14" s="318" t="s">
        <v>464</v>
      </c>
      <c r="E14" s="319">
        <f t="shared" ca="1" si="95"/>
        <v>0</v>
      </c>
      <c r="F14" s="318">
        <f t="shared" ca="1" si="96"/>
        <v>11</v>
      </c>
      <c r="G14" s="320">
        <f t="shared" ca="1" si="97"/>
        <v>11</v>
      </c>
      <c r="H14" s="321">
        <f t="shared" ca="1" si="98"/>
        <v>0</v>
      </c>
      <c r="I14" s="322">
        <f t="shared" ca="1" si="99"/>
        <v>11</v>
      </c>
      <c r="J14" s="323">
        <f t="shared" ca="1" si="100"/>
        <v>0</v>
      </c>
      <c r="K14" s="324">
        <f t="shared" ca="1" si="101"/>
        <v>0</v>
      </c>
      <c r="L14" s="325">
        <f t="shared" ca="1" si="102"/>
        <v>0</v>
      </c>
      <c r="M14" s="326">
        <f t="shared" ca="1" si="103"/>
        <v>0</v>
      </c>
      <c r="N14" s="327">
        <f t="shared" ca="1" si="104"/>
        <v>0</v>
      </c>
      <c r="O14" s="327" t="str">
        <f t="shared" ca="1" si="105"/>
        <v>--</v>
      </c>
      <c r="P14" s="328"/>
      <c r="Q14" s="329" t="str">
        <f t="shared" ca="1" si="10"/>
        <v>E</v>
      </c>
      <c r="R14" s="330">
        <f t="shared" si="11"/>
        <v>11</v>
      </c>
      <c r="S14" s="331">
        <v>0</v>
      </c>
      <c r="T14" s="332">
        <v>11</v>
      </c>
      <c r="U14" s="333">
        <f t="shared" ca="1" si="12"/>
        <v>1</v>
      </c>
      <c r="V14" s="334">
        <f t="shared" ca="1" si="13"/>
        <v>11</v>
      </c>
      <c r="W14" s="334">
        <f t="shared" ca="1" si="14"/>
        <v>11</v>
      </c>
      <c r="X14" s="335">
        <f t="shared" ca="1" si="15"/>
        <v>0</v>
      </c>
      <c r="Y14" s="331">
        <f t="shared" ca="1" si="16"/>
        <v>0</v>
      </c>
      <c r="Z14" s="331">
        <f t="shared" ca="1" si="17"/>
        <v>0</v>
      </c>
      <c r="AA14" s="336">
        <f t="shared" ca="1" si="18"/>
        <v>0</v>
      </c>
      <c r="AB14" s="332">
        <f t="shared" ca="1" si="19"/>
        <v>11</v>
      </c>
      <c r="AC14" s="332">
        <f t="shared" ca="1" si="20"/>
        <v>11</v>
      </c>
      <c r="AD14" s="337">
        <f t="shared" ca="1" si="21"/>
        <v>0</v>
      </c>
      <c r="AE14" s="338">
        <f t="shared" ca="1" si="22"/>
        <v>0</v>
      </c>
      <c r="AF14" s="339">
        <f t="shared" ca="1" si="23"/>
        <v>0</v>
      </c>
      <c r="AG14" s="332">
        <f t="shared" ca="1" si="24"/>
        <v>0</v>
      </c>
      <c r="AH14" s="327"/>
      <c r="AI14" s="327" t="str">
        <f t="shared" ca="1" si="25"/>
        <v>--GCS=11</v>
      </c>
      <c r="AJ14" s="333"/>
      <c r="AK14" s="327" t="s">
        <v>895</v>
      </c>
      <c r="AL14" s="329" t="str">
        <f t="shared" ca="1" si="26"/>
        <v>NOT-YET</v>
      </c>
      <c r="AM14" s="330">
        <f t="shared" si="27"/>
        <v>11</v>
      </c>
      <c r="AN14" s="331">
        <v>0</v>
      </c>
      <c r="AO14" s="332">
        <v>11</v>
      </c>
      <c r="AP14" s="333">
        <f t="shared" ca="1" si="28"/>
        <v>1</v>
      </c>
      <c r="AQ14" s="330">
        <f t="shared" ca="1" si="29"/>
        <v>11</v>
      </c>
      <c r="AR14" s="330">
        <f t="shared" ca="1" si="30"/>
        <v>11</v>
      </c>
      <c r="AS14" s="340">
        <f t="shared" ca="1" si="31"/>
        <v>0</v>
      </c>
      <c r="AT14" s="331">
        <f t="shared" ca="1" si="32"/>
        <v>0</v>
      </c>
      <c r="AU14" s="331">
        <f t="shared" ca="1" si="33"/>
        <v>0</v>
      </c>
      <c r="AV14" s="336">
        <f t="shared" ca="1" si="34"/>
        <v>0</v>
      </c>
      <c r="AW14" s="332">
        <f t="shared" ca="1" si="35"/>
        <v>11</v>
      </c>
      <c r="AX14" s="332">
        <f t="shared" ca="1" si="36"/>
        <v>11</v>
      </c>
      <c r="AY14" s="337">
        <f t="shared" ca="1" si="37"/>
        <v>0</v>
      </c>
      <c r="AZ14" s="341">
        <f t="shared" ca="1" si="38"/>
        <v>0</v>
      </c>
      <c r="BA14" s="339">
        <f t="shared" ca="1" si="39"/>
        <v>0</v>
      </c>
      <c r="BB14" s="332">
        <f t="shared" ca="1" si="40"/>
        <v>0</v>
      </c>
      <c r="BC14" s="327" t="s">
        <v>1220</v>
      </c>
      <c r="BD14" s="327" t="str">
        <f t="shared" ca="1" si="41"/>
        <v>--GCS=11</v>
      </c>
      <c r="BE14" s="333"/>
      <c r="BF14" s="327" t="s">
        <v>895</v>
      </c>
      <c r="BG14" s="329" t="str">
        <f t="shared" ca="1" si="42"/>
        <v>NOT-YET</v>
      </c>
      <c r="BH14" s="330">
        <f t="shared" si="43"/>
        <v>0</v>
      </c>
      <c r="BI14" s="331"/>
      <c r="BJ14" s="332"/>
      <c r="BK14" s="333" t="str">
        <f t="shared" ca="1" si="44"/>
        <v>-</v>
      </c>
      <c r="BL14" s="330">
        <f t="shared" ca="1" si="45"/>
        <v>0</v>
      </c>
      <c r="BM14" s="330">
        <f t="shared" ca="1" si="46"/>
        <v>0</v>
      </c>
      <c r="BN14" s="340">
        <f t="shared" ca="1" si="47"/>
        <v>0</v>
      </c>
      <c r="BO14" s="331">
        <f t="shared" ca="1" si="48"/>
        <v>0</v>
      </c>
      <c r="BP14" s="331">
        <f t="shared" ca="1" si="49"/>
        <v>0</v>
      </c>
      <c r="BQ14" s="336">
        <f t="shared" ca="1" si="50"/>
        <v>0</v>
      </c>
      <c r="BR14" s="332">
        <f t="shared" ca="1" si="51"/>
        <v>0</v>
      </c>
      <c r="BS14" s="332">
        <f t="shared" ca="1" si="52"/>
        <v>0</v>
      </c>
      <c r="BT14" s="337">
        <f t="shared" ca="1" si="53"/>
        <v>0</v>
      </c>
      <c r="BU14" s="341">
        <f t="shared" ca="1" si="54"/>
        <v>0</v>
      </c>
      <c r="BV14" s="339">
        <f t="shared" ca="1" si="55"/>
        <v>0</v>
      </c>
      <c r="BW14" s="332">
        <f t="shared" ca="1" si="56"/>
        <v>0</v>
      </c>
      <c r="BX14" s="327"/>
      <c r="BY14" s="327" t="str">
        <f t="shared" ca="1" si="57"/>
        <v>-RVC=11-</v>
      </c>
      <c r="BZ14" s="333"/>
      <c r="CA14" s="327"/>
      <c r="CB14" s="329" t="str">
        <f t="shared" ca="1" si="58"/>
        <v>NOT-YET</v>
      </c>
      <c r="CC14" s="330">
        <f t="shared" si="59"/>
        <v>0</v>
      </c>
      <c r="CD14" s="331"/>
      <c r="CE14" s="332"/>
      <c r="CF14" s="333" t="str">
        <f t="shared" ca="1" si="60"/>
        <v>-</v>
      </c>
      <c r="CG14" s="330">
        <f t="shared" ca="1" si="61"/>
        <v>0</v>
      </c>
      <c r="CH14" s="330">
        <f t="shared" ca="1" si="62"/>
        <v>0</v>
      </c>
      <c r="CI14" s="340">
        <f t="shared" ca="1" si="63"/>
        <v>0</v>
      </c>
      <c r="CJ14" s="331">
        <f t="shared" ca="1" si="64"/>
        <v>0</v>
      </c>
      <c r="CK14" s="331">
        <f t="shared" ca="1" si="65"/>
        <v>0</v>
      </c>
      <c r="CL14" s="336">
        <f t="shared" ca="1" si="66"/>
        <v>0</v>
      </c>
      <c r="CM14" s="332">
        <f t="shared" ca="1" si="67"/>
        <v>0</v>
      </c>
      <c r="CN14" s="332">
        <f t="shared" ca="1" si="68"/>
        <v>0</v>
      </c>
      <c r="CO14" s="337">
        <f t="shared" ca="1" si="69"/>
        <v>0</v>
      </c>
      <c r="CP14" s="341">
        <f t="shared" ca="1" si="70"/>
        <v>0</v>
      </c>
      <c r="CQ14" s="339">
        <f t="shared" ca="1" si="71"/>
        <v>0</v>
      </c>
      <c r="CR14" s="332">
        <f t="shared" ca="1" si="72"/>
        <v>0</v>
      </c>
      <c r="CS14" s="327"/>
      <c r="CT14" s="327" t="str">
        <f t="shared" ca="1" si="73"/>
        <v>--</v>
      </c>
      <c r="CU14" s="333"/>
      <c r="CV14" s="327"/>
      <c r="CW14" s="256"/>
      <c r="CX14" s="330">
        <f t="shared" si="74"/>
        <v>0</v>
      </c>
      <c r="CY14" s="331"/>
      <c r="CZ14" s="332"/>
      <c r="DA14" s="333" t="str">
        <f t="shared" ca="1" si="75"/>
        <v>-</v>
      </c>
      <c r="DB14" s="330">
        <f t="shared" ca="1" si="76"/>
        <v>0</v>
      </c>
      <c r="DC14" s="330">
        <f t="shared" ca="1" si="77"/>
        <v>0</v>
      </c>
      <c r="DD14" s="340">
        <f t="shared" ca="1" si="78"/>
        <v>0</v>
      </c>
      <c r="DE14" s="331">
        <f t="shared" ca="1" si="79"/>
        <v>0</v>
      </c>
      <c r="DF14" s="331">
        <f t="shared" ca="1" si="80"/>
        <v>0</v>
      </c>
      <c r="DG14" s="336">
        <f t="shared" ca="1" si="81"/>
        <v>0</v>
      </c>
      <c r="DH14" s="332">
        <f t="shared" ca="1" si="82"/>
        <v>0</v>
      </c>
      <c r="DI14" s="332">
        <f t="shared" ca="1" si="83"/>
        <v>0</v>
      </c>
      <c r="DJ14" s="337">
        <f t="shared" ca="1" si="84"/>
        <v>0</v>
      </c>
      <c r="DK14" s="341">
        <f t="shared" ca="1" si="85"/>
        <v>0</v>
      </c>
      <c r="DL14" s="339">
        <f t="shared" ca="1" si="86"/>
        <v>0</v>
      </c>
      <c r="DM14" s="332">
        <f t="shared" ca="1" si="87"/>
        <v>0</v>
      </c>
      <c r="DN14" s="327"/>
      <c r="DO14" s="327" t="str">
        <f t="shared" ca="1" si="88"/>
        <v>--</v>
      </c>
      <c r="DP14" s="333"/>
      <c r="DQ14" s="327"/>
    </row>
  </sheetData>
  <mergeCells count="69">
    <mergeCell ref="C5:D6"/>
    <mergeCell ref="E5:F5"/>
    <mergeCell ref="G5:I5"/>
    <mergeCell ref="J5:L5"/>
    <mergeCell ref="P5:P6"/>
    <mergeCell ref="CV5:CV6"/>
    <mergeCell ref="V6:X6"/>
    <mergeCell ref="Y6:AA6"/>
    <mergeCell ref="AB6:AD6"/>
    <mergeCell ref="AQ6:AS6"/>
    <mergeCell ref="AT6:AV6"/>
    <mergeCell ref="AW6:AY6"/>
    <mergeCell ref="BL6:BN6"/>
    <mergeCell ref="AI5:AI6"/>
    <mergeCell ref="CM6:CO6"/>
    <mergeCell ref="CA5:CA6"/>
    <mergeCell ref="CC5:CE5"/>
    <mergeCell ref="CG5:CO5"/>
    <mergeCell ref="CP5:CS5"/>
    <mergeCell ref="CT5:CT6"/>
    <mergeCell ref="BY5:BY6"/>
    <mergeCell ref="E4:P4"/>
    <mergeCell ref="R4:AK4"/>
    <mergeCell ref="AM4:BF4"/>
    <mergeCell ref="BH4:CA4"/>
    <mergeCell ref="M5:M6"/>
    <mergeCell ref="N5:N6"/>
    <mergeCell ref="O5:O6"/>
    <mergeCell ref="R5:T5"/>
    <mergeCell ref="V5:AD5"/>
    <mergeCell ref="AE5:AH5"/>
    <mergeCell ref="U5:U6"/>
    <mergeCell ref="AP5:AP6"/>
    <mergeCell ref="AJ5:AJ6"/>
    <mergeCell ref="BE5:BE6"/>
    <mergeCell ref="AK5:AK6"/>
    <mergeCell ref="AM5:AO5"/>
    <mergeCell ref="R2:AK2"/>
    <mergeCell ref="AM2:BF2"/>
    <mergeCell ref="DO5:DO6"/>
    <mergeCell ref="DQ5:DQ6"/>
    <mergeCell ref="DH6:DJ6"/>
    <mergeCell ref="DP5:DP6"/>
    <mergeCell ref="CX4:DQ4"/>
    <mergeCell ref="DB6:DD6"/>
    <mergeCell ref="DE6:DG6"/>
    <mergeCell ref="CX5:CZ5"/>
    <mergeCell ref="DB5:DJ5"/>
    <mergeCell ref="DK5:DN5"/>
    <mergeCell ref="DA5:DA6"/>
    <mergeCell ref="CC4:CV4"/>
    <mergeCell ref="BF5:BF6"/>
    <mergeCell ref="BH5:BJ5"/>
    <mergeCell ref="BH2:CA2"/>
    <mergeCell ref="CC2:CV2"/>
    <mergeCell ref="CX2:DQ2"/>
    <mergeCell ref="AQ5:AY5"/>
    <mergeCell ref="AZ5:BC5"/>
    <mergeCell ref="BD5:BD6"/>
    <mergeCell ref="BL5:BT5"/>
    <mergeCell ref="BU5:BX5"/>
    <mergeCell ref="BO6:BQ6"/>
    <mergeCell ref="BK5:BK6"/>
    <mergeCell ref="CF5:CF6"/>
    <mergeCell ref="BZ5:BZ6"/>
    <mergeCell ref="CU5:CU6"/>
    <mergeCell ref="BR6:BT6"/>
    <mergeCell ref="CG6:CI6"/>
    <mergeCell ref="CJ6:CL6"/>
  </mergeCells>
  <phoneticPr fontId="169"/>
  <dataValidations count="1">
    <dataValidation type="list" allowBlank="1" showInputMessage="1" showErrorMessage="1" sqref="P2">
      <formula1>"1,2,3,4,5"</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R183"/>
  <sheetViews>
    <sheetView topLeftCell="Y1" zoomScale="78" zoomScaleNormal="78" workbookViewId="0">
      <selection activeCell="AT20" sqref="AR20:AT20"/>
    </sheetView>
  </sheetViews>
  <sheetFormatPr defaultColWidth="9.140625" defaultRowHeight="12.75" outlineLevelRow="1"/>
  <cols>
    <col min="1" max="1" width="1.7109375" customWidth="1"/>
    <col min="2" max="2" width="14.5703125" customWidth="1"/>
    <col min="3" max="3" width="23.28515625" customWidth="1"/>
    <col min="4" max="4" width="103" bestFit="1" customWidth="1"/>
    <col min="5" max="5" width="24.140625" customWidth="1"/>
    <col min="6" max="6" width="12.85546875" customWidth="1"/>
    <col min="7" max="8" width="15.42578125" customWidth="1"/>
    <col min="9" max="9" width="31.140625" customWidth="1"/>
    <col min="10" max="10" width="12.85546875" customWidth="1"/>
    <col min="11" max="11" width="15.7109375" customWidth="1"/>
    <col min="12" max="12" width="13" customWidth="1"/>
    <col min="13" max="13" width="13.42578125" customWidth="1"/>
    <col min="14" max="14" width="10.28515625" bestFit="1" customWidth="1"/>
    <col min="15" max="15" width="14.42578125" bestFit="1" customWidth="1"/>
    <col min="16" max="16" width="11.42578125" customWidth="1"/>
    <col min="17" max="17" width="18.85546875" bestFit="1" customWidth="1"/>
    <col min="18" max="20" width="11.42578125" customWidth="1"/>
    <col min="21" max="21" width="18.5703125" bestFit="1" customWidth="1"/>
    <col min="22" max="34" width="11.42578125" customWidth="1"/>
    <col min="35" max="35" width="13" customWidth="1"/>
    <col min="36" max="36" width="13.7109375" customWidth="1"/>
    <col min="38" max="38" width="4" customWidth="1"/>
    <col min="39" max="39" width="14.140625" customWidth="1"/>
    <col min="40" max="40" width="18.5703125" customWidth="1"/>
    <col min="41" max="41" width="11" bestFit="1" customWidth="1"/>
    <col min="42" max="42" width="12.140625" bestFit="1" customWidth="1"/>
    <col min="44" max="44" width="10.5703125" bestFit="1" customWidth="1"/>
  </cols>
  <sheetData>
    <row r="1" spans="1:44" s="128" customFormat="1" ht="15.75" outlineLevel="1" thickBot="1">
      <c r="A1" s="133" t="s">
        <v>440</v>
      </c>
      <c r="B1" s="133"/>
      <c r="C1" s="127">
        <f>COUNTA($D$15:$D$1000)-COUNTIF($K$15:$K$1000,"-")</f>
        <v>157</v>
      </c>
      <c r="D1" s="149" t="s">
        <v>1222</v>
      </c>
      <c r="E1" s="150">
        <f>COUNTIF($L$15:$L$1000,D1)</f>
        <v>0</v>
      </c>
      <c r="F1" s="127"/>
      <c r="G1" s="127"/>
      <c r="H1" s="127"/>
      <c r="I1" s="127"/>
      <c r="J1" s="127"/>
      <c r="K1" s="129"/>
      <c r="L1" s="127"/>
      <c r="M1" s="127"/>
      <c r="N1" s="127"/>
      <c r="O1" s="151" t="s">
        <v>1215</v>
      </c>
      <c r="P1" s="151">
        <f>COUNTIFS(Q15:Q1000,"*RVC*")</f>
        <v>0</v>
      </c>
      <c r="Q1" s="151" t="s">
        <v>895</v>
      </c>
      <c r="R1" s="151">
        <f>COUNTIFS(Q15:Q1000,"*GCS*")</f>
        <v>157</v>
      </c>
      <c r="S1" s="151" t="s">
        <v>1215</v>
      </c>
      <c r="T1" s="151">
        <f>COUNTIFS(U15:U1000,"*RVC*")</f>
        <v>0</v>
      </c>
      <c r="U1" s="151" t="s">
        <v>895</v>
      </c>
      <c r="V1" s="151">
        <f>COUNTIFS(U15:U1000,"*GCS*")</f>
        <v>157</v>
      </c>
      <c r="W1" s="151" t="s">
        <v>1215</v>
      </c>
      <c r="X1" s="151">
        <f>COUNTIFS(Y15:Y1000,"*RVC*")</f>
        <v>0</v>
      </c>
      <c r="Y1" s="151" t="s">
        <v>895</v>
      </c>
      <c r="Z1" s="151">
        <f>COUNTIFS(Y15:Y1000,"*GCS*")</f>
        <v>0</v>
      </c>
      <c r="AA1" s="151" t="s">
        <v>1215</v>
      </c>
      <c r="AB1" s="151">
        <f>COUNTIFS(AC15:AC1000,"*RVC*")</f>
        <v>0</v>
      </c>
      <c r="AC1" s="151" t="s">
        <v>895</v>
      </c>
      <c r="AD1" s="151">
        <f>COUNTIFS(AC15:AC1000,"*GCS*")</f>
        <v>0</v>
      </c>
      <c r="AE1" s="151" t="s">
        <v>1215</v>
      </c>
      <c r="AF1" s="151">
        <f>COUNTIFS(AG15:AG1000,"*RVC*")</f>
        <v>0</v>
      </c>
      <c r="AG1" s="151" t="s">
        <v>895</v>
      </c>
      <c r="AH1" s="151">
        <f>COUNTIFS(AG15:AG1000,"*GCS*")</f>
        <v>0</v>
      </c>
      <c r="AI1" s="127"/>
      <c r="AJ1" s="152"/>
    </row>
    <row r="2" spans="1:44" s="146" customFormat="1" ht="16.5" customHeight="1" outlineLevel="1">
      <c r="A2" s="153"/>
      <c r="B2" s="153" t="s">
        <v>425</v>
      </c>
      <c r="C2" s="145">
        <f>SUM(COUNTIF($L$15:$L$1000,{"*Ju*","*RCP*"}))</f>
        <v>139</v>
      </c>
      <c r="D2" s="99" t="s">
        <v>1223</v>
      </c>
      <c r="E2" s="100">
        <f>COUNTIF($L$15:$L$1000,D2)</f>
        <v>0</v>
      </c>
      <c r="F2" s="145"/>
      <c r="G2" s="145"/>
      <c r="H2" s="145"/>
      <c r="I2" s="145"/>
      <c r="J2" s="145"/>
      <c r="L2" s="154"/>
      <c r="M2" s="145"/>
      <c r="N2" s="145"/>
      <c r="O2" s="155"/>
      <c r="P2" s="156" t="s">
        <v>439</v>
      </c>
      <c r="Q2" s="156" t="s">
        <v>425</v>
      </c>
      <c r="R2" s="157" t="s">
        <v>438</v>
      </c>
      <c r="S2" s="155"/>
      <c r="T2" s="156" t="s">
        <v>439</v>
      </c>
      <c r="U2" s="156" t="s">
        <v>425</v>
      </c>
      <c r="V2" s="157" t="s">
        <v>438</v>
      </c>
      <c r="W2" s="155"/>
      <c r="X2" s="156" t="s">
        <v>439</v>
      </c>
      <c r="Y2" s="156" t="s">
        <v>425</v>
      </c>
      <c r="Z2" s="157" t="s">
        <v>438</v>
      </c>
      <c r="AA2" s="155"/>
      <c r="AB2" s="156" t="s">
        <v>439</v>
      </c>
      <c r="AC2" s="156" t="s">
        <v>425</v>
      </c>
      <c r="AD2" s="157" t="s">
        <v>438</v>
      </c>
      <c r="AE2" s="155"/>
      <c r="AF2" s="156" t="s">
        <v>439</v>
      </c>
      <c r="AG2" s="156" t="s">
        <v>425</v>
      </c>
      <c r="AH2" s="157" t="s">
        <v>438</v>
      </c>
      <c r="AI2" s="118" t="s">
        <v>1240</v>
      </c>
      <c r="AJ2" s="119" t="s">
        <v>423</v>
      </c>
      <c r="AK2" s="118" t="s">
        <v>1241</v>
      </c>
      <c r="AM2" s="158" t="s">
        <v>1264</v>
      </c>
      <c r="AN2" s="159">
        <f>Summary!P2</f>
        <v>1</v>
      </c>
      <c r="AO2" s="118" t="s">
        <v>1265</v>
      </c>
      <c r="AP2" s="118" t="s">
        <v>1266</v>
      </c>
      <c r="AQ2" s="118" t="s">
        <v>1267</v>
      </c>
      <c r="AR2" s="118" t="s">
        <v>1258</v>
      </c>
    </row>
    <row r="3" spans="1:44" s="146" customFormat="1" ht="16.5" customHeight="1" outlineLevel="1">
      <c r="A3" s="153"/>
      <c r="B3" s="153" t="s">
        <v>438</v>
      </c>
      <c r="C3" s="145">
        <f>C1-C2</f>
        <v>18</v>
      </c>
      <c r="D3" s="160"/>
      <c r="E3" s="148"/>
      <c r="F3" s="161"/>
      <c r="G3" s="161"/>
      <c r="H3" s="142" t="s">
        <v>1258</v>
      </c>
      <c r="I3" s="143" t="s">
        <v>1259</v>
      </c>
      <c r="J3" s="144" t="s">
        <v>1240</v>
      </c>
      <c r="L3" s="162"/>
      <c r="M3" s="163" t="s">
        <v>1215</v>
      </c>
      <c r="N3" s="163">
        <f>COUNTIFS($N$15:$N$1000,"*RVC*")</f>
        <v>0</v>
      </c>
      <c r="O3" s="164" t="s">
        <v>437</v>
      </c>
      <c r="P3" s="165">
        <f>SUM(Q3:R3)</f>
        <v>157</v>
      </c>
      <c r="Q3" s="166">
        <f>SUM(Q4:Q5)</f>
        <v>139</v>
      </c>
      <c r="R3" s="167">
        <f>SUM(R4:R5)</f>
        <v>18</v>
      </c>
      <c r="S3" s="164" t="s">
        <v>437</v>
      </c>
      <c r="T3" s="165">
        <f>SUM(U3:V3)</f>
        <v>157</v>
      </c>
      <c r="U3" s="166">
        <f>SUM(U4:U5)</f>
        <v>139</v>
      </c>
      <c r="V3" s="167">
        <f>SUM(V4:V5)</f>
        <v>18</v>
      </c>
      <c r="W3" s="164" t="s">
        <v>437</v>
      </c>
      <c r="X3" s="165">
        <f>SUM(Y3:Z3)</f>
        <v>0</v>
      </c>
      <c r="Y3" s="166">
        <f>SUM(Y4:Y5)</f>
        <v>0</v>
      </c>
      <c r="Z3" s="167">
        <f>SUM(Z4:Z5)</f>
        <v>0</v>
      </c>
      <c r="AA3" s="164" t="s">
        <v>437</v>
      </c>
      <c r="AB3" s="165">
        <f>SUM(AC3:AD3)</f>
        <v>0</v>
      </c>
      <c r="AC3" s="166">
        <f>SUM(AC4:AC5)</f>
        <v>0</v>
      </c>
      <c r="AD3" s="167">
        <f>SUM(AD4:AD5)</f>
        <v>0</v>
      </c>
      <c r="AE3" s="164" t="s">
        <v>437</v>
      </c>
      <c r="AF3" s="165">
        <f>SUM(AG3:AH3)</f>
        <v>0</v>
      </c>
      <c r="AG3" s="166">
        <f>SUM(AG4:AG5)</f>
        <v>0</v>
      </c>
      <c r="AH3" s="168">
        <f>SUM(AH4:AH5)</f>
        <v>0</v>
      </c>
      <c r="AI3" s="120">
        <f ca="1">SUMIFS($AI$15:$AI$1500,$L$15:$L$1500,"*Manual*", INDIRECT(VLOOKUP($AN$2,$AM$3:$AN$7,2,FALSE)),"*"&amp;AJ3&amp;"*")</f>
        <v>0</v>
      </c>
      <c r="AJ3" s="120" t="s">
        <v>1242</v>
      </c>
      <c r="AK3" s="121">
        <f ca="1">COUNTIFS($L$15:$L$1500, "*Manual*", INDIRECT(VLOOKUP($AN$2,$AM$3:$AN$7,2,FALSE)),  "*"&amp;AJ3&amp;"*")</f>
        <v>0</v>
      </c>
      <c r="AM3" s="141">
        <v>1</v>
      </c>
      <c r="AN3" s="141" t="s">
        <v>1268</v>
      </c>
      <c r="AO3" s="141">
        <f ca="1">SUMIFS($AI$15:$AI$1500,$L$15:$L$1500,"*Manual*", INDIRECT(AN3),"&lt;&gt;"&amp;"")</f>
        <v>115</v>
      </c>
      <c r="AP3" s="141">
        <f ca="1">COUNTIFS($L$15:$L$1500,"*Manual*",INDIRECT(AN3),"&lt;&gt;"&amp;"")</f>
        <v>18</v>
      </c>
      <c r="AQ3" s="141">
        <f ca="1">IFERROR(AO3/AP3,0)</f>
        <v>6.3888888888888893</v>
      </c>
      <c r="AR3" s="141" t="str">
        <f ca="1">IF(AQ3&gt;0,IF(AQ3&gt;=14,"D",IF(AQ3&gt;=8,"N","E")),"NOT-YET")</f>
        <v>E</v>
      </c>
    </row>
    <row r="4" spans="1:44" s="146" customFormat="1" ht="16.5" customHeight="1" outlineLevel="1">
      <c r="C4" s="145"/>
      <c r="D4" s="160"/>
      <c r="E4" s="148"/>
      <c r="H4" s="145" t="s">
        <v>1260</v>
      </c>
      <c r="I4" s="146">
        <f ca="1">COUNTIFS($L$15:$L$1500,"*Manual*",INDIRECT(VLOOKUP($AN$2,$AM$3:$AN$7,2,FALSE)),  "&lt;&gt;"&amp;"", $AI$15:$AI$1500,"*"&amp;H4&amp;"*")</f>
        <v>0</v>
      </c>
      <c r="J4" s="147">
        <f ca="1">SUMIFS($AI$15:$AI$1500,$L$15:$L$1500,"*Manual*", INDIRECT(VLOOKUP($AN$2,$AM$3:$AN$7,2,FALSE)),"&lt;&gt;"&amp;"",$AJ$15:$AJ$1500,"*"&amp;H4&amp;"*")</f>
        <v>60</v>
      </c>
      <c r="M4" s="163" t="s">
        <v>895</v>
      </c>
      <c r="N4" s="163">
        <f>COUNTIFS($N$15:$N$1000,"*GCS*")</f>
        <v>157</v>
      </c>
      <c r="O4" s="169" t="s">
        <v>0</v>
      </c>
      <c r="P4" s="170">
        <f>COUNTIF(O$15:O$1000,O4)</f>
        <v>152</v>
      </c>
      <c r="Q4" s="166">
        <f>SUM(COUNTIFS(Q$15:Q$2500,{"*Ju*","*RCP*"},O$15:O$2500,O4))</f>
        <v>135</v>
      </c>
      <c r="R4" s="171">
        <f>P4-Q4</f>
        <v>17</v>
      </c>
      <c r="S4" s="169" t="s">
        <v>0</v>
      </c>
      <c r="T4" s="170">
        <f>COUNTIF(S$15:S$1000,S4)</f>
        <v>153</v>
      </c>
      <c r="U4" s="166">
        <f>SUM(COUNTIFS(U$15:U$2500,{"*Ju*","*RCP*"},S$15:S$2500,S4))</f>
        <v>135</v>
      </c>
      <c r="V4" s="171">
        <f>T4-U4</f>
        <v>18</v>
      </c>
      <c r="W4" s="169" t="s">
        <v>0</v>
      </c>
      <c r="X4" s="170">
        <f>COUNTIF(W$15:W$1000,W4)</f>
        <v>0</v>
      </c>
      <c r="Y4" s="166">
        <f>SUM(COUNTIFS(Y$15:Y$2500,{"*Ju*","*RCP*"},W$15:W$2500,W4))</f>
        <v>0</v>
      </c>
      <c r="Z4" s="171">
        <f>X4-Y4</f>
        <v>0</v>
      </c>
      <c r="AA4" s="169" t="s">
        <v>0</v>
      </c>
      <c r="AB4" s="170">
        <f>COUNTIF(AA$15:AA$1000,AA4)</f>
        <v>0</v>
      </c>
      <c r="AC4" s="166">
        <f>SUM(COUNTIFS(AC$15:AC$2500,{"*Ju*","*RCP*"},AA$15:AA$2500,AA4))</f>
        <v>0</v>
      </c>
      <c r="AD4" s="171">
        <f>AB4-AC4</f>
        <v>0</v>
      </c>
      <c r="AE4" s="169" t="s">
        <v>0</v>
      </c>
      <c r="AF4" s="170">
        <f>COUNTIF(AE$15:AE$1000,AE4)</f>
        <v>0</v>
      </c>
      <c r="AG4" s="166">
        <f>SUM(COUNTIFS(AG$15:AG$2500,{"*Ju*","*RCP*"},AE$15:AE$2500,AE4))</f>
        <v>0</v>
      </c>
      <c r="AH4" s="172">
        <f>AF4-AG4</f>
        <v>0</v>
      </c>
      <c r="AI4" s="120">
        <f t="shared" ref="AI4:AI8" ca="1" si="0">SUMIFS($AI$15:$AI$1500,$L$15:$L$1500,"*Manual*", INDIRECT(VLOOKUP($AN$2,$AM$3:$AN$7,2,FALSE)),"*"&amp;AJ4&amp;"*")</f>
        <v>0</v>
      </c>
      <c r="AJ4" s="120" t="s">
        <v>1243</v>
      </c>
      <c r="AK4" s="121">
        <f t="shared" ref="AK4:AK9" ca="1" si="1">COUNTIFS($L$15:$L$1500, "*Manual*", INDIRECT(VLOOKUP($AN$2,$AM$3:$AN$7,2,FALSE)),  "*"&amp;AJ4&amp;"*")</f>
        <v>0</v>
      </c>
      <c r="AM4" s="141">
        <v>2</v>
      </c>
      <c r="AN4" s="141" t="s">
        <v>1269</v>
      </c>
      <c r="AO4" s="141">
        <f t="shared" ref="AO4:AO7" ca="1" si="2">SUMIFS($AI$15:$AI$1500,$L$15:$L$1500,"*Manual*", INDIRECT(AN4),"&lt;&gt;"&amp;"")</f>
        <v>115</v>
      </c>
      <c r="AP4" s="141">
        <f t="shared" ref="AP4:AP7" ca="1" si="3">COUNTIFS($L$15:$L$1500,"*Manual*",INDIRECT(AN4),"&lt;&gt;"&amp;"")</f>
        <v>18</v>
      </c>
      <c r="AQ4" s="141">
        <f t="shared" ref="AQ4:AQ7" ca="1" si="4">IFERROR(AO4/AP4,0)</f>
        <v>6.3888888888888893</v>
      </c>
      <c r="AR4" s="141" t="str">
        <f t="shared" ref="AR4:AR7" ca="1" si="5">IF(AQ4&gt;0,IF(AQ4&gt;=14,"D",IF(AQ4&gt;=8,"N","E")),"NOT-YET")</f>
        <v>E</v>
      </c>
    </row>
    <row r="5" spans="1:44" s="146" customFormat="1" ht="16.5" customHeight="1" outlineLevel="1">
      <c r="C5" s="145"/>
      <c r="D5" s="160"/>
      <c r="E5" s="148"/>
      <c r="H5" s="145" t="s">
        <v>1261</v>
      </c>
      <c r="I5" s="146">
        <f t="shared" ref="I5:I6" ca="1" si="6">COUNTIFS($L$15:$L$1500,"*Manual*",INDIRECT(VLOOKUP($AN$2,$AM$3:$AN$7,2,FALSE)),  "&lt;&gt;"&amp;"", $AI$15:$AI$1500,"*"&amp;H5&amp;"*")</f>
        <v>0</v>
      </c>
      <c r="J5" s="147">
        <f t="shared" ref="J5:J6" ca="1" si="7">SUMIFS($AI$15:$AI$1500,$L$15:$L$1500,"*Manual*", INDIRECT(VLOOKUP($AN$2,$AM$3:$AN$7,2,FALSE)),"&lt;&gt;"&amp;"",$AJ$15:$AJ$1500,"*"&amp;H5&amp;"*")</f>
        <v>10</v>
      </c>
      <c r="K5" s="148"/>
      <c r="M5" s="101" t="s">
        <v>0</v>
      </c>
      <c r="N5" s="101">
        <f>COUNTIFS($M$15:$M$1000,"*Pass*")</f>
        <v>153</v>
      </c>
      <c r="O5" s="173" t="s">
        <v>436</v>
      </c>
      <c r="P5" s="174">
        <f>SUM(P6:P9)</f>
        <v>5</v>
      </c>
      <c r="Q5" s="166">
        <f>SUM(Q6:Q9)</f>
        <v>4</v>
      </c>
      <c r="R5" s="171">
        <f>SUM(R6:R9)</f>
        <v>1</v>
      </c>
      <c r="S5" s="173" t="s">
        <v>436</v>
      </c>
      <c r="T5" s="174">
        <f>SUM(T6:T9)</f>
        <v>4</v>
      </c>
      <c r="U5" s="166">
        <f>SUM(U6:U9)</f>
        <v>4</v>
      </c>
      <c r="V5" s="171">
        <f>SUM(V6:V9)</f>
        <v>0</v>
      </c>
      <c r="W5" s="173" t="s">
        <v>436</v>
      </c>
      <c r="X5" s="174">
        <f>SUM(X6:X9)</f>
        <v>0</v>
      </c>
      <c r="Y5" s="166">
        <f>SUM(Y6:Y9)</f>
        <v>0</v>
      </c>
      <c r="Z5" s="171">
        <f>SUM(Z6:Z9)</f>
        <v>0</v>
      </c>
      <c r="AA5" s="173" t="s">
        <v>436</v>
      </c>
      <c r="AB5" s="174">
        <f>SUM(AB6:AB9)</f>
        <v>0</v>
      </c>
      <c r="AC5" s="166">
        <f>SUM(AC6:AC9)</f>
        <v>0</v>
      </c>
      <c r="AD5" s="171">
        <f>SUM(AD6:AD9)</f>
        <v>0</v>
      </c>
      <c r="AE5" s="173" t="s">
        <v>436</v>
      </c>
      <c r="AF5" s="174">
        <f>SUM(AF6:AF9)</f>
        <v>0</v>
      </c>
      <c r="AG5" s="166">
        <f>SUM(AG6:AG9)</f>
        <v>0</v>
      </c>
      <c r="AH5" s="172">
        <f>SUM(AH6:AH9)</f>
        <v>0</v>
      </c>
      <c r="AI5" s="120">
        <f t="shared" ca="1" si="0"/>
        <v>22</v>
      </c>
      <c r="AJ5" s="120" t="s">
        <v>1244</v>
      </c>
      <c r="AK5" s="121">
        <f t="shared" ca="1" si="1"/>
        <v>2</v>
      </c>
      <c r="AM5" s="141">
        <v>3</v>
      </c>
      <c r="AN5" s="141" t="s">
        <v>1270</v>
      </c>
      <c r="AO5" s="141">
        <f t="shared" ca="1" si="2"/>
        <v>0</v>
      </c>
      <c r="AP5" s="141">
        <f t="shared" ca="1" si="3"/>
        <v>0</v>
      </c>
      <c r="AQ5" s="141">
        <f t="shared" ca="1" si="4"/>
        <v>0</v>
      </c>
      <c r="AR5" s="141" t="str">
        <f t="shared" ca="1" si="5"/>
        <v>NOT-YET</v>
      </c>
    </row>
    <row r="6" spans="1:44" s="146" customFormat="1" ht="16.5" customHeight="1" outlineLevel="1">
      <c r="A6" s="175" t="s">
        <v>1224</v>
      </c>
      <c r="C6" s="145">
        <f>COUNTIF($K$15:$K$1000,"5.3")</f>
        <v>0</v>
      </c>
      <c r="D6" s="145"/>
      <c r="E6" s="160"/>
      <c r="H6" s="145" t="s">
        <v>1262</v>
      </c>
      <c r="I6" s="146">
        <f t="shared" ca="1" si="6"/>
        <v>0</v>
      </c>
      <c r="J6" s="147">
        <f t="shared" ca="1" si="7"/>
        <v>45</v>
      </c>
      <c r="K6" s="148"/>
      <c r="M6" s="101" t="s">
        <v>436</v>
      </c>
      <c r="N6" s="101">
        <f>COUNTIFS($M$15:$M$1000,"*Fail*")</f>
        <v>4</v>
      </c>
      <c r="O6" s="173" t="s">
        <v>435</v>
      </c>
      <c r="P6" s="174">
        <f>COUNTIF(O$15:O$1000,"*"&amp;O6&amp;"*")</f>
        <v>0</v>
      </c>
      <c r="Q6" s="166">
        <f>SUM(COUNTIFS(Q$15:Q$2500,{"*Ju*","*RCP*"},O$15:O$2500,O6))</f>
        <v>0</v>
      </c>
      <c r="R6" s="171">
        <f>P6-Q6</f>
        <v>0</v>
      </c>
      <c r="S6" s="173" t="s">
        <v>435</v>
      </c>
      <c r="T6" s="174">
        <f>COUNTIF(S$15:S$1000,"*"&amp;S6&amp;"*")</f>
        <v>0</v>
      </c>
      <c r="U6" s="166">
        <f>SUM(COUNTIFS(U$15:U$2500,{"*Ju*","*RCP*"},S$15:S$2500,S6))</f>
        <v>0</v>
      </c>
      <c r="V6" s="171">
        <f>T6-U6</f>
        <v>0</v>
      </c>
      <c r="W6" s="173" t="s">
        <v>435</v>
      </c>
      <c r="X6" s="174">
        <f>COUNTIF(W$15:W$1000,"*"&amp;W6&amp;"*")</f>
        <v>0</v>
      </c>
      <c r="Y6" s="166">
        <f>SUM(COUNTIFS(Y$15:Y$2500,{"*Ju*","*RCP*"},W$15:W$2500,W6))</f>
        <v>0</v>
      </c>
      <c r="Z6" s="171">
        <f>X6-Y6</f>
        <v>0</v>
      </c>
      <c r="AA6" s="173" t="s">
        <v>435</v>
      </c>
      <c r="AB6" s="174">
        <f>COUNTIF(AA$15:AA$1000,"*"&amp;AA6&amp;"*")</f>
        <v>0</v>
      </c>
      <c r="AC6" s="166">
        <f>SUM(COUNTIFS(AC$15:AC$2500,{"*Ju*","*RCP*"},AA$15:AA$2500,AA6))</f>
        <v>0</v>
      </c>
      <c r="AD6" s="171">
        <f>AB6-AC6</f>
        <v>0</v>
      </c>
      <c r="AE6" s="173" t="s">
        <v>435</v>
      </c>
      <c r="AF6" s="174">
        <f>COUNTIF(AE$15:AE$1000,"*"&amp;AE6&amp;"*")</f>
        <v>0</v>
      </c>
      <c r="AG6" s="166">
        <f>SUM(COUNTIFS(AG$15:AG$2500,{"*Ju*","*RCP*"},AE$15:AE$2500,AE6))</f>
        <v>0</v>
      </c>
      <c r="AH6" s="172">
        <f>AF6-AG6</f>
        <v>0</v>
      </c>
      <c r="AI6" s="120">
        <f t="shared" ca="1" si="0"/>
        <v>93</v>
      </c>
      <c r="AJ6" s="120" t="s">
        <v>1245</v>
      </c>
      <c r="AK6" s="121">
        <f t="shared" ca="1" si="1"/>
        <v>16</v>
      </c>
      <c r="AM6" s="141">
        <v>4</v>
      </c>
      <c r="AN6" s="141" t="s">
        <v>1271</v>
      </c>
      <c r="AO6" s="141">
        <f t="shared" ca="1" si="2"/>
        <v>0</v>
      </c>
      <c r="AP6" s="141">
        <f t="shared" ca="1" si="3"/>
        <v>0</v>
      </c>
      <c r="AQ6" s="141">
        <f ca="1">IFERROR(AO6/AP6,0)</f>
        <v>0</v>
      </c>
      <c r="AR6" s="141" t="str">
        <f t="shared" ca="1" si="5"/>
        <v>NOT-YET</v>
      </c>
    </row>
    <row r="7" spans="1:44" s="146" customFormat="1" ht="16.5" customHeight="1" outlineLevel="1">
      <c r="C7" s="145"/>
      <c r="D7" s="145"/>
      <c r="E7" s="160"/>
      <c r="H7" s="145"/>
      <c r="I7" s="148"/>
      <c r="K7" s="148"/>
      <c r="M7" s="101" t="s">
        <v>1225</v>
      </c>
      <c r="N7" s="101">
        <f>COUNTIFS($M$15:$M$1000,"*Skip*")</f>
        <v>0</v>
      </c>
      <c r="O7" s="173" t="s">
        <v>283</v>
      </c>
      <c r="P7" s="174">
        <f>COUNTIF(O$15:O$1000,"*"&amp;O7&amp;"*")</f>
        <v>0</v>
      </c>
      <c r="Q7" s="166">
        <f>SUM(COUNTIFS(Q$15:Q$2500,{"*Ju*","*RCP*"},O$15:O$2500,O7))</f>
        <v>0</v>
      </c>
      <c r="R7" s="171">
        <f>P7-Q7</f>
        <v>0</v>
      </c>
      <c r="S7" s="173" t="s">
        <v>283</v>
      </c>
      <c r="T7" s="174">
        <f>COUNTIF(S$15:S$1000,"*"&amp;S7&amp;"*")</f>
        <v>0</v>
      </c>
      <c r="U7" s="166">
        <f>SUM(COUNTIFS(U$15:U$2500,{"*Ju*","*RCP*"},S$15:S$2500,S7))</f>
        <v>0</v>
      </c>
      <c r="V7" s="171">
        <f>T7-U7</f>
        <v>0</v>
      </c>
      <c r="W7" s="173" t="s">
        <v>283</v>
      </c>
      <c r="X7" s="174">
        <f>COUNTIF(W$15:W$1000,"*"&amp;W7&amp;"*")</f>
        <v>0</v>
      </c>
      <c r="Y7" s="166">
        <f>SUM(COUNTIFS(Y$15:Y$2500,{"*Ju*","*RCP*"},W$15:W$2500,W7))</f>
        <v>0</v>
      </c>
      <c r="Z7" s="171">
        <f>X7-Y7</f>
        <v>0</v>
      </c>
      <c r="AA7" s="173" t="s">
        <v>283</v>
      </c>
      <c r="AB7" s="174">
        <f>COUNTIF(AA$15:AA$1000,"*"&amp;AA7&amp;"*")</f>
        <v>0</v>
      </c>
      <c r="AC7" s="166">
        <f>SUM(COUNTIFS(AC$15:AC$2500,{"*Ju*","*RCP*"},AA$15:AA$2500,AA7))</f>
        <v>0</v>
      </c>
      <c r="AD7" s="171">
        <f>AB7-AC7</f>
        <v>0</v>
      </c>
      <c r="AE7" s="173" t="s">
        <v>283</v>
      </c>
      <c r="AF7" s="174">
        <f>COUNTIF(AE$15:AE$1000,"*"&amp;AE7&amp;"*")</f>
        <v>0</v>
      </c>
      <c r="AG7" s="166">
        <f>SUM(COUNTIFS(AG$15:AG$2500,{"*Ju*","*RCP*"},AE$15:AE$2500,AE7))</f>
        <v>0</v>
      </c>
      <c r="AH7" s="172">
        <f>AF7-AG7</f>
        <v>0</v>
      </c>
      <c r="AI7" s="120">
        <f t="shared" ca="1" si="0"/>
        <v>0</v>
      </c>
      <c r="AJ7" s="120" t="s">
        <v>1246</v>
      </c>
      <c r="AK7" s="121">
        <f t="shared" ca="1" si="1"/>
        <v>0</v>
      </c>
      <c r="AM7" s="141">
        <v>5</v>
      </c>
      <c r="AN7" s="141" t="s">
        <v>1272</v>
      </c>
      <c r="AO7" s="141">
        <f t="shared" ca="1" si="2"/>
        <v>0</v>
      </c>
      <c r="AP7" s="141">
        <f t="shared" ca="1" si="3"/>
        <v>0</v>
      </c>
      <c r="AQ7" s="141">
        <f t="shared" ca="1" si="4"/>
        <v>0</v>
      </c>
      <c r="AR7" s="141" t="str">
        <f t="shared" ca="1" si="5"/>
        <v>NOT-YET</v>
      </c>
    </row>
    <row r="8" spans="1:44" s="146" customFormat="1" ht="16.5" customHeight="1" outlineLevel="1">
      <c r="C8" s="145"/>
      <c r="D8" s="145"/>
      <c r="E8" s="160"/>
      <c r="H8" s="122" t="s">
        <v>1263</v>
      </c>
      <c r="I8" s="146">
        <f ca="1">COUNTIFS($L$15:$L$1500,"*Manual*",INDIRECT(VLOOKUP($AN$2,$AM$3:$AN$7,2,FALSE)),  "&lt;&gt;"&amp;"", $AI$15:$AI$1500,"&gt;=60")</f>
        <v>0</v>
      </c>
      <c r="J8" s="147">
        <f ca="1">SUMIFS($AI$15:$AI$1500,$L$15:$L$1500,"*Manual*", INDIRECT(VLOOKUP($AN$2,$AM$3:$AN$7,2,FALSE)),"&lt;&gt;"&amp;"",$AI$15:$AI$1500,"&gt;=60")</f>
        <v>0</v>
      </c>
      <c r="K8" s="148"/>
      <c r="O8" s="173" t="s">
        <v>434</v>
      </c>
      <c r="P8" s="174">
        <f>COUNTIF(O$15:O$1000,"*"&amp;O8&amp;"*")</f>
        <v>0</v>
      </c>
      <c r="Q8" s="166">
        <f>SUM(COUNTIFS(Q$15:Q$2500,{"*Ju*","*RCP*"},O$15:O$2500,O8))</f>
        <v>0</v>
      </c>
      <c r="R8" s="171">
        <f>P8-Q8</f>
        <v>0</v>
      </c>
      <c r="S8" s="173" t="s">
        <v>434</v>
      </c>
      <c r="T8" s="174">
        <f>COUNTIF(S$15:S$1000,"*"&amp;S8&amp;"*")</f>
        <v>0</v>
      </c>
      <c r="U8" s="166">
        <f>SUM(COUNTIFS(U$15:U$2500,{"*Ju*","*RCP*"},S$15:S$2500,S8))</f>
        <v>0</v>
      </c>
      <c r="V8" s="171">
        <f>T8-U8</f>
        <v>0</v>
      </c>
      <c r="W8" s="173" t="s">
        <v>434</v>
      </c>
      <c r="X8" s="174">
        <f>COUNTIF(W$15:W$1000,"*"&amp;W8&amp;"*")</f>
        <v>0</v>
      </c>
      <c r="Y8" s="166">
        <f>SUM(COUNTIFS(Y$15:Y$2500,{"*Ju*","*RCP*"},W$15:W$2500,W8))</f>
        <v>0</v>
      </c>
      <c r="Z8" s="171">
        <f>X8-Y8</f>
        <v>0</v>
      </c>
      <c r="AA8" s="173" t="s">
        <v>434</v>
      </c>
      <c r="AB8" s="174">
        <f>COUNTIF(AA$15:AA$1000,"*"&amp;AA8&amp;"*")</f>
        <v>0</v>
      </c>
      <c r="AC8" s="166">
        <f>SUM(COUNTIFS(AC$15:AC$2500,{"*Ju*","*RCP*"},AA$15:AA$2500,AA8))</f>
        <v>0</v>
      </c>
      <c r="AD8" s="171">
        <f>AB8-AC8</f>
        <v>0</v>
      </c>
      <c r="AE8" s="173" t="s">
        <v>434</v>
      </c>
      <c r="AF8" s="174">
        <f>COUNTIF(AE$15:AE$1000,"*"&amp;AE8&amp;"*")</f>
        <v>0</v>
      </c>
      <c r="AG8" s="166">
        <f>SUM(COUNTIFS(AG$15:AG$2500,{"*Ju*","*RCP*"},AE$15:AE$2500,AE8))</f>
        <v>0</v>
      </c>
      <c r="AH8" s="172">
        <f>AF8-AG8</f>
        <v>0</v>
      </c>
      <c r="AI8" s="120">
        <f t="shared" ca="1" si="0"/>
        <v>0</v>
      </c>
      <c r="AJ8" s="120" t="s">
        <v>1276</v>
      </c>
      <c r="AK8" s="121">
        <f t="shared" ca="1" si="1"/>
        <v>0</v>
      </c>
      <c r="AO8" s="176"/>
    </row>
    <row r="9" spans="1:44" s="146" customFormat="1" ht="16.5" customHeight="1" outlineLevel="1">
      <c r="C9" s="145"/>
      <c r="D9" s="145"/>
      <c r="E9" s="160"/>
      <c r="I9" s="161"/>
      <c r="J9" s="145"/>
      <c r="K9" s="148"/>
      <c r="O9" s="173" t="s">
        <v>18</v>
      </c>
      <c r="P9" s="174">
        <f>COUNTIF(O$15:O$1000,"*"&amp;O9&amp;"*")</f>
        <v>5</v>
      </c>
      <c r="Q9" s="166">
        <f>SUM(COUNTIFS(Q$15:Q$2500,{"*Ju*","*RCP*"},O$15:O$2500,O9))</f>
        <v>4</v>
      </c>
      <c r="R9" s="171">
        <f>P9-Q9</f>
        <v>1</v>
      </c>
      <c r="S9" s="173" t="s">
        <v>18</v>
      </c>
      <c r="T9" s="174">
        <f>COUNTIF(S$15:S$1000,"*"&amp;S9&amp;"*")</f>
        <v>4</v>
      </c>
      <c r="U9" s="166">
        <f>SUM(COUNTIFS(U$15:U$2500,{"*Ju*","*RCP*"},S$15:S$2500,S9))</f>
        <v>4</v>
      </c>
      <c r="V9" s="171">
        <f>T9-U9</f>
        <v>0</v>
      </c>
      <c r="W9" s="173" t="s">
        <v>18</v>
      </c>
      <c r="X9" s="174">
        <f>COUNTIF(W$15:W$1000,"*"&amp;W9&amp;"*")</f>
        <v>0</v>
      </c>
      <c r="Y9" s="166">
        <f>SUM(COUNTIFS(Y$15:Y$2500,{"*Ju*","*RCP*"},W$15:W$2500,W9))</f>
        <v>0</v>
      </c>
      <c r="Z9" s="171">
        <f>X9-Y9</f>
        <v>0</v>
      </c>
      <c r="AA9" s="173" t="s">
        <v>18</v>
      </c>
      <c r="AB9" s="174">
        <f>COUNTIF(AA$15:AA$1000,"*"&amp;AA9&amp;"*")</f>
        <v>0</v>
      </c>
      <c r="AC9" s="166">
        <f>SUM(COUNTIFS(AC$15:AC$2500,{"*Ju*","*RCP*"},AA$15:AA$2500,AA9))</f>
        <v>0</v>
      </c>
      <c r="AD9" s="171">
        <f>AB9-AC9</f>
        <v>0</v>
      </c>
      <c r="AE9" s="173" t="s">
        <v>18</v>
      </c>
      <c r="AF9" s="174">
        <f>COUNTIF(AE$15:AE$1000,"*"&amp;AE9&amp;"*")</f>
        <v>0</v>
      </c>
      <c r="AG9" s="166">
        <f>SUM(COUNTIFS(AG$15:AG$2500,{"*Ju*","*RCP*"},AE$15:AE$2500,AE9))</f>
        <v>0</v>
      </c>
      <c r="AH9" s="172">
        <f>AF9-AG9</f>
        <v>0</v>
      </c>
      <c r="AI9" s="120">
        <f ca="1">SUMIFS($AI$15:$AI$1500,$L$15:$L$1500,"*Manual*", INDIRECT(VLOOKUP($AN$2,$AM$3:$AN$7,2,FALSE)),"*"&amp;AJ9&amp;"*")</f>
        <v>0</v>
      </c>
      <c r="AJ9" s="120" t="s">
        <v>1277</v>
      </c>
      <c r="AK9" s="121">
        <f t="shared" ca="1" si="1"/>
        <v>0</v>
      </c>
      <c r="AM9" s="177"/>
      <c r="AN9" s="177"/>
    </row>
    <row r="10" spans="1:44" s="146" customFormat="1" ht="16.5" customHeight="1" outlineLevel="1" thickBot="1">
      <c r="C10" s="145"/>
      <c r="D10" s="145"/>
      <c r="E10" s="160"/>
      <c r="I10" s="161"/>
      <c r="J10" s="145"/>
      <c r="K10" s="148"/>
      <c r="O10" s="178" t="s">
        <v>1278</v>
      </c>
      <c r="P10" s="179">
        <f>COUNTIF(O$15:O$1000,"*"&amp;O10&amp;"*")</f>
        <v>0</v>
      </c>
      <c r="Q10" s="166">
        <f>SUM(COUNTIFS(Q$15:Q$2500,{"*Ju*","*RCP*"},O$15:O$2500,O10))</f>
        <v>0</v>
      </c>
      <c r="R10" s="180">
        <f>P10-Q10</f>
        <v>0</v>
      </c>
      <c r="S10" s="178" t="s">
        <v>1278</v>
      </c>
      <c r="T10" s="179">
        <f>COUNTIF(S$15:S$1000,"*"&amp;S10&amp;"*")</f>
        <v>0</v>
      </c>
      <c r="U10" s="166">
        <f>SUM(COUNTIFS(U$15:U$2500,{"*Ju*","*RCP*"},S$15:S$2500,S10))</f>
        <v>0</v>
      </c>
      <c r="V10" s="180">
        <f>T10-U10</f>
        <v>0</v>
      </c>
      <c r="W10" s="178" t="s">
        <v>1278</v>
      </c>
      <c r="X10" s="179">
        <f>COUNTIF(W$15:W$1000,"*"&amp;W10&amp;"*")</f>
        <v>0</v>
      </c>
      <c r="Y10" s="166">
        <f>SUM(COUNTIFS(Y$15:Y$2500,{"*Ju*","*RCP*"},W$15:W$2500,W10))</f>
        <v>0</v>
      </c>
      <c r="Z10" s="180">
        <f>X10-Y10</f>
        <v>0</v>
      </c>
      <c r="AA10" s="178" t="s">
        <v>1278</v>
      </c>
      <c r="AB10" s="179">
        <f>COUNTIF(AA$15:AA$1000,"*"&amp;AA10&amp;"*")</f>
        <v>0</v>
      </c>
      <c r="AC10" s="166">
        <f>SUM(COUNTIFS(AC$15:AC$2500,{"*Ju*","*RCP*"},AA$15:AA$2500,AA10))</f>
        <v>0</v>
      </c>
      <c r="AD10" s="180">
        <f>AB10-AC10</f>
        <v>0</v>
      </c>
      <c r="AE10" s="178" t="s">
        <v>1278</v>
      </c>
      <c r="AF10" s="179">
        <f>COUNTIF(AE$15:AE$1000,"*"&amp;AE10&amp;"*")</f>
        <v>0</v>
      </c>
      <c r="AG10" s="166">
        <f>SUM(COUNTIFS(AG$15:AG$2500,{"*Ju*","*RCP*"},AE$15:AE$2500,AE10))</f>
        <v>0</v>
      </c>
      <c r="AH10" s="181">
        <f>AF10-AG10</f>
        <v>0</v>
      </c>
      <c r="AI10" s="182">
        <f ca="1">SUM(AI3:AI9)</f>
        <v>115</v>
      </c>
      <c r="AJ10" s="191">
        <f ca="1" xml:space="preserve"> IFERROR($AG$10/$AI$10,0)</f>
        <v>0</v>
      </c>
      <c r="AK10" s="183">
        <f ca="1">SUM(AK3:AK9)</f>
        <v>18</v>
      </c>
      <c r="AM10" s="147"/>
      <c r="AN10" s="147"/>
    </row>
    <row r="11" spans="1:44" s="128" customFormat="1" ht="15" outlineLevel="1">
      <c r="A11" s="133"/>
      <c r="B11" s="133"/>
      <c r="C11" s="127"/>
      <c r="D11" s="127"/>
      <c r="E11" s="184"/>
      <c r="F11" s="185"/>
      <c r="G11" s="185"/>
      <c r="H11" s="185"/>
      <c r="I11" s="185"/>
      <c r="J11" s="127"/>
      <c r="K11" s="129"/>
      <c r="L11" s="185"/>
      <c r="M11" s="185"/>
      <c r="N11" s="185"/>
      <c r="O11" s="226">
        <v>1</v>
      </c>
      <c r="P11" s="226"/>
      <c r="Q11" s="226"/>
      <c r="R11" s="226"/>
      <c r="S11" s="226">
        <v>2</v>
      </c>
      <c r="T11" s="226"/>
      <c r="U11" s="226"/>
      <c r="V11" s="226"/>
      <c r="W11" s="226">
        <v>3</v>
      </c>
      <c r="X11" s="226"/>
      <c r="Y11" s="226"/>
      <c r="Z11" s="226"/>
      <c r="AA11" s="226">
        <v>4</v>
      </c>
      <c r="AB11" s="226"/>
      <c r="AC11" s="226"/>
      <c r="AD11" s="226"/>
      <c r="AE11" s="226">
        <v>5</v>
      </c>
      <c r="AF11" s="226"/>
      <c r="AG11" s="226"/>
      <c r="AH11" s="226"/>
      <c r="AI11" s="227" t="s">
        <v>1275</v>
      </c>
      <c r="AJ11" s="228"/>
      <c r="AM11" s="223" t="s">
        <v>1273</v>
      </c>
      <c r="AN11" s="224"/>
    </row>
    <row r="12" spans="1:44" s="128" customFormat="1" ht="15" outlineLevel="1">
      <c r="C12" s="127"/>
      <c r="D12" s="127"/>
      <c r="E12" s="127"/>
      <c r="I12" s="185"/>
      <c r="O12" s="225" t="str">
        <f>Summary!R4</f>
        <v>e2studio_v5.4.0.001-Part1</v>
      </c>
      <c r="P12" s="225"/>
      <c r="Q12" s="225"/>
      <c r="R12" s="225"/>
      <c r="S12" s="225" t="str">
        <f>Summary!AM4</f>
        <v>e2studio_v5.4.0.005</v>
      </c>
      <c r="T12" s="225"/>
      <c r="U12" s="225"/>
      <c r="V12" s="225"/>
      <c r="W12" s="225" t="str">
        <f>Summary!BH4</f>
        <v>TBD</v>
      </c>
      <c r="X12" s="225"/>
      <c r="Y12" s="225"/>
      <c r="Z12" s="225"/>
      <c r="AA12" s="225" t="str">
        <f>Summary!CC4</f>
        <v>TBD</v>
      </c>
      <c r="AB12" s="225"/>
      <c r="AC12" s="225"/>
      <c r="AD12" s="225"/>
      <c r="AE12" s="225" t="str">
        <f>Summary!CX4</f>
        <v>TBD</v>
      </c>
      <c r="AF12" s="225"/>
      <c r="AG12" s="225"/>
      <c r="AH12" s="225"/>
      <c r="AI12" s="130">
        <f>SUM(AI15:AI1500)</f>
        <v>115</v>
      </c>
      <c r="AJ12" s="130" t="str">
        <f ca="1">IF($AJ$10&gt;0,IF($AJ$10&gt;=14,"D",IF($AJ$10&gt;=8,"N","E")),"NOT-YET")</f>
        <v>NOT-YET</v>
      </c>
      <c r="AK12" s="12"/>
      <c r="AL12" s="12"/>
      <c r="AM12" s="130">
        <f>SUM($AM$15:$AM$1500)</f>
        <v>241</v>
      </c>
      <c r="AN12" s="130" t="str">
        <f>IF(AM12&gt;0,IF($AN$14&gt;=14,"D",IF($AN$14&gt;=8,"N","E")),"NOT-YET")</f>
        <v>N</v>
      </c>
    </row>
    <row r="13" spans="1:44" s="12" customFormat="1" ht="51" customHeight="1">
      <c r="A13" s="13"/>
      <c r="B13" s="17" t="s">
        <v>431</v>
      </c>
      <c r="C13" s="18" t="s">
        <v>430</v>
      </c>
      <c r="D13" s="17" t="s">
        <v>429</v>
      </c>
      <c r="E13" s="18" t="s">
        <v>428</v>
      </c>
      <c r="F13" s="198" t="s">
        <v>1209</v>
      </c>
      <c r="G13" s="219" t="s">
        <v>1304</v>
      </c>
      <c r="H13" s="220"/>
      <c r="I13" s="18" t="s">
        <v>426</v>
      </c>
      <c r="J13" s="19" t="s">
        <v>427</v>
      </c>
      <c r="K13" s="19" t="s">
        <v>1210</v>
      </c>
      <c r="L13" s="20" t="s">
        <v>425</v>
      </c>
      <c r="M13" s="221" t="s">
        <v>1281</v>
      </c>
      <c r="N13" s="221"/>
      <c r="O13" s="18" t="s">
        <v>424</v>
      </c>
      <c r="P13" s="21" t="s">
        <v>73</v>
      </c>
      <c r="Q13" s="18" t="s">
        <v>423</v>
      </c>
      <c r="R13" s="18" t="s">
        <v>422</v>
      </c>
      <c r="S13" s="18" t="s">
        <v>424</v>
      </c>
      <c r="T13" s="21" t="s">
        <v>73</v>
      </c>
      <c r="U13" s="18" t="s">
        <v>423</v>
      </c>
      <c r="V13" s="18" t="s">
        <v>422</v>
      </c>
      <c r="W13" s="18" t="s">
        <v>424</v>
      </c>
      <c r="X13" s="21" t="s">
        <v>73</v>
      </c>
      <c r="Y13" s="18" t="s">
        <v>423</v>
      </c>
      <c r="Z13" s="18" t="s">
        <v>422</v>
      </c>
      <c r="AA13" s="18" t="s">
        <v>424</v>
      </c>
      <c r="AB13" s="21" t="s">
        <v>73</v>
      </c>
      <c r="AC13" s="18" t="s">
        <v>423</v>
      </c>
      <c r="AD13" s="18" t="s">
        <v>422</v>
      </c>
      <c r="AE13" s="18" t="s">
        <v>424</v>
      </c>
      <c r="AF13" s="21" t="s">
        <v>73</v>
      </c>
      <c r="AG13" s="18" t="s">
        <v>423</v>
      </c>
      <c r="AH13" s="18" t="s">
        <v>422</v>
      </c>
      <c r="AI13" s="18" t="s">
        <v>1237</v>
      </c>
      <c r="AJ13" s="18" t="s">
        <v>432</v>
      </c>
      <c r="AM13" s="131" t="s">
        <v>1237</v>
      </c>
      <c r="AN13" s="132" t="s">
        <v>432</v>
      </c>
      <c r="AO13" s="133"/>
      <c r="AP13" s="133"/>
      <c r="AQ13" s="133"/>
      <c r="AR13" s="133"/>
    </row>
    <row r="14" spans="1:44" s="12" customFormat="1" ht="30">
      <c r="A14" s="13"/>
      <c r="B14" s="17"/>
      <c r="C14" s="18"/>
      <c r="D14" s="17"/>
      <c r="E14" s="18"/>
      <c r="F14" s="198"/>
      <c r="G14" s="124" t="s">
        <v>1305</v>
      </c>
      <c r="H14" s="125" t="s">
        <v>1306</v>
      </c>
      <c r="I14" s="18"/>
      <c r="J14" s="19"/>
      <c r="K14" s="19"/>
      <c r="L14" s="20"/>
      <c r="M14" s="198" t="s">
        <v>424</v>
      </c>
      <c r="N14" s="198" t="s">
        <v>1213</v>
      </c>
      <c r="O14" s="18"/>
      <c r="P14" s="21"/>
      <c r="Q14" s="18"/>
      <c r="R14" s="18"/>
      <c r="S14" s="18"/>
      <c r="T14" s="21"/>
      <c r="U14" s="18"/>
      <c r="V14" s="18"/>
      <c r="W14" s="18"/>
      <c r="X14" s="21"/>
      <c r="Y14" s="18"/>
      <c r="Z14" s="18"/>
      <c r="AA14" s="18"/>
      <c r="AB14" s="21"/>
      <c r="AC14" s="18"/>
      <c r="AD14" s="18"/>
      <c r="AE14" s="18"/>
      <c r="AF14" s="21"/>
      <c r="AG14" s="18"/>
      <c r="AH14" s="18"/>
      <c r="AI14" s="18"/>
      <c r="AJ14" s="18"/>
      <c r="AM14" s="134" t="s">
        <v>1274</v>
      </c>
      <c r="AN14" s="135">
        <f>IFERROR($AM$12/COUNTIF($AM$15:$AM$1500, "&gt;0"),0)</f>
        <v>13.388888888888889</v>
      </c>
      <c r="AO14" s="133"/>
      <c r="AP14" s="133"/>
      <c r="AQ14" s="133"/>
      <c r="AR14" s="133"/>
    </row>
    <row r="15" spans="1:44" ht="15">
      <c r="A15" s="13"/>
      <c r="B15" s="22" t="s">
        <v>421</v>
      </c>
      <c r="C15" s="23"/>
      <c r="D15" s="23"/>
      <c r="E15" s="23"/>
      <c r="F15" s="24"/>
      <c r="G15" s="24"/>
      <c r="H15" s="24"/>
      <c r="I15" s="23"/>
      <c r="J15" s="23"/>
      <c r="K15" s="23"/>
      <c r="L15" s="24" t="s">
        <v>103</v>
      </c>
      <c r="M15" s="23"/>
      <c r="N15" s="23"/>
      <c r="O15" s="102"/>
      <c r="P15" s="102"/>
      <c r="Q15" s="102"/>
      <c r="R15" s="102"/>
      <c r="S15" s="102"/>
      <c r="T15" s="102"/>
      <c r="U15" s="102"/>
      <c r="V15" s="102"/>
      <c r="W15" s="102"/>
      <c r="X15" s="102"/>
      <c r="Y15" s="102"/>
      <c r="Z15" s="102"/>
      <c r="AA15" s="102"/>
      <c r="AB15" s="102"/>
      <c r="AC15" s="102"/>
      <c r="AD15" s="102"/>
      <c r="AE15" s="102"/>
      <c r="AF15" s="102"/>
      <c r="AG15" s="102"/>
      <c r="AH15" s="102"/>
      <c r="AI15" s="186"/>
      <c r="AJ15" s="140"/>
      <c r="AK15" s="187"/>
      <c r="AL15" s="187"/>
      <c r="AM15" s="136"/>
      <c r="AN15" s="137" t="str">
        <f>IF(AM15&gt;0, IF(AM15&gt;=14,"D",IF(AM15&gt;=8,"N","E")),"")</f>
        <v/>
      </c>
      <c r="AO15" s="138"/>
      <c r="AP15" s="138"/>
      <c r="AQ15" s="138"/>
      <c r="AR15" s="138"/>
    </row>
    <row r="16" spans="1:44" ht="60">
      <c r="A16" s="33"/>
      <c r="B16" s="27" t="s">
        <v>420</v>
      </c>
      <c r="C16" s="199" t="s">
        <v>419</v>
      </c>
      <c r="D16" s="199" t="s">
        <v>418</v>
      </c>
      <c r="E16" s="37" t="s">
        <v>417</v>
      </c>
      <c r="F16" s="28" t="s">
        <v>1</v>
      </c>
      <c r="G16" s="28" t="s">
        <v>1307</v>
      </c>
      <c r="H16" s="28" t="s">
        <v>1308</v>
      </c>
      <c r="I16" s="38" t="s">
        <v>416</v>
      </c>
      <c r="J16" s="26" t="s">
        <v>79</v>
      </c>
      <c r="K16" s="27" t="s">
        <v>1212</v>
      </c>
      <c r="L16" s="28" t="s">
        <v>311</v>
      </c>
      <c r="M16" s="196" t="s">
        <v>0</v>
      </c>
      <c r="N16" s="196" t="s">
        <v>1227</v>
      </c>
      <c r="O16" s="40" t="s">
        <v>0</v>
      </c>
      <c r="P16" s="39">
        <v>42776</v>
      </c>
      <c r="Q16" s="196" t="s">
        <v>1297</v>
      </c>
      <c r="R16" s="40"/>
      <c r="S16" s="40" t="s">
        <v>0</v>
      </c>
      <c r="T16" s="41">
        <v>42794</v>
      </c>
      <c r="U16" s="212" t="s">
        <v>1297</v>
      </c>
      <c r="V16" s="40"/>
      <c r="W16" s="40"/>
      <c r="X16" s="41"/>
      <c r="Y16" s="40"/>
      <c r="Z16" s="40"/>
      <c r="AA16" s="40"/>
      <c r="AB16" s="41"/>
      <c r="AC16" s="40"/>
      <c r="AD16" s="40"/>
      <c r="AE16" s="40"/>
      <c r="AF16" s="41"/>
      <c r="AG16" s="40"/>
      <c r="AH16" s="40"/>
      <c r="AI16" s="196"/>
      <c r="AJ16" s="140" t="str">
        <f>IF(AI16&gt;0, IF(AI16&gt;=14,"D",IF(AI16&gt;=8,"N","E")),"")</f>
        <v/>
      </c>
      <c r="AK16" s="15"/>
      <c r="AL16" s="15"/>
      <c r="AM16" s="136"/>
      <c r="AN16" s="137" t="str">
        <f>IF(AM16&gt;0, IF(AM16&gt;=14,"D",IF(AM16&gt;=8,"N","E")),"")</f>
        <v/>
      </c>
      <c r="AO16" s="138"/>
      <c r="AP16" s="138"/>
      <c r="AQ16" s="138"/>
      <c r="AR16" s="138"/>
    </row>
    <row r="17" spans="2:44" ht="75">
      <c r="B17" s="27" t="s">
        <v>415</v>
      </c>
      <c r="C17" s="199" t="s">
        <v>414</v>
      </c>
      <c r="D17" s="199" t="s">
        <v>1061</v>
      </c>
      <c r="E17" s="25" t="s">
        <v>1062</v>
      </c>
      <c r="F17" s="32" t="s">
        <v>1</v>
      </c>
      <c r="G17" s="32" t="s">
        <v>1254</v>
      </c>
      <c r="H17" s="32" t="s">
        <v>1309</v>
      </c>
      <c r="I17" s="40"/>
      <c r="J17" s="26" t="s">
        <v>79</v>
      </c>
      <c r="K17" s="27" t="s">
        <v>1212</v>
      </c>
      <c r="L17" s="28" t="s">
        <v>311</v>
      </c>
      <c r="M17" s="196" t="s">
        <v>0</v>
      </c>
      <c r="N17" s="196" t="s">
        <v>1227</v>
      </c>
      <c r="O17" s="40" t="s">
        <v>0</v>
      </c>
      <c r="P17" s="39">
        <v>42776</v>
      </c>
      <c r="Q17" s="196" t="s">
        <v>1297</v>
      </c>
      <c r="R17" s="40"/>
      <c r="S17" s="40" t="s">
        <v>0</v>
      </c>
      <c r="T17" s="41">
        <v>42794</v>
      </c>
      <c r="U17" s="212" t="s">
        <v>1297</v>
      </c>
      <c r="V17" s="40"/>
      <c r="W17" s="40"/>
      <c r="X17" s="41"/>
      <c r="Y17" s="40"/>
      <c r="Z17" s="40"/>
      <c r="AA17" s="40"/>
      <c r="AB17" s="41"/>
      <c r="AC17" s="40"/>
      <c r="AD17" s="40"/>
      <c r="AE17" s="40"/>
      <c r="AF17" s="41"/>
      <c r="AG17" s="40"/>
      <c r="AH17" s="40"/>
      <c r="AI17" s="196"/>
      <c r="AJ17" s="140" t="str">
        <f t="shared" ref="AJ17:AJ80" si="8">IF(AI17&gt;0, IF(AI17&gt;=14,"D",IF(AI17&gt;=8,"N","E")),"")</f>
        <v/>
      </c>
      <c r="AK17" s="15"/>
      <c r="AL17" s="15"/>
      <c r="AM17" s="136"/>
      <c r="AN17" s="137" t="str">
        <f t="shared" ref="AN17:AN80" si="9">IF(AM17&gt;0, IF(AM17&gt;=14,"D",IF(AM17&gt;=8,"N","E")),"")</f>
        <v/>
      </c>
      <c r="AO17" s="138"/>
      <c r="AP17" s="138"/>
      <c r="AQ17" s="138"/>
      <c r="AR17" s="138"/>
    </row>
    <row r="18" spans="2:44" ht="60">
      <c r="B18" s="42" t="s">
        <v>413</v>
      </c>
      <c r="C18" s="199"/>
      <c r="D18" s="199" t="s">
        <v>1063</v>
      </c>
      <c r="E18" s="25" t="s">
        <v>412</v>
      </c>
      <c r="F18" s="32" t="s">
        <v>1</v>
      </c>
      <c r="G18" s="32" t="s">
        <v>1253</v>
      </c>
      <c r="H18" s="32" t="s">
        <v>1309</v>
      </c>
      <c r="I18" s="40"/>
      <c r="J18" s="26" t="s">
        <v>79</v>
      </c>
      <c r="K18" s="27" t="s">
        <v>1212</v>
      </c>
      <c r="L18" s="28" t="s">
        <v>311</v>
      </c>
      <c r="M18" s="196" t="s">
        <v>0</v>
      </c>
      <c r="N18" s="196" t="s">
        <v>1227</v>
      </c>
      <c r="O18" s="40" t="s">
        <v>0</v>
      </c>
      <c r="P18" s="39">
        <v>42776</v>
      </c>
      <c r="Q18" s="196" t="s">
        <v>1297</v>
      </c>
      <c r="R18" s="40"/>
      <c r="S18" s="40" t="s">
        <v>0</v>
      </c>
      <c r="T18" s="41">
        <v>42794</v>
      </c>
      <c r="U18" s="212" t="s">
        <v>1297</v>
      </c>
      <c r="V18" s="40"/>
      <c r="W18" s="40"/>
      <c r="X18" s="41"/>
      <c r="Y18" s="40"/>
      <c r="Z18" s="40"/>
      <c r="AA18" s="40"/>
      <c r="AB18" s="41"/>
      <c r="AC18" s="40"/>
      <c r="AD18" s="40"/>
      <c r="AE18" s="40"/>
      <c r="AF18" s="41"/>
      <c r="AG18" s="40"/>
      <c r="AH18" s="40"/>
      <c r="AI18" s="196"/>
      <c r="AJ18" s="140" t="str">
        <f t="shared" si="8"/>
        <v/>
      </c>
      <c r="AK18" s="15"/>
      <c r="AL18" s="15"/>
      <c r="AM18" s="136"/>
      <c r="AN18" s="137" t="str">
        <f t="shared" si="9"/>
        <v/>
      </c>
      <c r="AO18" s="138"/>
      <c r="AP18" s="138"/>
      <c r="AQ18" s="138"/>
      <c r="AR18" s="138"/>
    </row>
    <row r="19" spans="2:44" ht="60">
      <c r="B19" s="42" t="s">
        <v>411</v>
      </c>
      <c r="C19" s="199"/>
      <c r="D19" s="199" t="s">
        <v>1064</v>
      </c>
      <c r="E19" s="25" t="s">
        <v>410</v>
      </c>
      <c r="F19" s="32" t="s">
        <v>1</v>
      </c>
      <c r="G19" s="32" t="s">
        <v>1253</v>
      </c>
      <c r="H19" s="32" t="s">
        <v>1255</v>
      </c>
      <c r="I19" s="40"/>
      <c r="J19" s="26" t="s">
        <v>79</v>
      </c>
      <c r="K19" s="27" t="s">
        <v>1212</v>
      </c>
      <c r="L19" s="28" t="s">
        <v>311</v>
      </c>
      <c r="M19" s="196" t="s">
        <v>0</v>
      </c>
      <c r="N19" s="196" t="s">
        <v>1227</v>
      </c>
      <c r="O19" s="40" t="s">
        <v>0</v>
      </c>
      <c r="P19" s="39">
        <v>42776</v>
      </c>
      <c r="Q19" s="196" t="s">
        <v>1297</v>
      </c>
      <c r="R19" s="40"/>
      <c r="S19" s="40" t="s">
        <v>0</v>
      </c>
      <c r="T19" s="41">
        <v>42794</v>
      </c>
      <c r="U19" s="212" t="s">
        <v>1297</v>
      </c>
      <c r="V19" s="40"/>
      <c r="W19" s="40"/>
      <c r="X19" s="41"/>
      <c r="Y19" s="40"/>
      <c r="Z19" s="40"/>
      <c r="AA19" s="40"/>
      <c r="AB19" s="41"/>
      <c r="AC19" s="40"/>
      <c r="AD19" s="40"/>
      <c r="AE19" s="40"/>
      <c r="AF19" s="41"/>
      <c r="AG19" s="40"/>
      <c r="AH19" s="40"/>
      <c r="AI19" s="196"/>
      <c r="AJ19" s="140" t="str">
        <f t="shared" si="8"/>
        <v/>
      </c>
      <c r="AK19" s="15"/>
      <c r="AL19" s="15"/>
      <c r="AM19" s="136"/>
      <c r="AN19" s="137" t="str">
        <f t="shared" si="9"/>
        <v/>
      </c>
      <c r="AO19" s="138"/>
      <c r="AP19" s="138"/>
      <c r="AQ19" s="138"/>
      <c r="AR19" s="138"/>
    </row>
    <row r="20" spans="2:44" ht="285">
      <c r="B20" s="42" t="s">
        <v>409</v>
      </c>
      <c r="C20" s="199"/>
      <c r="D20" s="199" t="s">
        <v>1065</v>
      </c>
      <c r="E20" s="25" t="s">
        <v>408</v>
      </c>
      <c r="F20" s="32" t="s">
        <v>1</v>
      </c>
      <c r="G20" s="32" t="s">
        <v>1253</v>
      </c>
      <c r="H20" s="32" t="s">
        <v>1255</v>
      </c>
      <c r="I20" s="40"/>
      <c r="J20" s="26" t="s">
        <v>79</v>
      </c>
      <c r="K20" s="27" t="s">
        <v>1212</v>
      </c>
      <c r="L20" s="28" t="s">
        <v>311</v>
      </c>
      <c r="M20" s="196" t="s">
        <v>0</v>
      </c>
      <c r="N20" s="196" t="s">
        <v>1227</v>
      </c>
      <c r="O20" s="40" t="s">
        <v>0</v>
      </c>
      <c r="P20" s="39">
        <v>42776</v>
      </c>
      <c r="Q20" s="196" t="s">
        <v>1297</v>
      </c>
      <c r="R20" s="40"/>
      <c r="S20" s="40" t="s">
        <v>0</v>
      </c>
      <c r="T20" s="41">
        <v>42794</v>
      </c>
      <c r="U20" s="212" t="s">
        <v>1297</v>
      </c>
      <c r="V20" s="40"/>
      <c r="W20" s="40"/>
      <c r="X20" s="41"/>
      <c r="Y20" s="40"/>
      <c r="Z20" s="40"/>
      <c r="AA20" s="40"/>
      <c r="AB20" s="41"/>
      <c r="AC20" s="40"/>
      <c r="AD20" s="40"/>
      <c r="AE20" s="40"/>
      <c r="AF20" s="41"/>
      <c r="AG20" s="40"/>
      <c r="AH20" s="40"/>
      <c r="AI20" s="196"/>
      <c r="AJ20" s="140" t="str">
        <f t="shared" si="8"/>
        <v/>
      </c>
      <c r="AK20" s="15"/>
      <c r="AL20" s="15"/>
      <c r="AM20" s="136"/>
      <c r="AN20" s="137" t="str">
        <f t="shared" si="9"/>
        <v/>
      </c>
      <c r="AO20" s="138"/>
      <c r="AP20" s="138"/>
      <c r="AQ20" s="138"/>
      <c r="AR20" s="138"/>
    </row>
    <row r="21" spans="2:44" ht="45">
      <c r="B21" s="42" t="s">
        <v>407</v>
      </c>
      <c r="C21" s="199"/>
      <c r="D21" s="199" t="s">
        <v>406</v>
      </c>
      <c r="E21" s="25" t="s">
        <v>403</v>
      </c>
      <c r="F21" s="32" t="s">
        <v>1</v>
      </c>
      <c r="G21" s="32" t="s">
        <v>1253</v>
      </c>
      <c r="H21" s="32" t="s">
        <v>1255</v>
      </c>
      <c r="I21" s="40"/>
      <c r="J21" s="26" t="s">
        <v>79</v>
      </c>
      <c r="K21" s="27" t="s">
        <v>1212</v>
      </c>
      <c r="L21" s="28" t="s">
        <v>311</v>
      </c>
      <c r="M21" s="196" t="s">
        <v>0</v>
      </c>
      <c r="N21" s="196" t="s">
        <v>1227</v>
      </c>
      <c r="O21" s="40" t="s">
        <v>0</v>
      </c>
      <c r="P21" s="39">
        <v>42776</v>
      </c>
      <c r="Q21" s="196" t="s">
        <v>1297</v>
      </c>
      <c r="R21" s="40"/>
      <c r="S21" s="40" t="s">
        <v>0</v>
      </c>
      <c r="T21" s="41">
        <v>42794</v>
      </c>
      <c r="U21" s="212" t="s">
        <v>1297</v>
      </c>
      <c r="V21" s="40"/>
      <c r="W21" s="40"/>
      <c r="X21" s="41"/>
      <c r="Y21" s="40"/>
      <c r="Z21" s="40"/>
      <c r="AA21" s="40"/>
      <c r="AB21" s="41"/>
      <c r="AC21" s="40"/>
      <c r="AD21" s="40"/>
      <c r="AE21" s="40"/>
      <c r="AF21" s="41"/>
      <c r="AG21" s="40"/>
      <c r="AH21" s="40"/>
      <c r="AI21" s="196"/>
      <c r="AJ21" s="140" t="str">
        <f t="shared" si="8"/>
        <v/>
      </c>
      <c r="AK21" s="15"/>
      <c r="AL21" s="15"/>
      <c r="AM21" s="136"/>
      <c r="AN21" s="137" t="str">
        <f t="shared" si="9"/>
        <v/>
      </c>
      <c r="AO21" s="138"/>
      <c r="AP21" s="138"/>
      <c r="AQ21" s="138"/>
      <c r="AR21" s="138"/>
    </row>
    <row r="22" spans="2:44" ht="45">
      <c r="B22" s="42" t="s">
        <v>405</v>
      </c>
      <c r="C22" s="199"/>
      <c r="D22" s="199" t="s">
        <v>1066</v>
      </c>
      <c r="E22" s="25" t="s">
        <v>403</v>
      </c>
      <c r="F22" s="32" t="s">
        <v>1</v>
      </c>
      <c r="G22" s="32" t="s">
        <v>1253</v>
      </c>
      <c r="H22" s="32" t="s">
        <v>1255</v>
      </c>
      <c r="I22" s="40"/>
      <c r="J22" s="26" t="s">
        <v>79</v>
      </c>
      <c r="K22" s="27" t="s">
        <v>1212</v>
      </c>
      <c r="L22" s="28" t="s">
        <v>311</v>
      </c>
      <c r="M22" s="196" t="s">
        <v>0</v>
      </c>
      <c r="N22" s="196" t="s">
        <v>1227</v>
      </c>
      <c r="O22" s="40" t="s">
        <v>0</v>
      </c>
      <c r="P22" s="39">
        <v>42776</v>
      </c>
      <c r="Q22" s="196" t="s">
        <v>1297</v>
      </c>
      <c r="R22" s="40"/>
      <c r="S22" s="40" t="s">
        <v>0</v>
      </c>
      <c r="T22" s="41">
        <v>42794</v>
      </c>
      <c r="U22" s="212" t="s">
        <v>1297</v>
      </c>
      <c r="V22" s="40"/>
      <c r="W22" s="40"/>
      <c r="X22" s="41"/>
      <c r="Y22" s="40"/>
      <c r="Z22" s="40"/>
      <c r="AA22" s="40"/>
      <c r="AB22" s="41"/>
      <c r="AC22" s="40"/>
      <c r="AD22" s="40"/>
      <c r="AE22" s="40"/>
      <c r="AF22" s="41"/>
      <c r="AG22" s="40"/>
      <c r="AH22" s="40"/>
      <c r="AI22" s="196"/>
      <c r="AJ22" s="140" t="str">
        <f t="shared" si="8"/>
        <v/>
      </c>
      <c r="AK22" s="15"/>
      <c r="AL22" s="15"/>
      <c r="AM22" s="136"/>
      <c r="AN22" s="137" t="str">
        <f t="shared" si="9"/>
        <v/>
      </c>
      <c r="AO22" s="138"/>
      <c r="AP22" s="138"/>
      <c r="AQ22" s="138"/>
      <c r="AR22" s="138"/>
    </row>
    <row r="23" spans="2:44" ht="45">
      <c r="B23" s="42" t="s">
        <v>404</v>
      </c>
      <c r="C23" s="199"/>
      <c r="D23" s="199" t="s">
        <v>1067</v>
      </c>
      <c r="E23" s="25" t="s">
        <v>403</v>
      </c>
      <c r="F23" s="32" t="s">
        <v>1</v>
      </c>
      <c r="G23" s="32" t="s">
        <v>1253</v>
      </c>
      <c r="H23" s="32" t="s">
        <v>1255</v>
      </c>
      <c r="I23" s="40"/>
      <c r="J23" s="26" t="s">
        <v>79</v>
      </c>
      <c r="K23" s="27" t="s">
        <v>1212</v>
      </c>
      <c r="L23" s="28" t="s">
        <v>311</v>
      </c>
      <c r="M23" s="196" t="s">
        <v>0</v>
      </c>
      <c r="N23" s="196" t="s">
        <v>1227</v>
      </c>
      <c r="O23" s="40" t="s">
        <v>0</v>
      </c>
      <c r="P23" s="39">
        <v>42776</v>
      </c>
      <c r="Q23" s="196" t="s">
        <v>1297</v>
      </c>
      <c r="R23" s="40"/>
      <c r="S23" s="40" t="s">
        <v>0</v>
      </c>
      <c r="T23" s="41">
        <v>42794</v>
      </c>
      <c r="U23" s="212" t="s">
        <v>1297</v>
      </c>
      <c r="V23" s="40"/>
      <c r="W23" s="40"/>
      <c r="X23" s="41"/>
      <c r="Y23" s="40"/>
      <c r="Z23" s="40"/>
      <c r="AA23" s="40"/>
      <c r="AB23" s="41"/>
      <c r="AC23" s="40"/>
      <c r="AD23" s="40"/>
      <c r="AE23" s="40"/>
      <c r="AF23" s="41"/>
      <c r="AG23" s="40"/>
      <c r="AH23" s="40"/>
      <c r="AI23" s="196"/>
      <c r="AJ23" s="140" t="str">
        <f t="shared" si="8"/>
        <v/>
      </c>
      <c r="AK23" s="15"/>
      <c r="AL23" s="15"/>
      <c r="AM23" s="136"/>
      <c r="AN23" s="137" t="str">
        <f t="shared" si="9"/>
        <v/>
      </c>
      <c r="AO23" s="138"/>
      <c r="AP23" s="138"/>
      <c r="AQ23" s="138"/>
      <c r="AR23" s="138"/>
    </row>
    <row r="24" spans="2:44" ht="150">
      <c r="B24" s="42" t="s">
        <v>402</v>
      </c>
      <c r="C24" s="199"/>
      <c r="D24" s="199" t="s">
        <v>1068</v>
      </c>
      <c r="E24" s="25" t="s">
        <v>401</v>
      </c>
      <c r="F24" s="32" t="s">
        <v>1</v>
      </c>
      <c r="G24" s="32" t="s">
        <v>1307</v>
      </c>
      <c r="H24" s="32" t="s">
        <v>1310</v>
      </c>
      <c r="I24" s="38" t="s">
        <v>1069</v>
      </c>
      <c r="J24" s="26" t="s">
        <v>79</v>
      </c>
      <c r="K24" s="27" t="s">
        <v>1212</v>
      </c>
      <c r="L24" s="28" t="s">
        <v>311</v>
      </c>
      <c r="M24" s="196" t="s">
        <v>0</v>
      </c>
      <c r="N24" s="196" t="s">
        <v>1227</v>
      </c>
      <c r="O24" s="40" t="s">
        <v>0</v>
      </c>
      <c r="P24" s="39">
        <v>42776</v>
      </c>
      <c r="Q24" s="196" t="s">
        <v>1297</v>
      </c>
      <c r="R24" s="40"/>
      <c r="S24" s="40" t="s">
        <v>0</v>
      </c>
      <c r="T24" s="41">
        <v>42794</v>
      </c>
      <c r="U24" s="212" t="s">
        <v>1297</v>
      </c>
      <c r="V24" s="40"/>
      <c r="W24" s="40"/>
      <c r="X24" s="41"/>
      <c r="Y24" s="40"/>
      <c r="Z24" s="40"/>
      <c r="AA24" s="40"/>
      <c r="AB24" s="41"/>
      <c r="AC24" s="40"/>
      <c r="AD24" s="40"/>
      <c r="AE24" s="40"/>
      <c r="AF24" s="41"/>
      <c r="AG24" s="40"/>
      <c r="AH24" s="40"/>
      <c r="AI24" s="196"/>
      <c r="AJ24" s="140" t="str">
        <f t="shared" si="8"/>
        <v/>
      </c>
      <c r="AK24" s="15"/>
      <c r="AL24" s="15"/>
      <c r="AM24" s="136"/>
      <c r="AN24" s="137" t="str">
        <f t="shared" si="9"/>
        <v/>
      </c>
      <c r="AO24" s="138"/>
      <c r="AP24" s="138"/>
      <c r="AQ24" s="138"/>
      <c r="AR24" s="138"/>
    </row>
    <row r="25" spans="2:44" ht="120">
      <c r="B25" s="42" t="s">
        <v>400</v>
      </c>
      <c r="C25" s="199"/>
      <c r="D25" s="199" t="s">
        <v>1070</v>
      </c>
      <c r="E25" s="25" t="s">
        <v>399</v>
      </c>
      <c r="F25" s="32" t="s">
        <v>1</v>
      </c>
      <c r="G25" s="32" t="s">
        <v>1307</v>
      </c>
      <c r="H25" s="32" t="s">
        <v>1310</v>
      </c>
      <c r="I25" s="38" t="s">
        <v>1071</v>
      </c>
      <c r="J25" s="26" t="s">
        <v>79</v>
      </c>
      <c r="K25" s="27" t="s">
        <v>1212</v>
      </c>
      <c r="L25" s="28" t="s">
        <v>311</v>
      </c>
      <c r="M25" s="196" t="s">
        <v>0</v>
      </c>
      <c r="N25" s="196" t="s">
        <v>1227</v>
      </c>
      <c r="O25" s="40" t="s">
        <v>0</v>
      </c>
      <c r="P25" s="39">
        <v>42776</v>
      </c>
      <c r="Q25" s="196" t="s">
        <v>1297</v>
      </c>
      <c r="R25" s="40"/>
      <c r="S25" s="40" t="s">
        <v>0</v>
      </c>
      <c r="T25" s="41">
        <v>42794</v>
      </c>
      <c r="U25" s="212" t="s">
        <v>1297</v>
      </c>
      <c r="V25" s="40"/>
      <c r="W25" s="40"/>
      <c r="X25" s="41"/>
      <c r="Y25" s="40"/>
      <c r="Z25" s="40"/>
      <c r="AA25" s="40"/>
      <c r="AB25" s="41"/>
      <c r="AC25" s="40"/>
      <c r="AD25" s="40"/>
      <c r="AE25" s="40"/>
      <c r="AF25" s="41"/>
      <c r="AG25" s="40"/>
      <c r="AH25" s="40"/>
      <c r="AI25" s="196"/>
      <c r="AJ25" s="140" t="str">
        <f t="shared" si="8"/>
        <v/>
      </c>
      <c r="AK25" s="15"/>
      <c r="AL25" s="15"/>
      <c r="AM25" s="136"/>
      <c r="AN25" s="137" t="str">
        <f t="shared" si="9"/>
        <v/>
      </c>
      <c r="AO25" s="138"/>
      <c r="AP25" s="138"/>
      <c r="AQ25" s="138"/>
      <c r="AR25" s="138"/>
    </row>
    <row r="26" spans="2:44" ht="120">
      <c r="B26" s="42" t="s">
        <v>398</v>
      </c>
      <c r="C26" s="199"/>
      <c r="D26" s="199" t="s">
        <v>1072</v>
      </c>
      <c r="E26" s="25" t="s">
        <v>396</v>
      </c>
      <c r="F26" s="32" t="s">
        <v>1</v>
      </c>
      <c r="G26" s="32" t="s">
        <v>1307</v>
      </c>
      <c r="H26" s="32" t="s">
        <v>1310</v>
      </c>
      <c r="I26" s="40"/>
      <c r="J26" s="26" t="s">
        <v>79</v>
      </c>
      <c r="K26" s="27" t="s">
        <v>1212</v>
      </c>
      <c r="L26" s="28" t="s">
        <v>311</v>
      </c>
      <c r="M26" s="196" t="s">
        <v>0</v>
      </c>
      <c r="N26" s="196" t="s">
        <v>1227</v>
      </c>
      <c r="O26" s="40" t="s">
        <v>0</v>
      </c>
      <c r="P26" s="39">
        <v>42776</v>
      </c>
      <c r="Q26" s="196" t="s">
        <v>1297</v>
      </c>
      <c r="R26" s="40"/>
      <c r="S26" s="40" t="s">
        <v>0</v>
      </c>
      <c r="T26" s="41">
        <v>42794</v>
      </c>
      <c r="U26" s="212" t="s">
        <v>1297</v>
      </c>
      <c r="V26" s="40"/>
      <c r="W26" s="40"/>
      <c r="X26" s="41"/>
      <c r="Y26" s="40"/>
      <c r="Z26" s="40"/>
      <c r="AA26" s="40"/>
      <c r="AB26" s="41"/>
      <c r="AC26" s="40"/>
      <c r="AD26" s="40"/>
      <c r="AE26" s="40"/>
      <c r="AF26" s="41"/>
      <c r="AG26" s="40"/>
      <c r="AH26" s="40"/>
      <c r="AI26" s="196"/>
      <c r="AJ26" s="140" t="str">
        <f t="shared" si="8"/>
        <v/>
      </c>
      <c r="AK26" s="15"/>
      <c r="AL26" s="15"/>
      <c r="AM26" s="136"/>
      <c r="AN26" s="137" t="str">
        <f t="shared" si="9"/>
        <v/>
      </c>
      <c r="AO26" s="138"/>
      <c r="AP26" s="138"/>
      <c r="AQ26" s="138"/>
      <c r="AR26" s="138"/>
    </row>
    <row r="27" spans="2:44" ht="120">
      <c r="B27" s="42" t="s">
        <v>397</v>
      </c>
      <c r="C27" s="199"/>
      <c r="D27" s="199" t="s">
        <v>1073</v>
      </c>
      <c r="E27" s="25" t="s">
        <v>396</v>
      </c>
      <c r="F27" s="32" t="s">
        <v>1</v>
      </c>
      <c r="G27" s="32" t="s">
        <v>1307</v>
      </c>
      <c r="H27" s="32" t="s">
        <v>1310</v>
      </c>
      <c r="I27" s="40"/>
      <c r="J27" s="26" t="s">
        <v>79</v>
      </c>
      <c r="K27" s="27" t="s">
        <v>1212</v>
      </c>
      <c r="L27" s="28" t="s">
        <v>311</v>
      </c>
      <c r="M27" s="196" t="s">
        <v>0</v>
      </c>
      <c r="N27" s="196" t="s">
        <v>1227</v>
      </c>
      <c r="O27" s="40" t="s">
        <v>0</v>
      </c>
      <c r="P27" s="39">
        <v>42776</v>
      </c>
      <c r="Q27" s="196" t="s">
        <v>1297</v>
      </c>
      <c r="R27" s="40"/>
      <c r="S27" s="40" t="s">
        <v>0</v>
      </c>
      <c r="T27" s="41">
        <v>42794</v>
      </c>
      <c r="U27" s="212" t="s">
        <v>1297</v>
      </c>
      <c r="V27" s="40"/>
      <c r="W27" s="40"/>
      <c r="X27" s="41"/>
      <c r="Y27" s="40"/>
      <c r="Z27" s="40"/>
      <c r="AA27" s="40"/>
      <c r="AB27" s="41"/>
      <c r="AC27" s="40"/>
      <c r="AD27" s="40"/>
      <c r="AE27" s="40"/>
      <c r="AF27" s="41"/>
      <c r="AG27" s="40"/>
      <c r="AH27" s="40"/>
      <c r="AI27" s="196"/>
      <c r="AJ27" s="140" t="str">
        <f t="shared" si="8"/>
        <v/>
      </c>
      <c r="AK27" s="15"/>
      <c r="AL27" s="15"/>
      <c r="AM27" s="136"/>
      <c r="AN27" s="137" t="str">
        <f t="shared" si="9"/>
        <v/>
      </c>
      <c r="AO27" s="138"/>
      <c r="AP27" s="138"/>
      <c r="AQ27" s="138"/>
      <c r="AR27" s="138"/>
    </row>
    <row r="28" spans="2:44" ht="120">
      <c r="B28" s="42" t="s">
        <v>395</v>
      </c>
      <c r="C28" s="199"/>
      <c r="D28" s="199" t="s">
        <v>1074</v>
      </c>
      <c r="E28" s="25" t="s">
        <v>386</v>
      </c>
      <c r="F28" s="32" t="s">
        <v>1</v>
      </c>
      <c r="G28" s="32" t="s">
        <v>1307</v>
      </c>
      <c r="H28" s="32" t="s">
        <v>1310</v>
      </c>
      <c r="I28" s="40"/>
      <c r="J28" s="26" t="s">
        <v>79</v>
      </c>
      <c r="K28" s="27" t="s">
        <v>1212</v>
      </c>
      <c r="L28" s="28" t="s">
        <v>311</v>
      </c>
      <c r="M28" s="196" t="s">
        <v>0</v>
      </c>
      <c r="N28" s="196" t="s">
        <v>1227</v>
      </c>
      <c r="O28" s="40" t="s">
        <v>0</v>
      </c>
      <c r="P28" s="39">
        <v>42776</v>
      </c>
      <c r="Q28" s="196" t="s">
        <v>1297</v>
      </c>
      <c r="R28" s="40"/>
      <c r="S28" s="40" t="s">
        <v>0</v>
      </c>
      <c r="T28" s="41">
        <v>42794</v>
      </c>
      <c r="U28" s="212" t="s">
        <v>1297</v>
      </c>
      <c r="V28" s="40"/>
      <c r="W28" s="40"/>
      <c r="X28" s="41"/>
      <c r="Y28" s="40"/>
      <c r="Z28" s="40"/>
      <c r="AA28" s="40"/>
      <c r="AB28" s="41"/>
      <c r="AC28" s="40"/>
      <c r="AD28" s="40"/>
      <c r="AE28" s="40"/>
      <c r="AF28" s="41"/>
      <c r="AG28" s="40"/>
      <c r="AH28" s="40"/>
      <c r="AI28" s="196"/>
      <c r="AJ28" s="140" t="str">
        <f t="shared" si="8"/>
        <v/>
      </c>
      <c r="AK28" s="15"/>
      <c r="AL28" s="15"/>
      <c r="AM28" s="136"/>
      <c r="AN28" s="137" t="str">
        <f t="shared" si="9"/>
        <v/>
      </c>
      <c r="AO28" s="138"/>
      <c r="AP28" s="138"/>
      <c r="AQ28" s="138"/>
      <c r="AR28" s="138"/>
    </row>
    <row r="29" spans="2:44" ht="120">
      <c r="B29" s="42" t="s">
        <v>394</v>
      </c>
      <c r="C29" s="199"/>
      <c r="D29" s="199" t="s">
        <v>1075</v>
      </c>
      <c r="E29" s="25" t="s">
        <v>386</v>
      </c>
      <c r="F29" s="32" t="s">
        <v>1</v>
      </c>
      <c r="G29" s="32" t="s">
        <v>1307</v>
      </c>
      <c r="H29" s="32" t="s">
        <v>1310</v>
      </c>
      <c r="I29" s="40"/>
      <c r="J29" s="26" t="s">
        <v>79</v>
      </c>
      <c r="K29" s="27" t="s">
        <v>1212</v>
      </c>
      <c r="L29" s="28" t="s">
        <v>311</v>
      </c>
      <c r="M29" s="196" t="s">
        <v>0</v>
      </c>
      <c r="N29" s="196" t="s">
        <v>1227</v>
      </c>
      <c r="O29" s="40" t="s">
        <v>0</v>
      </c>
      <c r="P29" s="39">
        <v>42776</v>
      </c>
      <c r="Q29" s="196" t="s">
        <v>1297</v>
      </c>
      <c r="R29" s="40"/>
      <c r="S29" s="40" t="s">
        <v>0</v>
      </c>
      <c r="T29" s="41">
        <v>42794</v>
      </c>
      <c r="U29" s="212" t="s">
        <v>1297</v>
      </c>
      <c r="V29" s="40"/>
      <c r="W29" s="40"/>
      <c r="X29" s="41"/>
      <c r="Y29" s="40"/>
      <c r="Z29" s="40"/>
      <c r="AA29" s="40"/>
      <c r="AB29" s="41"/>
      <c r="AC29" s="40"/>
      <c r="AD29" s="40"/>
      <c r="AE29" s="40"/>
      <c r="AF29" s="41"/>
      <c r="AG29" s="40"/>
      <c r="AH29" s="40"/>
      <c r="AI29" s="196"/>
      <c r="AJ29" s="140" t="str">
        <f t="shared" si="8"/>
        <v/>
      </c>
      <c r="AK29" s="15"/>
      <c r="AL29" s="15"/>
      <c r="AM29" s="136"/>
      <c r="AN29" s="137" t="str">
        <f t="shared" si="9"/>
        <v/>
      </c>
      <c r="AO29" s="139"/>
      <c r="AP29" s="139"/>
      <c r="AQ29" s="139"/>
      <c r="AR29" s="139"/>
    </row>
    <row r="30" spans="2:44" ht="135">
      <c r="B30" s="42" t="s">
        <v>393</v>
      </c>
      <c r="C30" s="199"/>
      <c r="D30" s="199" t="s">
        <v>1076</v>
      </c>
      <c r="E30" s="25" t="s">
        <v>389</v>
      </c>
      <c r="F30" s="32" t="s">
        <v>1</v>
      </c>
      <c r="G30" s="32" t="s">
        <v>1307</v>
      </c>
      <c r="H30" s="32" t="s">
        <v>1310</v>
      </c>
      <c r="I30" s="40"/>
      <c r="J30" s="26" t="s">
        <v>79</v>
      </c>
      <c r="K30" s="27" t="s">
        <v>1212</v>
      </c>
      <c r="L30" s="28" t="s">
        <v>311</v>
      </c>
      <c r="M30" s="196" t="s">
        <v>0</v>
      </c>
      <c r="N30" s="196" t="s">
        <v>1227</v>
      </c>
      <c r="O30" s="40" t="s">
        <v>0</v>
      </c>
      <c r="P30" s="39">
        <v>42776</v>
      </c>
      <c r="Q30" s="196" t="s">
        <v>1297</v>
      </c>
      <c r="R30" s="40"/>
      <c r="S30" s="40" t="s">
        <v>0</v>
      </c>
      <c r="T30" s="41">
        <v>42794</v>
      </c>
      <c r="U30" s="212" t="s">
        <v>1297</v>
      </c>
      <c r="V30" s="40"/>
      <c r="W30" s="40"/>
      <c r="X30" s="41"/>
      <c r="Y30" s="40"/>
      <c r="Z30" s="40"/>
      <c r="AA30" s="40"/>
      <c r="AB30" s="41"/>
      <c r="AC30" s="40"/>
      <c r="AD30" s="40"/>
      <c r="AE30" s="40"/>
      <c r="AF30" s="41"/>
      <c r="AG30" s="40"/>
      <c r="AH30" s="40"/>
      <c r="AI30" s="196"/>
      <c r="AJ30" s="140" t="str">
        <f t="shared" si="8"/>
        <v/>
      </c>
      <c r="AK30" s="15"/>
      <c r="AL30" s="15"/>
      <c r="AM30" s="136"/>
      <c r="AN30" s="137" t="str">
        <f t="shared" si="9"/>
        <v/>
      </c>
      <c r="AO30" s="139"/>
      <c r="AP30" s="139"/>
      <c r="AQ30" s="139"/>
      <c r="AR30" s="139"/>
    </row>
    <row r="31" spans="2:44" ht="135">
      <c r="B31" s="42" t="s">
        <v>392</v>
      </c>
      <c r="C31" s="199"/>
      <c r="D31" s="199" t="s">
        <v>1077</v>
      </c>
      <c r="E31" s="25" t="s">
        <v>389</v>
      </c>
      <c r="F31" s="32" t="s">
        <v>1</v>
      </c>
      <c r="G31" s="32" t="s">
        <v>1307</v>
      </c>
      <c r="H31" s="32" t="s">
        <v>1310</v>
      </c>
      <c r="I31" s="40"/>
      <c r="J31" s="26" t="s">
        <v>79</v>
      </c>
      <c r="K31" s="27" t="s">
        <v>1212</v>
      </c>
      <c r="L31" s="28" t="s">
        <v>311</v>
      </c>
      <c r="M31" s="196" t="s">
        <v>0</v>
      </c>
      <c r="N31" s="196" t="s">
        <v>1227</v>
      </c>
      <c r="O31" s="40" t="s">
        <v>0</v>
      </c>
      <c r="P31" s="39">
        <v>42776</v>
      </c>
      <c r="Q31" s="196" t="s">
        <v>1297</v>
      </c>
      <c r="R31" s="40"/>
      <c r="S31" s="40" t="s">
        <v>0</v>
      </c>
      <c r="T31" s="41">
        <v>42794</v>
      </c>
      <c r="U31" s="212" t="s">
        <v>1297</v>
      </c>
      <c r="V31" s="40"/>
      <c r="W31" s="40"/>
      <c r="X31" s="41"/>
      <c r="Y31" s="40"/>
      <c r="Z31" s="40"/>
      <c r="AA31" s="40"/>
      <c r="AB31" s="41"/>
      <c r="AC31" s="40"/>
      <c r="AD31" s="40"/>
      <c r="AE31" s="40"/>
      <c r="AF31" s="41"/>
      <c r="AG31" s="40"/>
      <c r="AH31" s="40"/>
      <c r="AI31" s="196"/>
      <c r="AJ31" s="140" t="str">
        <f t="shared" si="8"/>
        <v/>
      </c>
      <c r="AK31" s="15"/>
      <c r="AL31" s="15"/>
      <c r="AM31" s="136"/>
      <c r="AN31" s="137" t="str">
        <f t="shared" si="9"/>
        <v/>
      </c>
      <c r="AO31" s="139"/>
      <c r="AP31" s="139"/>
      <c r="AQ31" s="139"/>
      <c r="AR31" s="139"/>
    </row>
    <row r="32" spans="2:44" ht="120">
      <c r="B32" s="42" t="s">
        <v>391</v>
      </c>
      <c r="C32" s="199"/>
      <c r="D32" s="199" t="s">
        <v>1078</v>
      </c>
      <c r="E32" s="25" t="s">
        <v>389</v>
      </c>
      <c r="F32" s="32" t="s">
        <v>1</v>
      </c>
      <c r="G32" s="32" t="s">
        <v>1307</v>
      </c>
      <c r="H32" s="32" t="s">
        <v>1310</v>
      </c>
      <c r="I32" s="40"/>
      <c r="J32" s="26" t="s">
        <v>79</v>
      </c>
      <c r="K32" s="27" t="s">
        <v>1212</v>
      </c>
      <c r="L32" s="28" t="s">
        <v>311</v>
      </c>
      <c r="M32" s="196" t="s">
        <v>0</v>
      </c>
      <c r="N32" s="196" t="s">
        <v>1227</v>
      </c>
      <c r="O32" s="40" t="s">
        <v>0</v>
      </c>
      <c r="P32" s="39">
        <v>42776</v>
      </c>
      <c r="Q32" s="196" t="s">
        <v>1297</v>
      </c>
      <c r="R32" s="40"/>
      <c r="S32" s="40" t="s">
        <v>0</v>
      </c>
      <c r="T32" s="41">
        <v>42794</v>
      </c>
      <c r="U32" s="212" t="s">
        <v>1297</v>
      </c>
      <c r="V32" s="40"/>
      <c r="W32" s="40"/>
      <c r="X32" s="41"/>
      <c r="Y32" s="40"/>
      <c r="Z32" s="40"/>
      <c r="AA32" s="40"/>
      <c r="AB32" s="41"/>
      <c r="AC32" s="40"/>
      <c r="AD32" s="40"/>
      <c r="AE32" s="40"/>
      <c r="AF32" s="41"/>
      <c r="AG32" s="40"/>
      <c r="AH32" s="40"/>
      <c r="AI32" s="196"/>
      <c r="AJ32" s="140" t="str">
        <f t="shared" si="8"/>
        <v/>
      </c>
      <c r="AK32" s="15"/>
      <c r="AL32" s="15"/>
      <c r="AM32" s="136"/>
      <c r="AN32" s="137" t="str">
        <f t="shared" si="9"/>
        <v/>
      </c>
      <c r="AO32" s="139"/>
      <c r="AP32" s="139"/>
      <c r="AQ32" s="139"/>
      <c r="AR32" s="139"/>
    </row>
    <row r="33" spans="1:44" ht="120">
      <c r="A33" s="13"/>
      <c r="B33" s="42" t="s">
        <v>390</v>
      </c>
      <c r="C33" s="199"/>
      <c r="D33" s="199" t="s">
        <v>1079</v>
      </c>
      <c r="E33" s="25" t="s">
        <v>389</v>
      </c>
      <c r="F33" s="32" t="s">
        <v>1</v>
      </c>
      <c r="G33" s="32" t="s">
        <v>1307</v>
      </c>
      <c r="H33" s="32" t="s">
        <v>1310</v>
      </c>
      <c r="I33" s="40"/>
      <c r="J33" s="26" t="s">
        <v>79</v>
      </c>
      <c r="K33" s="27" t="s">
        <v>1212</v>
      </c>
      <c r="L33" s="28" t="s">
        <v>311</v>
      </c>
      <c r="M33" s="196" t="s">
        <v>0</v>
      </c>
      <c r="N33" s="196" t="s">
        <v>1227</v>
      </c>
      <c r="O33" s="40" t="s">
        <v>0</v>
      </c>
      <c r="P33" s="39">
        <v>42776</v>
      </c>
      <c r="Q33" s="196" t="s">
        <v>1297</v>
      </c>
      <c r="R33" s="40"/>
      <c r="S33" s="40" t="s">
        <v>0</v>
      </c>
      <c r="T33" s="41">
        <v>42794</v>
      </c>
      <c r="U33" s="212" t="s">
        <v>1297</v>
      </c>
      <c r="V33" s="40"/>
      <c r="W33" s="40"/>
      <c r="X33" s="41"/>
      <c r="Y33" s="40"/>
      <c r="Z33" s="40"/>
      <c r="AA33" s="40"/>
      <c r="AB33" s="41"/>
      <c r="AC33" s="40"/>
      <c r="AD33" s="40"/>
      <c r="AE33" s="40"/>
      <c r="AF33" s="41"/>
      <c r="AG33" s="40"/>
      <c r="AH33" s="40"/>
      <c r="AI33" s="196"/>
      <c r="AJ33" s="140" t="str">
        <f t="shared" si="8"/>
        <v/>
      </c>
      <c r="AK33" s="15"/>
      <c r="AL33" s="15"/>
      <c r="AM33" s="136"/>
      <c r="AN33" s="137" t="str">
        <f t="shared" si="9"/>
        <v/>
      </c>
      <c r="AO33" s="139"/>
      <c r="AP33" s="139"/>
      <c r="AQ33" s="139"/>
      <c r="AR33" s="139"/>
    </row>
    <row r="34" spans="1:44" ht="120">
      <c r="A34" s="13"/>
      <c r="B34" s="42" t="s">
        <v>388</v>
      </c>
      <c r="C34" s="199"/>
      <c r="D34" s="199" t="s">
        <v>1080</v>
      </c>
      <c r="E34" s="25" t="s">
        <v>386</v>
      </c>
      <c r="F34" s="32" t="s">
        <v>1</v>
      </c>
      <c r="G34" s="32" t="s">
        <v>1307</v>
      </c>
      <c r="H34" s="32" t="s">
        <v>1310</v>
      </c>
      <c r="I34" s="40"/>
      <c r="J34" s="26" t="s">
        <v>79</v>
      </c>
      <c r="K34" s="27" t="s">
        <v>1212</v>
      </c>
      <c r="L34" s="28" t="s">
        <v>311</v>
      </c>
      <c r="M34" s="196" t="s">
        <v>0</v>
      </c>
      <c r="N34" s="196" t="s">
        <v>1227</v>
      </c>
      <c r="O34" s="40" t="s">
        <v>0</v>
      </c>
      <c r="P34" s="39">
        <v>42776</v>
      </c>
      <c r="Q34" s="196" t="s">
        <v>1297</v>
      </c>
      <c r="R34" s="40"/>
      <c r="S34" s="40" t="s">
        <v>0</v>
      </c>
      <c r="T34" s="41">
        <v>42794</v>
      </c>
      <c r="U34" s="212" t="s">
        <v>1297</v>
      </c>
      <c r="V34" s="40"/>
      <c r="W34" s="40"/>
      <c r="X34" s="41"/>
      <c r="Y34" s="40"/>
      <c r="Z34" s="40"/>
      <c r="AA34" s="40"/>
      <c r="AB34" s="41"/>
      <c r="AC34" s="40"/>
      <c r="AD34" s="40"/>
      <c r="AE34" s="40"/>
      <c r="AF34" s="41"/>
      <c r="AG34" s="40"/>
      <c r="AH34" s="40"/>
      <c r="AI34" s="196"/>
      <c r="AJ34" s="140" t="str">
        <f t="shared" si="8"/>
        <v/>
      </c>
      <c r="AK34" s="15"/>
      <c r="AL34" s="15"/>
      <c r="AM34" s="136"/>
      <c r="AN34" s="137" t="str">
        <f t="shared" si="9"/>
        <v/>
      </c>
      <c r="AO34" s="139"/>
      <c r="AP34" s="139"/>
      <c r="AQ34" s="139"/>
      <c r="AR34" s="139"/>
    </row>
    <row r="35" spans="1:44" ht="135">
      <c r="A35" s="13"/>
      <c r="B35" s="42" t="s">
        <v>387</v>
      </c>
      <c r="C35" s="199"/>
      <c r="D35" s="199" t="s">
        <v>1081</v>
      </c>
      <c r="E35" s="25" t="s">
        <v>386</v>
      </c>
      <c r="F35" s="32" t="s">
        <v>1</v>
      </c>
      <c r="G35" s="32" t="s">
        <v>1307</v>
      </c>
      <c r="H35" s="32" t="s">
        <v>1310</v>
      </c>
      <c r="I35" s="40"/>
      <c r="J35" s="26" t="s">
        <v>79</v>
      </c>
      <c r="K35" s="27" t="s">
        <v>1212</v>
      </c>
      <c r="L35" s="28" t="s">
        <v>311</v>
      </c>
      <c r="M35" s="196" t="s">
        <v>0</v>
      </c>
      <c r="N35" s="196" t="s">
        <v>1227</v>
      </c>
      <c r="O35" s="40" t="s">
        <v>0</v>
      </c>
      <c r="P35" s="39">
        <v>42776</v>
      </c>
      <c r="Q35" s="196" t="s">
        <v>1297</v>
      </c>
      <c r="R35" s="40"/>
      <c r="S35" s="40" t="s">
        <v>0</v>
      </c>
      <c r="T35" s="41">
        <v>42794</v>
      </c>
      <c r="U35" s="212" t="s">
        <v>1297</v>
      </c>
      <c r="V35" s="40"/>
      <c r="W35" s="40"/>
      <c r="X35" s="41"/>
      <c r="Y35" s="40"/>
      <c r="Z35" s="40"/>
      <c r="AA35" s="40"/>
      <c r="AB35" s="41"/>
      <c r="AC35" s="40"/>
      <c r="AD35" s="40"/>
      <c r="AE35" s="40"/>
      <c r="AF35" s="41"/>
      <c r="AG35" s="40"/>
      <c r="AH35" s="40"/>
      <c r="AI35" s="196"/>
      <c r="AJ35" s="140" t="str">
        <f t="shared" si="8"/>
        <v/>
      </c>
      <c r="AK35" s="15"/>
      <c r="AL35" s="15"/>
      <c r="AM35" s="136"/>
      <c r="AN35" s="137" t="str">
        <f t="shared" si="9"/>
        <v/>
      </c>
      <c r="AO35" s="139"/>
      <c r="AP35" s="139"/>
      <c r="AQ35" s="139"/>
      <c r="AR35" s="139"/>
    </row>
    <row r="36" spans="1:44" ht="60">
      <c r="A36" s="13"/>
      <c r="B36" s="27" t="s">
        <v>385</v>
      </c>
      <c r="C36" s="199" t="s">
        <v>384</v>
      </c>
      <c r="D36" s="199" t="s">
        <v>383</v>
      </c>
      <c r="E36" s="25" t="s">
        <v>382</v>
      </c>
      <c r="F36" s="32" t="s">
        <v>1</v>
      </c>
      <c r="G36" s="32" t="s">
        <v>1307</v>
      </c>
      <c r="H36" s="32" t="s">
        <v>1310</v>
      </c>
      <c r="I36" s="40"/>
      <c r="J36" s="26" t="s">
        <v>79</v>
      </c>
      <c r="K36" s="27" t="s">
        <v>1212</v>
      </c>
      <c r="L36" s="28" t="s">
        <v>311</v>
      </c>
      <c r="M36" s="196" t="s">
        <v>0</v>
      </c>
      <c r="N36" s="196" t="s">
        <v>1227</v>
      </c>
      <c r="O36" s="40" t="s">
        <v>0</v>
      </c>
      <c r="P36" s="39">
        <v>42776</v>
      </c>
      <c r="Q36" s="196" t="s">
        <v>1297</v>
      </c>
      <c r="R36" s="40"/>
      <c r="S36" s="40" t="s">
        <v>0</v>
      </c>
      <c r="T36" s="41">
        <v>42794</v>
      </c>
      <c r="U36" s="212" t="s">
        <v>1297</v>
      </c>
      <c r="V36" s="40"/>
      <c r="W36" s="40"/>
      <c r="X36" s="41"/>
      <c r="Y36" s="40"/>
      <c r="Z36" s="40"/>
      <c r="AA36" s="40"/>
      <c r="AB36" s="41"/>
      <c r="AC36" s="40"/>
      <c r="AD36" s="40"/>
      <c r="AE36" s="40"/>
      <c r="AF36" s="41"/>
      <c r="AG36" s="40"/>
      <c r="AH36" s="40"/>
      <c r="AI36" s="196"/>
      <c r="AJ36" s="140" t="str">
        <f t="shared" si="8"/>
        <v/>
      </c>
      <c r="AK36" s="15"/>
      <c r="AL36" s="15"/>
      <c r="AM36" s="136"/>
      <c r="AN36" s="137" t="str">
        <f t="shared" si="9"/>
        <v/>
      </c>
      <c r="AO36" s="139"/>
      <c r="AP36" s="139"/>
      <c r="AQ36" s="139"/>
      <c r="AR36" s="139"/>
    </row>
    <row r="37" spans="1:44" ht="60">
      <c r="A37" s="13"/>
      <c r="B37" s="27" t="s">
        <v>381</v>
      </c>
      <c r="C37" s="199" t="s">
        <v>380</v>
      </c>
      <c r="D37" s="199" t="s">
        <v>1082</v>
      </c>
      <c r="E37" s="25" t="s">
        <v>379</v>
      </c>
      <c r="F37" s="32" t="s">
        <v>1</v>
      </c>
      <c r="G37" s="32" t="s">
        <v>1307</v>
      </c>
      <c r="H37" s="32" t="s">
        <v>1310</v>
      </c>
      <c r="I37" s="40"/>
      <c r="J37" s="26" t="s">
        <v>79</v>
      </c>
      <c r="K37" s="27" t="s">
        <v>1212</v>
      </c>
      <c r="L37" s="28" t="s">
        <v>311</v>
      </c>
      <c r="M37" s="196" t="s">
        <v>0</v>
      </c>
      <c r="N37" s="196" t="s">
        <v>1227</v>
      </c>
      <c r="O37" s="40" t="s">
        <v>0</v>
      </c>
      <c r="P37" s="39">
        <v>42776</v>
      </c>
      <c r="Q37" s="196" t="s">
        <v>1297</v>
      </c>
      <c r="R37" s="40"/>
      <c r="S37" s="40" t="s">
        <v>0</v>
      </c>
      <c r="T37" s="41">
        <v>42794</v>
      </c>
      <c r="U37" s="212" t="s">
        <v>1297</v>
      </c>
      <c r="V37" s="40"/>
      <c r="W37" s="40"/>
      <c r="X37" s="41"/>
      <c r="Y37" s="40"/>
      <c r="Z37" s="40"/>
      <c r="AA37" s="40"/>
      <c r="AB37" s="41"/>
      <c r="AC37" s="40"/>
      <c r="AD37" s="40"/>
      <c r="AE37" s="40"/>
      <c r="AF37" s="41"/>
      <c r="AG37" s="40"/>
      <c r="AH37" s="40"/>
      <c r="AI37" s="196"/>
      <c r="AJ37" s="140" t="str">
        <f t="shared" si="8"/>
        <v/>
      </c>
      <c r="AK37" s="15"/>
      <c r="AL37" s="15"/>
      <c r="AM37" s="136"/>
      <c r="AN37" s="137" t="str">
        <f t="shared" si="9"/>
        <v/>
      </c>
      <c r="AO37" s="139"/>
      <c r="AP37" s="139"/>
      <c r="AQ37" s="139"/>
      <c r="AR37" s="139"/>
    </row>
    <row r="38" spans="1:44" ht="135">
      <c r="A38" s="13"/>
      <c r="B38" s="42" t="s">
        <v>378</v>
      </c>
      <c r="C38" s="199"/>
      <c r="D38" s="199" t="s">
        <v>1083</v>
      </c>
      <c r="E38" s="25" t="s">
        <v>374</v>
      </c>
      <c r="F38" s="32" t="s">
        <v>1</v>
      </c>
      <c r="G38" s="32" t="s">
        <v>1307</v>
      </c>
      <c r="H38" s="32" t="s">
        <v>1310</v>
      </c>
      <c r="I38" s="25" t="s">
        <v>377</v>
      </c>
      <c r="J38" s="26" t="s">
        <v>79</v>
      </c>
      <c r="K38" s="27" t="s">
        <v>1212</v>
      </c>
      <c r="L38" s="28" t="s">
        <v>311</v>
      </c>
      <c r="M38" s="196" t="s">
        <v>0</v>
      </c>
      <c r="N38" s="196" t="s">
        <v>1227</v>
      </c>
      <c r="O38" s="40" t="s">
        <v>0</v>
      </c>
      <c r="P38" s="39">
        <v>42776</v>
      </c>
      <c r="Q38" s="196" t="s">
        <v>1297</v>
      </c>
      <c r="R38" s="40"/>
      <c r="S38" s="40" t="s">
        <v>0</v>
      </c>
      <c r="T38" s="41">
        <v>42794</v>
      </c>
      <c r="U38" s="212" t="s">
        <v>1297</v>
      </c>
      <c r="V38" s="40"/>
      <c r="W38" s="40"/>
      <c r="X38" s="41"/>
      <c r="Y38" s="40"/>
      <c r="Z38" s="40"/>
      <c r="AA38" s="40"/>
      <c r="AB38" s="41"/>
      <c r="AC38" s="40"/>
      <c r="AD38" s="40"/>
      <c r="AE38" s="40"/>
      <c r="AF38" s="41"/>
      <c r="AG38" s="40"/>
      <c r="AH38" s="40"/>
      <c r="AI38" s="196"/>
      <c r="AJ38" s="140" t="str">
        <f t="shared" si="8"/>
        <v/>
      </c>
      <c r="AK38" s="15"/>
      <c r="AL38" s="15"/>
      <c r="AM38" s="136"/>
      <c r="AN38" s="137" t="str">
        <f t="shared" si="9"/>
        <v/>
      </c>
      <c r="AO38" s="139"/>
      <c r="AP38" s="139"/>
      <c r="AQ38" s="139"/>
      <c r="AR38" s="139"/>
    </row>
    <row r="39" spans="1:44" ht="135">
      <c r="A39" s="13"/>
      <c r="B39" s="42" t="s">
        <v>376</v>
      </c>
      <c r="C39" s="199"/>
      <c r="D39" s="199" t="s">
        <v>1084</v>
      </c>
      <c r="E39" s="25" t="s">
        <v>374</v>
      </c>
      <c r="F39" s="32" t="s">
        <v>1</v>
      </c>
      <c r="G39" s="32" t="s">
        <v>1307</v>
      </c>
      <c r="H39" s="32" t="s">
        <v>1310</v>
      </c>
      <c r="I39" s="40"/>
      <c r="J39" s="26" t="s">
        <v>79</v>
      </c>
      <c r="K39" s="27" t="s">
        <v>1212</v>
      </c>
      <c r="L39" s="28" t="s">
        <v>311</v>
      </c>
      <c r="M39" s="196" t="s">
        <v>0</v>
      </c>
      <c r="N39" s="196" t="s">
        <v>1227</v>
      </c>
      <c r="O39" s="40" t="s">
        <v>0</v>
      </c>
      <c r="P39" s="39">
        <v>42776</v>
      </c>
      <c r="Q39" s="196" t="s">
        <v>1297</v>
      </c>
      <c r="R39" s="40"/>
      <c r="S39" s="40" t="s">
        <v>0</v>
      </c>
      <c r="T39" s="41">
        <v>42794</v>
      </c>
      <c r="U39" s="212" t="s">
        <v>1297</v>
      </c>
      <c r="V39" s="40"/>
      <c r="W39" s="40"/>
      <c r="X39" s="41"/>
      <c r="Y39" s="40"/>
      <c r="Z39" s="40"/>
      <c r="AA39" s="40"/>
      <c r="AB39" s="41"/>
      <c r="AC39" s="40"/>
      <c r="AD39" s="40"/>
      <c r="AE39" s="40"/>
      <c r="AF39" s="41"/>
      <c r="AG39" s="40"/>
      <c r="AH39" s="40"/>
      <c r="AI39" s="196"/>
      <c r="AJ39" s="140" t="str">
        <f t="shared" si="8"/>
        <v/>
      </c>
      <c r="AK39" s="15"/>
      <c r="AL39" s="15"/>
      <c r="AM39" s="136"/>
      <c r="AN39" s="137" t="str">
        <f t="shared" si="9"/>
        <v/>
      </c>
      <c r="AO39" s="139"/>
      <c r="AP39" s="139"/>
      <c r="AQ39" s="139"/>
      <c r="AR39" s="139"/>
    </row>
    <row r="40" spans="1:44" ht="135">
      <c r="A40" s="13"/>
      <c r="B40" s="42" t="s">
        <v>375</v>
      </c>
      <c r="C40" s="199"/>
      <c r="D40" s="199" t="s">
        <v>1085</v>
      </c>
      <c r="E40" s="25" t="s">
        <v>374</v>
      </c>
      <c r="F40" s="32" t="s">
        <v>1</v>
      </c>
      <c r="G40" s="32" t="s">
        <v>1307</v>
      </c>
      <c r="H40" s="32" t="s">
        <v>1310</v>
      </c>
      <c r="I40" s="40"/>
      <c r="J40" s="26" t="s">
        <v>79</v>
      </c>
      <c r="K40" s="27" t="s">
        <v>1212</v>
      </c>
      <c r="L40" s="28" t="s">
        <v>311</v>
      </c>
      <c r="M40" s="196" t="s">
        <v>0</v>
      </c>
      <c r="N40" s="196" t="s">
        <v>1227</v>
      </c>
      <c r="O40" s="40" t="s">
        <v>0</v>
      </c>
      <c r="P40" s="39">
        <v>42776</v>
      </c>
      <c r="Q40" s="196" t="s">
        <v>1297</v>
      </c>
      <c r="R40" s="40"/>
      <c r="S40" s="40" t="s">
        <v>0</v>
      </c>
      <c r="T40" s="41">
        <v>42794</v>
      </c>
      <c r="U40" s="212" t="s">
        <v>1297</v>
      </c>
      <c r="V40" s="40"/>
      <c r="W40" s="40"/>
      <c r="X40" s="41"/>
      <c r="Y40" s="40"/>
      <c r="Z40" s="40"/>
      <c r="AA40" s="40"/>
      <c r="AB40" s="41"/>
      <c r="AC40" s="40"/>
      <c r="AD40" s="40"/>
      <c r="AE40" s="40"/>
      <c r="AF40" s="41"/>
      <c r="AG40" s="40"/>
      <c r="AH40" s="40"/>
      <c r="AI40" s="196"/>
      <c r="AJ40" s="140" t="str">
        <f t="shared" si="8"/>
        <v/>
      </c>
      <c r="AK40" s="15"/>
      <c r="AL40" s="15"/>
      <c r="AM40" s="136"/>
      <c r="AN40" s="137" t="str">
        <f t="shared" si="9"/>
        <v/>
      </c>
      <c r="AO40" s="139"/>
      <c r="AP40" s="139"/>
      <c r="AQ40" s="139"/>
      <c r="AR40" s="139"/>
    </row>
    <row r="41" spans="1:44" ht="120">
      <c r="A41" s="13"/>
      <c r="B41" s="27" t="s">
        <v>373</v>
      </c>
      <c r="C41" s="199" t="s">
        <v>372</v>
      </c>
      <c r="D41" s="199" t="s">
        <v>1086</v>
      </c>
      <c r="E41" s="25" t="s">
        <v>368</v>
      </c>
      <c r="F41" s="32" t="s">
        <v>1</v>
      </c>
      <c r="G41" s="32" t="s">
        <v>1307</v>
      </c>
      <c r="H41" s="32" t="s">
        <v>1310</v>
      </c>
      <c r="I41" s="40"/>
      <c r="J41" s="26" t="s">
        <v>79</v>
      </c>
      <c r="K41" s="27" t="s">
        <v>1212</v>
      </c>
      <c r="L41" s="28" t="s">
        <v>311</v>
      </c>
      <c r="M41" s="196" t="s">
        <v>0</v>
      </c>
      <c r="N41" s="196" t="s">
        <v>1227</v>
      </c>
      <c r="O41" s="40" t="s">
        <v>0</v>
      </c>
      <c r="P41" s="39">
        <v>42776</v>
      </c>
      <c r="Q41" s="196" t="s">
        <v>1297</v>
      </c>
      <c r="R41" s="40"/>
      <c r="S41" s="40" t="s">
        <v>0</v>
      </c>
      <c r="T41" s="41">
        <v>42794</v>
      </c>
      <c r="U41" s="212" t="s">
        <v>1297</v>
      </c>
      <c r="V41" s="40"/>
      <c r="W41" s="40"/>
      <c r="X41" s="41"/>
      <c r="Y41" s="40"/>
      <c r="Z41" s="40"/>
      <c r="AA41" s="40"/>
      <c r="AB41" s="41"/>
      <c r="AC41" s="40"/>
      <c r="AD41" s="40"/>
      <c r="AE41" s="40"/>
      <c r="AF41" s="41"/>
      <c r="AG41" s="40"/>
      <c r="AH41" s="40"/>
      <c r="AI41" s="196"/>
      <c r="AJ41" s="140" t="str">
        <f t="shared" si="8"/>
        <v/>
      </c>
      <c r="AK41" s="15"/>
      <c r="AL41" s="15"/>
      <c r="AM41" s="136"/>
      <c r="AN41" s="137" t="str">
        <f t="shared" si="9"/>
        <v/>
      </c>
      <c r="AO41" s="139"/>
      <c r="AP41" s="139"/>
      <c r="AQ41" s="139"/>
      <c r="AR41" s="139"/>
    </row>
    <row r="42" spans="1:44" ht="150">
      <c r="A42" s="13"/>
      <c r="B42" s="42" t="s">
        <v>371</v>
      </c>
      <c r="C42" s="199"/>
      <c r="D42" s="199" t="s">
        <v>1087</v>
      </c>
      <c r="E42" s="25" t="s">
        <v>368</v>
      </c>
      <c r="F42" s="32" t="s">
        <v>1</v>
      </c>
      <c r="G42" s="32" t="s">
        <v>1307</v>
      </c>
      <c r="H42" s="32" t="s">
        <v>1310</v>
      </c>
      <c r="I42" s="40"/>
      <c r="J42" s="26" t="s">
        <v>79</v>
      </c>
      <c r="K42" s="27" t="s">
        <v>1212</v>
      </c>
      <c r="L42" s="28" t="s">
        <v>311</v>
      </c>
      <c r="M42" s="196" t="s">
        <v>0</v>
      </c>
      <c r="N42" s="196" t="s">
        <v>1227</v>
      </c>
      <c r="O42" s="40" t="s">
        <v>0</v>
      </c>
      <c r="P42" s="39">
        <v>42776</v>
      </c>
      <c r="Q42" s="196" t="s">
        <v>1297</v>
      </c>
      <c r="R42" s="40"/>
      <c r="S42" s="40" t="s">
        <v>0</v>
      </c>
      <c r="T42" s="41">
        <v>42794</v>
      </c>
      <c r="U42" s="212" t="s">
        <v>1297</v>
      </c>
      <c r="V42" s="40"/>
      <c r="W42" s="40"/>
      <c r="X42" s="41"/>
      <c r="Y42" s="40"/>
      <c r="Z42" s="40"/>
      <c r="AA42" s="40"/>
      <c r="AB42" s="41"/>
      <c r="AC42" s="40"/>
      <c r="AD42" s="40"/>
      <c r="AE42" s="40"/>
      <c r="AF42" s="41"/>
      <c r="AG42" s="40"/>
      <c r="AH42" s="40"/>
      <c r="AI42" s="196"/>
      <c r="AJ42" s="140" t="str">
        <f t="shared" si="8"/>
        <v/>
      </c>
      <c r="AK42" s="15"/>
      <c r="AL42" s="15"/>
      <c r="AM42" s="136"/>
      <c r="AN42" s="137" t="str">
        <f t="shared" si="9"/>
        <v/>
      </c>
      <c r="AO42" s="139"/>
      <c r="AP42" s="139"/>
      <c r="AQ42" s="139"/>
      <c r="AR42" s="139"/>
    </row>
    <row r="43" spans="1:44" ht="150">
      <c r="A43" s="13"/>
      <c r="B43" s="42" t="s">
        <v>370</v>
      </c>
      <c r="C43" s="199"/>
      <c r="D43" s="199" t="s">
        <v>369</v>
      </c>
      <c r="E43" s="25" t="s">
        <v>368</v>
      </c>
      <c r="F43" s="32" t="s">
        <v>1</v>
      </c>
      <c r="G43" s="32" t="s">
        <v>1307</v>
      </c>
      <c r="H43" s="32" t="s">
        <v>1310</v>
      </c>
      <c r="I43" s="40"/>
      <c r="J43" s="26" t="s">
        <v>79</v>
      </c>
      <c r="K43" s="27" t="s">
        <v>1212</v>
      </c>
      <c r="L43" s="28" t="s">
        <v>311</v>
      </c>
      <c r="M43" s="196" t="s">
        <v>0</v>
      </c>
      <c r="N43" s="196" t="s">
        <v>1227</v>
      </c>
      <c r="O43" s="40" t="s">
        <v>0</v>
      </c>
      <c r="P43" s="39">
        <v>42776</v>
      </c>
      <c r="Q43" s="196" t="s">
        <v>1297</v>
      </c>
      <c r="R43" s="40"/>
      <c r="S43" s="40" t="s">
        <v>0</v>
      </c>
      <c r="T43" s="41">
        <v>42794</v>
      </c>
      <c r="U43" s="212" t="s">
        <v>1297</v>
      </c>
      <c r="V43" s="40"/>
      <c r="W43" s="40"/>
      <c r="X43" s="41"/>
      <c r="Y43" s="40"/>
      <c r="Z43" s="40"/>
      <c r="AA43" s="40"/>
      <c r="AB43" s="41"/>
      <c r="AC43" s="40"/>
      <c r="AD43" s="40"/>
      <c r="AE43" s="40"/>
      <c r="AF43" s="41"/>
      <c r="AG43" s="40"/>
      <c r="AH43" s="40"/>
      <c r="AI43" s="196"/>
      <c r="AJ43" s="140" t="str">
        <f t="shared" si="8"/>
        <v/>
      </c>
      <c r="AK43" s="15"/>
      <c r="AL43" s="15"/>
      <c r="AM43" s="136"/>
      <c r="AN43" s="137" t="str">
        <f t="shared" si="9"/>
        <v/>
      </c>
      <c r="AO43" s="139"/>
      <c r="AP43" s="139"/>
      <c r="AQ43" s="139"/>
      <c r="AR43" s="139"/>
    </row>
    <row r="44" spans="1:44" s="43" customFormat="1" ht="165">
      <c r="A44" s="33"/>
      <c r="B44" s="42" t="s">
        <v>367</v>
      </c>
      <c r="C44" s="199"/>
      <c r="D44" s="199" t="s">
        <v>366</v>
      </c>
      <c r="E44" s="199" t="s">
        <v>365</v>
      </c>
      <c r="F44" s="199"/>
      <c r="G44" s="32" t="s">
        <v>1307</v>
      </c>
      <c r="H44" s="32" t="s">
        <v>1310</v>
      </c>
      <c r="I44" s="40" t="s">
        <v>364</v>
      </c>
      <c r="J44" s="26" t="s">
        <v>79</v>
      </c>
      <c r="K44" s="27" t="s">
        <v>1212</v>
      </c>
      <c r="L44" s="196" t="s">
        <v>53</v>
      </c>
      <c r="M44" s="40" t="s">
        <v>0</v>
      </c>
      <c r="N44" s="196" t="s">
        <v>27</v>
      </c>
      <c r="O44" s="40" t="s">
        <v>0</v>
      </c>
      <c r="P44" s="39">
        <v>42781</v>
      </c>
      <c r="Q44" s="199" t="s">
        <v>1302</v>
      </c>
      <c r="R44" s="40"/>
      <c r="S44" s="40" t="s">
        <v>0</v>
      </c>
      <c r="T44" s="31">
        <v>42794</v>
      </c>
      <c r="U44" s="199" t="s">
        <v>1315</v>
      </c>
      <c r="V44" s="40"/>
      <c r="W44" s="40"/>
      <c r="X44" s="31"/>
      <c r="Y44" s="199"/>
      <c r="Z44" s="40"/>
      <c r="AA44" s="40"/>
      <c r="AB44" s="31"/>
      <c r="AC44" s="199"/>
      <c r="AD44" s="40"/>
      <c r="AE44" s="40"/>
      <c r="AF44" s="31"/>
      <c r="AG44" s="199"/>
      <c r="AH44" s="40"/>
      <c r="AI44" s="196">
        <v>7</v>
      </c>
      <c r="AJ44" s="140" t="str">
        <f t="shared" si="8"/>
        <v>E</v>
      </c>
      <c r="AK44" s="15"/>
      <c r="AL44" s="15"/>
      <c r="AM44" s="136">
        <v>7</v>
      </c>
      <c r="AN44" s="137" t="str">
        <f t="shared" si="9"/>
        <v>E</v>
      </c>
      <c r="AO44" s="139"/>
      <c r="AP44" s="139"/>
      <c r="AQ44" s="139"/>
      <c r="AR44" s="139"/>
    </row>
    <row r="45" spans="1:44" ht="12.75" customHeight="1">
      <c r="A45" s="13"/>
      <c r="B45" s="22" t="s">
        <v>363</v>
      </c>
      <c r="C45" s="23"/>
      <c r="D45" s="23"/>
      <c r="E45" s="23"/>
      <c r="F45" s="24"/>
      <c r="G45" s="24"/>
      <c r="H45" s="24"/>
      <c r="I45" s="23"/>
      <c r="J45" s="23"/>
      <c r="K45" s="23"/>
      <c r="L45" s="24" t="s">
        <v>103</v>
      </c>
      <c r="M45" s="23"/>
      <c r="N45" s="23"/>
      <c r="O45" s="102"/>
      <c r="P45" s="104"/>
      <c r="Q45" s="102"/>
      <c r="R45" s="102"/>
      <c r="S45" s="103"/>
      <c r="T45" s="104"/>
      <c r="U45" s="103"/>
      <c r="V45" s="102"/>
      <c r="W45" s="102"/>
      <c r="X45" s="102"/>
      <c r="Y45" s="102"/>
      <c r="Z45" s="103"/>
      <c r="AA45" s="102"/>
      <c r="AB45" s="102"/>
      <c r="AC45" s="102"/>
      <c r="AD45" s="103"/>
      <c r="AE45" s="102"/>
      <c r="AF45" s="102"/>
      <c r="AG45" s="102"/>
      <c r="AH45" s="103"/>
      <c r="AI45" s="196"/>
      <c r="AJ45" s="140" t="str">
        <f t="shared" si="8"/>
        <v/>
      </c>
      <c r="AK45" s="15"/>
      <c r="AL45" s="15"/>
      <c r="AM45" s="136"/>
      <c r="AN45" s="137" t="str">
        <f t="shared" si="9"/>
        <v/>
      </c>
      <c r="AO45" s="139"/>
      <c r="AP45" s="139"/>
      <c r="AQ45" s="139"/>
      <c r="AR45" s="139"/>
    </row>
    <row r="46" spans="1:44" ht="105">
      <c r="A46" s="13"/>
      <c r="B46" s="27" t="s">
        <v>362</v>
      </c>
      <c r="C46" s="199" t="s">
        <v>361</v>
      </c>
      <c r="D46" s="199" t="s">
        <v>360</v>
      </c>
      <c r="E46" s="25" t="s">
        <v>359</v>
      </c>
      <c r="F46" s="32" t="s">
        <v>1</v>
      </c>
      <c r="G46" s="32" t="s">
        <v>1307</v>
      </c>
      <c r="H46" s="32" t="s">
        <v>1310</v>
      </c>
      <c r="I46" s="40"/>
      <c r="J46" s="26" t="s">
        <v>79</v>
      </c>
      <c r="K46" s="27" t="s">
        <v>1212</v>
      </c>
      <c r="L46" s="28" t="s">
        <v>311</v>
      </c>
      <c r="M46" s="196" t="s">
        <v>0</v>
      </c>
      <c r="N46" s="196" t="s">
        <v>1227</v>
      </c>
      <c r="O46" s="40" t="s">
        <v>0</v>
      </c>
      <c r="P46" s="39">
        <v>42776</v>
      </c>
      <c r="Q46" s="196" t="s">
        <v>1297</v>
      </c>
      <c r="R46" s="40"/>
      <c r="S46" s="40" t="s">
        <v>0</v>
      </c>
      <c r="T46" s="41">
        <v>42794</v>
      </c>
      <c r="U46" s="212" t="s">
        <v>1297</v>
      </c>
      <c r="V46" s="40"/>
      <c r="W46" s="40"/>
      <c r="X46" s="41"/>
      <c r="Y46" s="40"/>
      <c r="Z46" s="40"/>
      <c r="AA46" s="40"/>
      <c r="AB46" s="41"/>
      <c r="AC46" s="40"/>
      <c r="AD46" s="40"/>
      <c r="AE46" s="40"/>
      <c r="AF46" s="41"/>
      <c r="AG46" s="40"/>
      <c r="AH46" s="40"/>
      <c r="AI46" s="196"/>
      <c r="AJ46" s="140" t="str">
        <f t="shared" si="8"/>
        <v/>
      </c>
      <c r="AK46" s="15"/>
      <c r="AL46" s="15"/>
      <c r="AM46" s="136"/>
      <c r="AN46" s="137" t="str">
        <f t="shared" si="9"/>
        <v/>
      </c>
      <c r="AO46" s="139"/>
      <c r="AP46" s="139"/>
      <c r="AQ46" s="139"/>
      <c r="AR46" s="139"/>
    </row>
    <row r="47" spans="1:44" ht="75">
      <c r="A47" s="13"/>
      <c r="B47" s="27" t="s">
        <v>358</v>
      </c>
      <c r="C47" s="199" t="s">
        <v>357</v>
      </c>
      <c r="D47" s="199" t="s">
        <v>356</v>
      </c>
      <c r="E47" s="199" t="s">
        <v>355</v>
      </c>
      <c r="F47" s="32" t="s">
        <v>1</v>
      </c>
      <c r="G47" s="32" t="s">
        <v>1307</v>
      </c>
      <c r="H47" s="32" t="s">
        <v>1310</v>
      </c>
      <c r="I47" s="38" t="s">
        <v>354</v>
      </c>
      <c r="J47" s="26" t="s">
        <v>79</v>
      </c>
      <c r="K47" s="27" t="s">
        <v>1212</v>
      </c>
      <c r="L47" s="28" t="s">
        <v>311</v>
      </c>
      <c r="M47" s="196" t="s">
        <v>0</v>
      </c>
      <c r="N47" s="196" t="s">
        <v>1227</v>
      </c>
      <c r="O47" s="40" t="s">
        <v>0</v>
      </c>
      <c r="P47" s="39">
        <v>42776</v>
      </c>
      <c r="Q47" s="196" t="s">
        <v>1297</v>
      </c>
      <c r="R47" s="40"/>
      <c r="S47" s="40" t="s">
        <v>0</v>
      </c>
      <c r="T47" s="41">
        <v>42794</v>
      </c>
      <c r="U47" s="212" t="s">
        <v>1297</v>
      </c>
      <c r="V47" s="40"/>
      <c r="W47" s="40"/>
      <c r="X47" s="41"/>
      <c r="Y47" s="40"/>
      <c r="Z47" s="40"/>
      <c r="AA47" s="40"/>
      <c r="AB47" s="41"/>
      <c r="AC47" s="40"/>
      <c r="AD47" s="40"/>
      <c r="AE47" s="40"/>
      <c r="AF47" s="41"/>
      <c r="AG47" s="40"/>
      <c r="AH47" s="40"/>
      <c r="AI47" s="196"/>
      <c r="AJ47" s="140" t="str">
        <f t="shared" si="8"/>
        <v/>
      </c>
      <c r="AK47" s="15"/>
      <c r="AL47" s="15"/>
      <c r="AM47" s="136"/>
      <c r="AN47" s="137" t="str">
        <f t="shared" si="9"/>
        <v/>
      </c>
      <c r="AO47" s="139"/>
      <c r="AP47" s="139"/>
      <c r="AQ47" s="139"/>
      <c r="AR47" s="139"/>
    </row>
    <row r="48" spans="1:44" ht="105">
      <c r="A48" s="13"/>
      <c r="B48" s="27" t="s">
        <v>353</v>
      </c>
      <c r="C48" s="199" t="s">
        <v>352</v>
      </c>
      <c r="D48" s="199" t="s">
        <v>351</v>
      </c>
      <c r="E48" s="25" t="s">
        <v>350</v>
      </c>
      <c r="F48" s="32" t="s">
        <v>1</v>
      </c>
      <c r="G48" s="32" t="s">
        <v>1307</v>
      </c>
      <c r="H48" s="32" t="s">
        <v>1310</v>
      </c>
      <c r="I48" s="40"/>
      <c r="J48" s="26" t="s">
        <v>79</v>
      </c>
      <c r="K48" s="27" t="s">
        <v>1212</v>
      </c>
      <c r="L48" s="28" t="s">
        <v>311</v>
      </c>
      <c r="M48" s="196" t="s">
        <v>0</v>
      </c>
      <c r="N48" s="196" t="s">
        <v>1227</v>
      </c>
      <c r="O48" s="40" t="s">
        <v>0</v>
      </c>
      <c r="P48" s="39">
        <v>42776</v>
      </c>
      <c r="Q48" s="196" t="s">
        <v>1297</v>
      </c>
      <c r="R48" s="40"/>
      <c r="S48" s="40" t="s">
        <v>0</v>
      </c>
      <c r="T48" s="41">
        <v>42794</v>
      </c>
      <c r="U48" s="212" t="s">
        <v>1297</v>
      </c>
      <c r="V48" s="40"/>
      <c r="W48" s="40"/>
      <c r="X48" s="41"/>
      <c r="Y48" s="40"/>
      <c r="Z48" s="40"/>
      <c r="AA48" s="40"/>
      <c r="AB48" s="41"/>
      <c r="AC48" s="40"/>
      <c r="AD48" s="40"/>
      <c r="AE48" s="40"/>
      <c r="AF48" s="41"/>
      <c r="AG48" s="40"/>
      <c r="AH48" s="40"/>
      <c r="AI48" s="196"/>
      <c r="AJ48" s="140" t="str">
        <f t="shared" si="8"/>
        <v/>
      </c>
      <c r="AK48" s="15"/>
      <c r="AL48" s="15"/>
      <c r="AM48" s="136"/>
      <c r="AN48" s="137" t="str">
        <f t="shared" si="9"/>
        <v/>
      </c>
      <c r="AO48" s="139"/>
      <c r="AP48" s="139"/>
      <c r="AQ48" s="139"/>
      <c r="AR48" s="139"/>
    </row>
    <row r="49" spans="2:44" ht="105">
      <c r="B49" s="42" t="s">
        <v>349</v>
      </c>
      <c r="C49" s="199"/>
      <c r="D49" s="199" t="s">
        <v>348</v>
      </c>
      <c r="E49" s="25" t="s">
        <v>347</v>
      </c>
      <c r="F49" s="32" t="s">
        <v>1</v>
      </c>
      <c r="G49" s="32" t="s">
        <v>1307</v>
      </c>
      <c r="H49" s="32" t="s">
        <v>1310</v>
      </c>
      <c r="I49" s="40"/>
      <c r="J49" s="26" t="s">
        <v>79</v>
      </c>
      <c r="K49" s="27" t="s">
        <v>1212</v>
      </c>
      <c r="L49" s="28" t="s">
        <v>311</v>
      </c>
      <c r="M49" s="196" t="s">
        <v>0</v>
      </c>
      <c r="N49" s="196" t="s">
        <v>1227</v>
      </c>
      <c r="O49" s="40" t="s">
        <v>0</v>
      </c>
      <c r="P49" s="39">
        <v>42776</v>
      </c>
      <c r="Q49" s="196" t="s">
        <v>1297</v>
      </c>
      <c r="R49" s="40"/>
      <c r="S49" s="40" t="s">
        <v>0</v>
      </c>
      <c r="T49" s="41">
        <v>42794</v>
      </c>
      <c r="U49" s="212" t="s">
        <v>1297</v>
      </c>
      <c r="V49" s="40"/>
      <c r="W49" s="40"/>
      <c r="X49" s="41"/>
      <c r="Y49" s="40"/>
      <c r="Z49" s="40"/>
      <c r="AA49" s="40"/>
      <c r="AB49" s="41"/>
      <c r="AC49" s="40"/>
      <c r="AD49" s="40"/>
      <c r="AE49" s="40"/>
      <c r="AF49" s="41"/>
      <c r="AG49" s="40"/>
      <c r="AH49" s="40"/>
      <c r="AI49" s="196"/>
      <c r="AJ49" s="140" t="str">
        <f t="shared" si="8"/>
        <v/>
      </c>
      <c r="AK49" s="15"/>
      <c r="AL49" s="15"/>
      <c r="AM49" s="136"/>
      <c r="AN49" s="137" t="str">
        <f t="shared" si="9"/>
        <v/>
      </c>
      <c r="AO49" s="139"/>
      <c r="AP49" s="139"/>
      <c r="AQ49" s="139"/>
      <c r="AR49" s="139"/>
    </row>
    <row r="50" spans="2:44" ht="105">
      <c r="B50" s="27" t="s">
        <v>346</v>
      </c>
      <c r="C50" s="199" t="s">
        <v>345</v>
      </c>
      <c r="D50" s="199" t="s">
        <v>344</v>
      </c>
      <c r="E50" s="199" t="s">
        <v>343</v>
      </c>
      <c r="F50" s="32" t="s">
        <v>1</v>
      </c>
      <c r="G50" s="32" t="s">
        <v>1307</v>
      </c>
      <c r="H50" s="32" t="s">
        <v>1310</v>
      </c>
      <c r="I50" s="40"/>
      <c r="J50" s="26" t="s">
        <v>79</v>
      </c>
      <c r="K50" s="27" t="s">
        <v>1212</v>
      </c>
      <c r="L50" s="28" t="s">
        <v>311</v>
      </c>
      <c r="M50" s="196" t="s">
        <v>0</v>
      </c>
      <c r="N50" s="196" t="s">
        <v>1227</v>
      </c>
      <c r="O50" s="40" t="s">
        <v>0</v>
      </c>
      <c r="P50" s="39">
        <v>42776</v>
      </c>
      <c r="Q50" s="196" t="s">
        <v>1297</v>
      </c>
      <c r="R50" s="40"/>
      <c r="S50" s="40" t="s">
        <v>0</v>
      </c>
      <c r="T50" s="41">
        <v>42794</v>
      </c>
      <c r="U50" s="212" t="s">
        <v>1297</v>
      </c>
      <c r="V50" s="40"/>
      <c r="W50" s="40"/>
      <c r="X50" s="41"/>
      <c r="Y50" s="40"/>
      <c r="Z50" s="40"/>
      <c r="AA50" s="40"/>
      <c r="AB50" s="41"/>
      <c r="AC50" s="40"/>
      <c r="AD50" s="40"/>
      <c r="AE50" s="40"/>
      <c r="AF50" s="41"/>
      <c r="AG50" s="40"/>
      <c r="AH50" s="40"/>
      <c r="AI50" s="196"/>
      <c r="AJ50" s="140" t="str">
        <f t="shared" si="8"/>
        <v/>
      </c>
      <c r="AK50" s="15"/>
      <c r="AL50" s="15"/>
      <c r="AM50" s="136"/>
      <c r="AN50" s="137" t="str">
        <f t="shared" si="9"/>
        <v/>
      </c>
      <c r="AO50" s="139"/>
      <c r="AP50" s="139"/>
      <c r="AQ50" s="139"/>
      <c r="AR50" s="139"/>
    </row>
    <row r="51" spans="2:44" ht="45">
      <c r="B51" s="27" t="s">
        <v>342</v>
      </c>
      <c r="C51" s="199" t="s">
        <v>341</v>
      </c>
      <c r="D51" s="199" t="s">
        <v>340</v>
      </c>
      <c r="E51" s="199" t="s">
        <v>339</v>
      </c>
      <c r="F51" s="32" t="s">
        <v>1</v>
      </c>
      <c r="G51" s="32" t="s">
        <v>1307</v>
      </c>
      <c r="H51" s="32" t="s">
        <v>1310</v>
      </c>
      <c r="I51" s="40"/>
      <c r="J51" s="26" t="s">
        <v>79</v>
      </c>
      <c r="K51" s="27" t="s">
        <v>1212</v>
      </c>
      <c r="L51" s="28" t="s">
        <v>311</v>
      </c>
      <c r="M51" s="196" t="s">
        <v>0</v>
      </c>
      <c r="N51" s="196" t="s">
        <v>1227</v>
      </c>
      <c r="O51" s="40" t="s">
        <v>0</v>
      </c>
      <c r="P51" s="39">
        <v>42776</v>
      </c>
      <c r="Q51" s="196" t="s">
        <v>1297</v>
      </c>
      <c r="R51" s="40"/>
      <c r="S51" s="40" t="s">
        <v>0</v>
      </c>
      <c r="T51" s="41">
        <v>42794</v>
      </c>
      <c r="U51" s="212" t="s">
        <v>1297</v>
      </c>
      <c r="V51" s="40"/>
      <c r="W51" s="40"/>
      <c r="X51" s="41"/>
      <c r="Y51" s="40"/>
      <c r="Z51" s="40"/>
      <c r="AA51" s="40"/>
      <c r="AB51" s="41"/>
      <c r="AC51" s="40"/>
      <c r="AD51" s="40"/>
      <c r="AE51" s="40"/>
      <c r="AF51" s="41"/>
      <c r="AG51" s="40"/>
      <c r="AH51" s="40"/>
      <c r="AI51" s="196"/>
      <c r="AJ51" s="140" t="str">
        <f t="shared" si="8"/>
        <v/>
      </c>
      <c r="AK51" s="15"/>
      <c r="AL51" s="15"/>
      <c r="AM51" s="136"/>
      <c r="AN51" s="137" t="str">
        <f t="shared" si="9"/>
        <v/>
      </c>
      <c r="AO51" s="139"/>
      <c r="AP51" s="139"/>
      <c r="AQ51" s="139"/>
      <c r="AR51" s="139"/>
    </row>
    <row r="52" spans="2:44" ht="75">
      <c r="B52" s="42" t="s">
        <v>338</v>
      </c>
      <c r="C52" s="199"/>
      <c r="D52" s="199" t="s">
        <v>337</v>
      </c>
      <c r="E52" s="199" t="s">
        <v>336</v>
      </c>
      <c r="F52" s="32" t="s">
        <v>1</v>
      </c>
      <c r="G52" s="32" t="s">
        <v>1307</v>
      </c>
      <c r="H52" s="32" t="s">
        <v>1310</v>
      </c>
      <c r="I52" s="40"/>
      <c r="J52" s="26" t="s">
        <v>79</v>
      </c>
      <c r="K52" s="27" t="s">
        <v>1212</v>
      </c>
      <c r="L52" s="28" t="s">
        <v>311</v>
      </c>
      <c r="M52" s="196" t="s">
        <v>0</v>
      </c>
      <c r="N52" s="196" t="s">
        <v>1227</v>
      </c>
      <c r="O52" s="40" t="s">
        <v>0</v>
      </c>
      <c r="P52" s="39">
        <v>42776</v>
      </c>
      <c r="Q52" s="196" t="s">
        <v>1297</v>
      </c>
      <c r="R52" s="40"/>
      <c r="S52" s="40" t="s">
        <v>0</v>
      </c>
      <c r="T52" s="41">
        <v>42794</v>
      </c>
      <c r="U52" s="212" t="s">
        <v>1297</v>
      </c>
      <c r="V52" s="40"/>
      <c r="W52" s="40"/>
      <c r="X52" s="41"/>
      <c r="Y52" s="40"/>
      <c r="Z52" s="40"/>
      <c r="AA52" s="40"/>
      <c r="AB52" s="41"/>
      <c r="AC52" s="40"/>
      <c r="AD52" s="40"/>
      <c r="AE52" s="40"/>
      <c r="AF52" s="41"/>
      <c r="AG52" s="40"/>
      <c r="AH52" s="40"/>
      <c r="AI52" s="196"/>
      <c r="AJ52" s="140" t="str">
        <f t="shared" si="8"/>
        <v/>
      </c>
      <c r="AK52" s="15"/>
      <c r="AL52" s="15"/>
      <c r="AM52" s="136"/>
      <c r="AN52" s="137" t="str">
        <f t="shared" si="9"/>
        <v/>
      </c>
      <c r="AO52" s="139"/>
      <c r="AP52" s="139"/>
      <c r="AQ52" s="139"/>
      <c r="AR52" s="139"/>
    </row>
    <row r="53" spans="2:44" ht="75">
      <c r="B53" s="42" t="s">
        <v>335</v>
      </c>
      <c r="C53" s="199"/>
      <c r="D53" s="199" t="s">
        <v>334</v>
      </c>
      <c r="E53" s="199" t="s">
        <v>333</v>
      </c>
      <c r="F53" s="32" t="s">
        <v>1</v>
      </c>
      <c r="G53" s="32" t="s">
        <v>1307</v>
      </c>
      <c r="H53" s="32" t="s">
        <v>1310</v>
      </c>
      <c r="I53" s="40"/>
      <c r="J53" s="26" t="s">
        <v>79</v>
      </c>
      <c r="K53" s="27" t="s">
        <v>1212</v>
      </c>
      <c r="L53" s="28" t="s">
        <v>311</v>
      </c>
      <c r="M53" s="196" t="s">
        <v>0</v>
      </c>
      <c r="N53" s="196" t="s">
        <v>1227</v>
      </c>
      <c r="O53" s="40" t="s">
        <v>0</v>
      </c>
      <c r="P53" s="39">
        <v>42776</v>
      </c>
      <c r="Q53" s="196" t="s">
        <v>1297</v>
      </c>
      <c r="R53" s="40"/>
      <c r="S53" s="40" t="s">
        <v>0</v>
      </c>
      <c r="T53" s="41">
        <v>42794</v>
      </c>
      <c r="U53" s="212" t="s">
        <v>1297</v>
      </c>
      <c r="V53" s="40"/>
      <c r="W53" s="40"/>
      <c r="X53" s="41"/>
      <c r="Y53" s="40"/>
      <c r="Z53" s="40"/>
      <c r="AA53" s="40"/>
      <c r="AB53" s="41"/>
      <c r="AC53" s="40"/>
      <c r="AD53" s="40"/>
      <c r="AE53" s="40"/>
      <c r="AF53" s="41"/>
      <c r="AG53" s="40"/>
      <c r="AH53" s="40"/>
      <c r="AI53" s="196"/>
      <c r="AJ53" s="140" t="str">
        <f t="shared" si="8"/>
        <v/>
      </c>
      <c r="AK53" s="15"/>
      <c r="AL53" s="15"/>
      <c r="AM53" s="136"/>
      <c r="AN53" s="137" t="str">
        <f t="shared" si="9"/>
        <v/>
      </c>
      <c r="AO53" s="139"/>
      <c r="AP53" s="139"/>
      <c r="AQ53" s="139"/>
      <c r="AR53" s="139"/>
    </row>
    <row r="54" spans="2:44" ht="75">
      <c r="B54" s="42" t="s">
        <v>332</v>
      </c>
      <c r="C54" s="199"/>
      <c r="D54" s="199" t="s">
        <v>331</v>
      </c>
      <c r="E54" s="199" t="s">
        <v>330</v>
      </c>
      <c r="F54" s="32" t="s">
        <v>1</v>
      </c>
      <c r="G54" s="32" t="s">
        <v>1307</v>
      </c>
      <c r="H54" s="32" t="s">
        <v>1310</v>
      </c>
      <c r="I54" s="40"/>
      <c r="J54" s="26" t="s">
        <v>79</v>
      </c>
      <c r="K54" s="27" t="s">
        <v>1212</v>
      </c>
      <c r="L54" s="28" t="s">
        <v>311</v>
      </c>
      <c r="M54" s="196" t="s">
        <v>0</v>
      </c>
      <c r="N54" s="196" t="s">
        <v>1227</v>
      </c>
      <c r="O54" s="40" t="s">
        <v>0</v>
      </c>
      <c r="P54" s="39">
        <v>42776</v>
      </c>
      <c r="Q54" s="196" t="s">
        <v>1297</v>
      </c>
      <c r="R54" s="40"/>
      <c r="S54" s="40" t="s">
        <v>0</v>
      </c>
      <c r="T54" s="41">
        <v>42794</v>
      </c>
      <c r="U54" s="212" t="s">
        <v>1297</v>
      </c>
      <c r="V54" s="40"/>
      <c r="W54" s="40"/>
      <c r="X54" s="41"/>
      <c r="Y54" s="40"/>
      <c r="Z54" s="40"/>
      <c r="AA54" s="40"/>
      <c r="AB54" s="41"/>
      <c r="AC54" s="40"/>
      <c r="AD54" s="40"/>
      <c r="AE54" s="40"/>
      <c r="AF54" s="41"/>
      <c r="AG54" s="40"/>
      <c r="AH54" s="40"/>
      <c r="AI54" s="196"/>
      <c r="AJ54" s="140" t="str">
        <f t="shared" si="8"/>
        <v/>
      </c>
      <c r="AK54" s="15"/>
      <c r="AL54" s="15"/>
      <c r="AM54" s="136"/>
      <c r="AN54" s="137" t="str">
        <f t="shared" si="9"/>
        <v/>
      </c>
      <c r="AO54" s="139"/>
      <c r="AP54" s="139"/>
      <c r="AQ54" s="139"/>
      <c r="AR54" s="139"/>
    </row>
    <row r="55" spans="2:44" ht="30">
      <c r="B55" s="27" t="s">
        <v>329</v>
      </c>
      <c r="C55" s="199" t="s">
        <v>328</v>
      </c>
      <c r="D55" s="199" t="s">
        <v>327</v>
      </c>
      <c r="E55" s="25" t="s">
        <v>326</v>
      </c>
      <c r="F55" s="32" t="s">
        <v>1</v>
      </c>
      <c r="G55" s="32" t="s">
        <v>1307</v>
      </c>
      <c r="H55" s="32" t="s">
        <v>1310</v>
      </c>
      <c r="I55" s="40"/>
      <c r="J55" s="26" t="s">
        <v>79</v>
      </c>
      <c r="K55" s="27" t="s">
        <v>1212</v>
      </c>
      <c r="L55" s="28" t="s">
        <v>311</v>
      </c>
      <c r="M55" s="196" t="s">
        <v>0</v>
      </c>
      <c r="N55" s="196" t="s">
        <v>1227</v>
      </c>
      <c r="O55" s="40" t="s">
        <v>0</v>
      </c>
      <c r="P55" s="39">
        <v>42776</v>
      </c>
      <c r="Q55" s="196" t="s">
        <v>1297</v>
      </c>
      <c r="R55" s="40"/>
      <c r="S55" s="40" t="s">
        <v>0</v>
      </c>
      <c r="T55" s="41">
        <v>42794</v>
      </c>
      <c r="U55" s="212" t="s">
        <v>1297</v>
      </c>
      <c r="V55" s="40"/>
      <c r="W55" s="40"/>
      <c r="X55" s="41"/>
      <c r="Y55" s="40"/>
      <c r="Z55" s="40"/>
      <c r="AA55" s="40"/>
      <c r="AB55" s="41"/>
      <c r="AC55" s="40"/>
      <c r="AD55" s="40"/>
      <c r="AE55" s="40"/>
      <c r="AF55" s="41"/>
      <c r="AG55" s="40"/>
      <c r="AH55" s="40"/>
      <c r="AI55" s="196"/>
      <c r="AJ55" s="140" t="str">
        <f t="shared" si="8"/>
        <v/>
      </c>
      <c r="AK55" s="15"/>
      <c r="AL55" s="15"/>
      <c r="AM55" s="136"/>
      <c r="AN55" s="137" t="str">
        <f t="shared" si="9"/>
        <v/>
      </c>
      <c r="AO55" s="139"/>
      <c r="AP55" s="139"/>
      <c r="AQ55" s="139"/>
      <c r="AR55" s="139"/>
    </row>
    <row r="56" spans="2:44" ht="60">
      <c r="B56" s="27" t="s">
        <v>325</v>
      </c>
      <c r="C56" s="199" t="s">
        <v>324</v>
      </c>
      <c r="D56" s="199" t="s">
        <v>323</v>
      </c>
      <c r="E56" s="25" t="s">
        <v>322</v>
      </c>
      <c r="F56" s="32" t="s">
        <v>1</v>
      </c>
      <c r="G56" s="32" t="s">
        <v>1307</v>
      </c>
      <c r="H56" s="32" t="s">
        <v>1310</v>
      </c>
      <c r="I56" s="40"/>
      <c r="J56" s="26" t="s">
        <v>79</v>
      </c>
      <c r="K56" s="27" t="s">
        <v>1212</v>
      </c>
      <c r="L56" s="28" t="s">
        <v>311</v>
      </c>
      <c r="M56" s="196" t="s">
        <v>0</v>
      </c>
      <c r="N56" s="196" t="s">
        <v>1227</v>
      </c>
      <c r="O56" s="40" t="s">
        <v>0</v>
      </c>
      <c r="P56" s="39">
        <v>42776</v>
      </c>
      <c r="Q56" s="196" t="s">
        <v>1297</v>
      </c>
      <c r="R56" s="40"/>
      <c r="S56" s="40" t="s">
        <v>0</v>
      </c>
      <c r="T56" s="41">
        <v>42794</v>
      </c>
      <c r="U56" s="212" t="s">
        <v>1297</v>
      </c>
      <c r="V56" s="40"/>
      <c r="W56" s="40"/>
      <c r="X56" s="41"/>
      <c r="Y56" s="40"/>
      <c r="Z56" s="40"/>
      <c r="AA56" s="40"/>
      <c r="AB56" s="41"/>
      <c r="AC56" s="40"/>
      <c r="AD56" s="40"/>
      <c r="AE56" s="40"/>
      <c r="AF56" s="41"/>
      <c r="AG56" s="40"/>
      <c r="AH56" s="40"/>
      <c r="AI56" s="196"/>
      <c r="AJ56" s="140" t="str">
        <f t="shared" si="8"/>
        <v/>
      </c>
      <c r="AK56" s="15"/>
      <c r="AL56" s="15"/>
      <c r="AM56" s="136"/>
      <c r="AN56" s="137" t="str">
        <f t="shared" si="9"/>
        <v/>
      </c>
      <c r="AO56" s="139"/>
      <c r="AP56" s="139"/>
      <c r="AQ56" s="139"/>
      <c r="AR56" s="139"/>
    </row>
    <row r="57" spans="2:44" ht="60">
      <c r="B57" s="42" t="s">
        <v>321</v>
      </c>
      <c r="C57" s="199"/>
      <c r="D57" s="199" t="s">
        <v>320</v>
      </c>
      <c r="E57" s="25" t="s">
        <v>319</v>
      </c>
      <c r="F57" s="32" t="s">
        <v>1</v>
      </c>
      <c r="G57" s="32" t="s">
        <v>1307</v>
      </c>
      <c r="H57" s="32" t="s">
        <v>1310</v>
      </c>
      <c r="I57" s="40"/>
      <c r="J57" s="26" t="s">
        <v>79</v>
      </c>
      <c r="K57" s="27" t="s">
        <v>1212</v>
      </c>
      <c r="L57" s="28" t="s">
        <v>311</v>
      </c>
      <c r="M57" s="196" t="s">
        <v>0</v>
      </c>
      <c r="N57" s="196" t="s">
        <v>1227</v>
      </c>
      <c r="O57" s="40" t="s">
        <v>0</v>
      </c>
      <c r="P57" s="39">
        <v>42776</v>
      </c>
      <c r="Q57" s="196" t="s">
        <v>1297</v>
      </c>
      <c r="R57" s="40"/>
      <c r="S57" s="40" t="s">
        <v>0</v>
      </c>
      <c r="T57" s="41">
        <v>42794</v>
      </c>
      <c r="U57" s="212" t="s">
        <v>1297</v>
      </c>
      <c r="V57" s="40"/>
      <c r="W57" s="40"/>
      <c r="X57" s="41"/>
      <c r="Y57" s="40"/>
      <c r="Z57" s="40"/>
      <c r="AA57" s="40"/>
      <c r="AB57" s="41"/>
      <c r="AC57" s="40"/>
      <c r="AD57" s="40"/>
      <c r="AE57" s="40"/>
      <c r="AF57" s="41"/>
      <c r="AG57" s="40"/>
      <c r="AH57" s="40"/>
      <c r="AI57" s="196"/>
      <c r="AJ57" s="140" t="str">
        <f t="shared" si="8"/>
        <v/>
      </c>
      <c r="AK57" s="15"/>
      <c r="AL57" s="15"/>
      <c r="AM57" s="136"/>
      <c r="AN57" s="137" t="str">
        <f t="shared" si="9"/>
        <v/>
      </c>
      <c r="AO57" s="139"/>
      <c r="AP57" s="139"/>
      <c r="AQ57" s="139"/>
      <c r="AR57" s="139"/>
    </row>
    <row r="58" spans="2:44" ht="60">
      <c r="B58" s="27" t="s">
        <v>318</v>
      </c>
      <c r="C58" s="199" t="s">
        <v>317</v>
      </c>
      <c r="D58" s="199" t="s">
        <v>1088</v>
      </c>
      <c r="E58" s="25" t="s">
        <v>1089</v>
      </c>
      <c r="F58" s="32" t="s">
        <v>1</v>
      </c>
      <c r="G58" s="32" t="s">
        <v>1307</v>
      </c>
      <c r="H58" s="32" t="s">
        <v>1310</v>
      </c>
      <c r="I58" s="38" t="s">
        <v>316</v>
      </c>
      <c r="J58" s="26" t="s">
        <v>79</v>
      </c>
      <c r="K58" s="27" t="s">
        <v>1212</v>
      </c>
      <c r="L58" s="28" t="s">
        <v>311</v>
      </c>
      <c r="M58" s="196" t="s">
        <v>0</v>
      </c>
      <c r="N58" s="196" t="s">
        <v>1227</v>
      </c>
      <c r="O58" s="40" t="s">
        <v>0</v>
      </c>
      <c r="P58" s="39">
        <v>42776</v>
      </c>
      <c r="Q58" s="196" t="s">
        <v>1297</v>
      </c>
      <c r="R58" s="40"/>
      <c r="S58" s="40" t="s">
        <v>0</v>
      </c>
      <c r="T58" s="41">
        <v>42794</v>
      </c>
      <c r="U58" s="212" t="s">
        <v>1297</v>
      </c>
      <c r="V58" s="40"/>
      <c r="W58" s="40"/>
      <c r="X58" s="41"/>
      <c r="Y58" s="40"/>
      <c r="Z58" s="40"/>
      <c r="AA58" s="40"/>
      <c r="AB58" s="41"/>
      <c r="AC58" s="40"/>
      <c r="AD58" s="40"/>
      <c r="AE58" s="40"/>
      <c r="AF58" s="41"/>
      <c r="AG58" s="40"/>
      <c r="AH58" s="40"/>
      <c r="AI58" s="196"/>
      <c r="AJ58" s="140" t="str">
        <f t="shared" si="8"/>
        <v/>
      </c>
      <c r="AK58" s="15"/>
      <c r="AL58" s="15"/>
      <c r="AM58" s="136"/>
      <c r="AN58" s="137" t="str">
        <f t="shared" si="9"/>
        <v/>
      </c>
      <c r="AO58" s="139"/>
      <c r="AP58" s="139"/>
      <c r="AQ58" s="139"/>
      <c r="AR58" s="139"/>
    </row>
    <row r="59" spans="2:44" ht="60">
      <c r="B59" s="27" t="s">
        <v>315</v>
      </c>
      <c r="C59" s="199" t="s">
        <v>314</v>
      </c>
      <c r="D59" s="199" t="s">
        <v>1090</v>
      </c>
      <c r="E59" s="25" t="s">
        <v>312</v>
      </c>
      <c r="F59" s="32" t="s">
        <v>1</v>
      </c>
      <c r="G59" s="32" t="s">
        <v>1307</v>
      </c>
      <c r="H59" s="32" t="s">
        <v>1310</v>
      </c>
      <c r="I59" s="40"/>
      <c r="J59" s="26" t="s">
        <v>79</v>
      </c>
      <c r="K59" s="27" t="s">
        <v>1212</v>
      </c>
      <c r="L59" s="28" t="s">
        <v>311</v>
      </c>
      <c r="M59" s="196" t="s">
        <v>0</v>
      </c>
      <c r="N59" s="196" t="s">
        <v>1227</v>
      </c>
      <c r="O59" s="40" t="s">
        <v>0</v>
      </c>
      <c r="P59" s="39">
        <v>42776</v>
      </c>
      <c r="Q59" s="196" t="s">
        <v>1297</v>
      </c>
      <c r="R59" s="40"/>
      <c r="S59" s="40" t="s">
        <v>0</v>
      </c>
      <c r="T59" s="41">
        <v>42794</v>
      </c>
      <c r="U59" s="212" t="s">
        <v>1297</v>
      </c>
      <c r="V59" s="40"/>
      <c r="W59" s="40"/>
      <c r="X59" s="41"/>
      <c r="Y59" s="40"/>
      <c r="Z59" s="40"/>
      <c r="AA59" s="40"/>
      <c r="AB59" s="41"/>
      <c r="AC59" s="40"/>
      <c r="AD59" s="40"/>
      <c r="AE59" s="40"/>
      <c r="AF59" s="41"/>
      <c r="AG59" s="40"/>
      <c r="AH59" s="40"/>
      <c r="AI59" s="196"/>
      <c r="AJ59" s="140" t="str">
        <f t="shared" si="8"/>
        <v/>
      </c>
      <c r="AK59" s="15"/>
      <c r="AL59" s="15"/>
      <c r="AM59" s="136"/>
      <c r="AN59" s="137" t="str">
        <f t="shared" si="9"/>
        <v/>
      </c>
      <c r="AO59" s="139"/>
      <c r="AP59" s="139"/>
      <c r="AQ59" s="139"/>
      <c r="AR59" s="139"/>
    </row>
    <row r="60" spans="2:44" ht="45">
      <c r="B60" s="42" t="s">
        <v>313</v>
      </c>
      <c r="C60" s="199"/>
      <c r="D60" s="199" t="s">
        <v>1091</v>
      </c>
      <c r="E60" s="25" t="s">
        <v>312</v>
      </c>
      <c r="F60" s="32" t="s">
        <v>1</v>
      </c>
      <c r="G60" s="32" t="s">
        <v>1307</v>
      </c>
      <c r="H60" s="32" t="s">
        <v>1310</v>
      </c>
      <c r="I60" s="40"/>
      <c r="J60" s="26" t="s">
        <v>79</v>
      </c>
      <c r="K60" s="27" t="s">
        <v>1212</v>
      </c>
      <c r="L60" s="28" t="s">
        <v>311</v>
      </c>
      <c r="M60" s="196" t="s">
        <v>0</v>
      </c>
      <c r="N60" s="196" t="s">
        <v>1227</v>
      </c>
      <c r="O60" s="40" t="s">
        <v>0</v>
      </c>
      <c r="P60" s="39">
        <v>42776</v>
      </c>
      <c r="Q60" s="196" t="s">
        <v>1297</v>
      </c>
      <c r="R60" s="40"/>
      <c r="S60" s="40" t="s">
        <v>0</v>
      </c>
      <c r="T60" s="41">
        <v>42794</v>
      </c>
      <c r="U60" s="212" t="s">
        <v>1297</v>
      </c>
      <c r="V60" s="40"/>
      <c r="W60" s="40"/>
      <c r="X60" s="41"/>
      <c r="Y60" s="40"/>
      <c r="Z60" s="40"/>
      <c r="AA60" s="40"/>
      <c r="AB60" s="41"/>
      <c r="AC60" s="40"/>
      <c r="AD60" s="40"/>
      <c r="AE60" s="40"/>
      <c r="AF60" s="41"/>
      <c r="AG60" s="40"/>
      <c r="AH60" s="40"/>
      <c r="AI60" s="196"/>
      <c r="AJ60" s="140" t="str">
        <f t="shared" si="8"/>
        <v/>
      </c>
      <c r="AK60" s="15"/>
      <c r="AL60" s="15"/>
      <c r="AM60" s="136"/>
      <c r="AN60" s="137" t="str">
        <f t="shared" si="9"/>
        <v/>
      </c>
      <c r="AO60" s="139"/>
      <c r="AP60" s="139"/>
      <c r="AQ60" s="139"/>
      <c r="AR60" s="139"/>
    </row>
    <row r="61" spans="2:44" s="43" customFormat="1" ht="15">
      <c r="B61" s="22" t="s">
        <v>310</v>
      </c>
      <c r="C61" s="23"/>
      <c r="D61" s="23"/>
      <c r="E61" s="23"/>
      <c r="F61" s="24"/>
      <c r="G61" s="24"/>
      <c r="H61" s="24"/>
      <c r="I61" s="23"/>
      <c r="J61" s="23"/>
      <c r="K61" s="23"/>
      <c r="L61" s="24" t="s">
        <v>103</v>
      </c>
      <c r="M61" s="23"/>
      <c r="N61" s="23"/>
      <c r="O61" s="102"/>
      <c r="P61" s="104"/>
      <c r="Q61" s="102"/>
      <c r="R61" s="102"/>
      <c r="S61" s="102"/>
      <c r="T61" s="102"/>
      <c r="U61" s="102"/>
      <c r="V61" s="102"/>
      <c r="W61" s="102"/>
      <c r="X61" s="102"/>
      <c r="Y61" s="102"/>
      <c r="Z61" s="103"/>
      <c r="AA61" s="102"/>
      <c r="AB61" s="102"/>
      <c r="AC61" s="102"/>
      <c r="AD61" s="103"/>
      <c r="AE61" s="102"/>
      <c r="AF61" s="102"/>
      <c r="AG61" s="102"/>
      <c r="AH61" s="103"/>
      <c r="AI61" s="196"/>
      <c r="AJ61" s="140" t="str">
        <f t="shared" si="8"/>
        <v/>
      </c>
      <c r="AK61" s="15"/>
      <c r="AL61" s="15"/>
      <c r="AM61" s="136"/>
      <c r="AN61" s="137" t="str">
        <f t="shared" si="9"/>
        <v/>
      </c>
      <c r="AO61" s="139"/>
      <c r="AP61" s="139"/>
      <c r="AQ61" s="139"/>
      <c r="AR61" s="139"/>
    </row>
    <row r="62" spans="2:44" s="43" customFormat="1" ht="180">
      <c r="B62" s="44" t="s">
        <v>309</v>
      </c>
      <c r="C62" s="27" t="s">
        <v>308</v>
      </c>
      <c r="D62" s="199" t="s">
        <v>307</v>
      </c>
      <c r="E62" s="199" t="s">
        <v>1092</v>
      </c>
      <c r="F62" s="32" t="s">
        <v>1</v>
      </c>
      <c r="G62" s="32" t="s">
        <v>1307</v>
      </c>
      <c r="H62" s="32" t="s">
        <v>1310</v>
      </c>
      <c r="I62" s="44" t="s">
        <v>190</v>
      </c>
      <c r="J62" s="26" t="s">
        <v>79</v>
      </c>
      <c r="K62" s="27" t="s">
        <v>1212</v>
      </c>
      <c r="L62" s="28" t="s">
        <v>189</v>
      </c>
      <c r="M62" s="40" t="s">
        <v>0</v>
      </c>
      <c r="N62" s="196" t="s">
        <v>1228</v>
      </c>
      <c r="O62" s="40" t="s">
        <v>0</v>
      </c>
      <c r="P62" s="39">
        <v>42776</v>
      </c>
      <c r="Q62" s="196" t="s">
        <v>1298</v>
      </c>
      <c r="R62" s="40"/>
      <c r="S62" s="40" t="s">
        <v>0</v>
      </c>
      <c r="T62" s="41">
        <v>42794</v>
      </c>
      <c r="U62" s="214" t="s">
        <v>1298</v>
      </c>
      <c r="V62" s="40"/>
      <c r="W62" s="40"/>
      <c r="X62" s="41"/>
      <c r="Y62" s="40"/>
      <c r="Z62" s="40"/>
      <c r="AA62" s="40"/>
      <c r="AB62" s="41"/>
      <c r="AC62" s="40"/>
      <c r="AD62" s="40"/>
      <c r="AE62" s="40"/>
      <c r="AF62" s="41"/>
      <c r="AG62" s="40"/>
      <c r="AH62" s="40"/>
      <c r="AI62" s="196"/>
      <c r="AJ62" s="140" t="str">
        <f t="shared" si="8"/>
        <v/>
      </c>
      <c r="AK62" s="15"/>
      <c r="AL62" s="15"/>
      <c r="AM62" s="136"/>
      <c r="AN62" s="137" t="str">
        <f t="shared" si="9"/>
        <v/>
      </c>
      <c r="AO62" s="139"/>
      <c r="AP62" s="139"/>
      <c r="AQ62" s="139"/>
      <c r="AR62" s="139"/>
    </row>
    <row r="63" spans="2:44" s="43" customFormat="1" ht="165">
      <c r="B63" s="45" t="s">
        <v>306</v>
      </c>
      <c r="C63" s="27"/>
      <c r="D63" s="199" t="s">
        <v>305</v>
      </c>
      <c r="E63" s="46" t="s">
        <v>304</v>
      </c>
      <c r="F63" s="32" t="s">
        <v>1</v>
      </c>
      <c r="G63" s="32" t="s">
        <v>1307</v>
      </c>
      <c r="H63" s="32" t="s">
        <v>1310</v>
      </c>
      <c r="I63" s="44" t="s">
        <v>190</v>
      </c>
      <c r="J63" s="26" t="s">
        <v>79</v>
      </c>
      <c r="K63" s="27" t="s">
        <v>1212</v>
      </c>
      <c r="L63" s="28" t="s">
        <v>189</v>
      </c>
      <c r="M63" s="40" t="s">
        <v>0</v>
      </c>
      <c r="N63" s="196" t="s">
        <v>1228</v>
      </c>
      <c r="O63" s="40" t="s">
        <v>0</v>
      </c>
      <c r="P63" s="39">
        <v>42776</v>
      </c>
      <c r="Q63" s="196" t="s">
        <v>1298</v>
      </c>
      <c r="R63" s="40"/>
      <c r="S63" s="40" t="s">
        <v>0</v>
      </c>
      <c r="T63" s="41">
        <v>42794</v>
      </c>
      <c r="U63" s="214" t="s">
        <v>1298</v>
      </c>
      <c r="V63" s="40"/>
      <c r="W63" s="40"/>
      <c r="X63" s="41"/>
      <c r="Y63" s="40"/>
      <c r="Z63" s="40"/>
      <c r="AA63" s="40"/>
      <c r="AB63" s="41"/>
      <c r="AC63" s="40"/>
      <c r="AD63" s="40"/>
      <c r="AE63" s="40"/>
      <c r="AF63" s="41"/>
      <c r="AG63" s="40"/>
      <c r="AH63" s="40"/>
      <c r="AI63" s="196"/>
      <c r="AJ63" s="140" t="str">
        <f t="shared" si="8"/>
        <v/>
      </c>
      <c r="AK63" s="15"/>
      <c r="AL63" s="15"/>
      <c r="AM63" s="136"/>
      <c r="AN63" s="137" t="str">
        <f t="shared" si="9"/>
        <v/>
      </c>
      <c r="AO63" s="139"/>
      <c r="AP63" s="139"/>
      <c r="AQ63" s="139"/>
      <c r="AR63" s="139"/>
    </row>
    <row r="64" spans="2:44" s="43" customFormat="1" ht="210">
      <c r="B64" s="44" t="s">
        <v>303</v>
      </c>
      <c r="C64" s="199" t="s">
        <v>302</v>
      </c>
      <c r="D64" s="40" t="s">
        <v>301</v>
      </c>
      <c r="E64" s="199" t="s">
        <v>1093</v>
      </c>
      <c r="F64" s="32" t="s">
        <v>1</v>
      </c>
      <c r="G64" s="32" t="s">
        <v>1307</v>
      </c>
      <c r="H64" s="32" t="s">
        <v>1310</v>
      </c>
      <c r="I64" s="44" t="s">
        <v>190</v>
      </c>
      <c r="J64" s="26" t="s">
        <v>79</v>
      </c>
      <c r="K64" s="27" t="s">
        <v>1212</v>
      </c>
      <c r="L64" s="28" t="s">
        <v>189</v>
      </c>
      <c r="M64" s="40" t="s">
        <v>0</v>
      </c>
      <c r="N64" s="196" t="s">
        <v>1228</v>
      </c>
      <c r="O64" s="40" t="s">
        <v>0</v>
      </c>
      <c r="P64" s="39">
        <v>42776</v>
      </c>
      <c r="Q64" s="196" t="s">
        <v>1298</v>
      </c>
      <c r="R64" s="40"/>
      <c r="S64" s="40" t="s">
        <v>0</v>
      </c>
      <c r="T64" s="41">
        <v>42794</v>
      </c>
      <c r="U64" s="214" t="s">
        <v>1298</v>
      </c>
      <c r="V64" s="40"/>
      <c r="W64" s="40"/>
      <c r="X64" s="41"/>
      <c r="Y64" s="40"/>
      <c r="Z64" s="40"/>
      <c r="AA64" s="40"/>
      <c r="AB64" s="41"/>
      <c r="AC64" s="40"/>
      <c r="AD64" s="40"/>
      <c r="AE64" s="40"/>
      <c r="AF64" s="41"/>
      <c r="AG64" s="40"/>
      <c r="AH64" s="40"/>
      <c r="AI64" s="196"/>
      <c r="AJ64" s="140" t="str">
        <f t="shared" si="8"/>
        <v/>
      </c>
      <c r="AK64" s="15"/>
      <c r="AL64" s="15"/>
      <c r="AM64" s="136"/>
      <c r="AN64" s="137" t="str">
        <f t="shared" si="9"/>
        <v/>
      </c>
      <c r="AO64" s="139"/>
      <c r="AP64" s="139"/>
      <c r="AQ64" s="139"/>
      <c r="AR64" s="139"/>
    </row>
    <row r="65" spans="2:44" s="43" customFormat="1" ht="165">
      <c r="B65" s="44" t="s">
        <v>300</v>
      </c>
      <c r="C65" s="199" t="s">
        <v>299</v>
      </c>
      <c r="D65" s="40" t="s">
        <v>298</v>
      </c>
      <c r="E65" s="199" t="s">
        <v>1094</v>
      </c>
      <c r="F65" s="32" t="s">
        <v>1</v>
      </c>
      <c r="G65" s="32" t="s">
        <v>1307</v>
      </c>
      <c r="H65" s="32" t="s">
        <v>1310</v>
      </c>
      <c r="I65" s="44" t="s">
        <v>290</v>
      </c>
      <c r="J65" s="26" t="s">
        <v>79</v>
      </c>
      <c r="K65" s="27" t="s">
        <v>1212</v>
      </c>
      <c r="L65" s="28" t="s">
        <v>189</v>
      </c>
      <c r="M65" s="40" t="s">
        <v>0</v>
      </c>
      <c r="N65" s="196" t="s">
        <v>1228</v>
      </c>
      <c r="O65" s="40" t="s">
        <v>0</v>
      </c>
      <c r="P65" s="39">
        <v>42776</v>
      </c>
      <c r="Q65" s="196" t="s">
        <v>1298</v>
      </c>
      <c r="R65" s="40"/>
      <c r="S65" s="40" t="s">
        <v>0</v>
      </c>
      <c r="T65" s="41">
        <v>42794</v>
      </c>
      <c r="U65" s="214" t="s">
        <v>1298</v>
      </c>
      <c r="V65" s="40"/>
      <c r="W65" s="40"/>
      <c r="X65" s="41"/>
      <c r="Y65" s="40"/>
      <c r="Z65" s="40"/>
      <c r="AA65" s="40"/>
      <c r="AB65" s="41"/>
      <c r="AC65" s="40"/>
      <c r="AD65" s="40"/>
      <c r="AE65" s="40"/>
      <c r="AF65" s="41"/>
      <c r="AG65" s="40"/>
      <c r="AH65" s="40"/>
      <c r="AI65" s="196"/>
      <c r="AJ65" s="140" t="str">
        <f t="shared" si="8"/>
        <v/>
      </c>
      <c r="AK65" s="15"/>
      <c r="AL65" s="15"/>
      <c r="AM65" s="136"/>
      <c r="AN65" s="137" t="str">
        <f t="shared" si="9"/>
        <v/>
      </c>
      <c r="AO65" s="139"/>
      <c r="AP65" s="139"/>
      <c r="AQ65" s="139"/>
      <c r="AR65" s="139"/>
    </row>
    <row r="66" spans="2:44" s="43" customFormat="1" ht="90">
      <c r="B66" s="45" t="s">
        <v>297</v>
      </c>
      <c r="C66" s="199"/>
      <c r="D66" s="40" t="s">
        <v>296</v>
      </c>
      <c r="E66" s="40" t="s">
        <v>259</v>
      </c>
      <c r="F66" s="32" t="s">
        <v>1</v>
      </c>
      <c r="G66" s="32" t="s">
        <v>1307</v>
      </c>
      <c r="H66" s="32" t="s">
        <v>1310</v>
      </c>
      <c r="I66" s="44" t="s">
        <v>190</v>
      </c>
      <c r="J66" s="26" t="s">
        <v>79</v>
      </c>
      <c r="K66" s="27" t="s">
        <v>1212</v>
      </c>
      <c r="L66" s="28" t="s">
        <v>189</v>
      </c>
      <c r="M66" s="40" t="s">
        <v>0</v>
      </c>
      <c r="N66" s="196" t="s">
        <v>1228</v>
      </c>
      <c r="O66" s="40" t="s">
        <v>0</v>
      </c>
      <c r="P66" s="39">
        <v>42776</v>
      </c>
      <c r="Q66" s="196" t="s">
        <v>1298</v>
      </c>
      <c r="R66" s="40"/>
      <c r="S66" s="40" t="s">
        <v>0</v>
      </c>
      <c r="T66" s="41">
        <v>42794</v>
      </c>
      <c r="U66" s="214" t="s">
        <v>1298</v>
      </c>
      <c r="V66" s="40"/>
      <c r="W66" s="40"/>
      <c r="X66" s="41"/>
      <c r="Y66" s="40"/>
      <c r="Z66" s="40"/>
      <c r="AA66" s="40"/>
      <c r="AB66" s="41"/>
      <c r="AC66" s="40"/>
      <c r="AD66" s="40"/>
      <c r="AE66" s="40"/>
      <c r="AF66" s="41"/>
      <c r="AG66" s="40"/>
      <c r="AH66" s="40"/>
      <c r="AI66" s="196"/>
      <c r="AJ66" s="140" t="str">
        <f t="shared" si="8"/>
        <v/>
      </c>
      <c r="AK66" s="15"/>
      <c r="AL66" s="15"/>
      <c r="AM66" s="136"/>
      <c r="AN66" s="137" t="str">
        <f t="shared" si="9"/>
        <v/>
      </c>
      <c r="AO66" s="139"/>
      <c r="AP66" s="139"/>
      <c r="AQ66" s="139"/>
      <c r="AR66" s="139"/>
    </row>
    <row r="67" spans="2:44" s="43" customFormat="1" ht="195">
      <c r="B67" s="44" t="s">
        <v>295</v>
      </c>
      <c r="C67" s="199" t="s">
        <v>294</v>
      </c>
      <c r="D67" s="40" t="s">
        <v>293</v>
      </c>
      <c r="E67" s="199" t="s">
        <v>208</v>
      </c>
      <c r="F67" s="32" t="s">
        <v>1</v>
      </c>
      <c r="G67" s="32" t="s">
        <v>1307</v>
      </c>
      <c r="H67" s="32" t="s">
        <v>1310</v>
      </c>
      <c r="I67" s="44" t="s">
        <v>290</v>
      </c>
      <c r="J67" s="26" t="s">
        <v>79</v>
      </c>
      <c r="K67" s="27" t="s">
        <v>1212</v>
      </c>
      <c r="L67" s="28" t="s">
        <v>189</v>
      </c>
      <c r="M67" s="40" t="s">
        <v>0</v>
      </c>
      <c r="N67" s="196" t="s">
        <v>1228</v>
      </c>
      <c r="O67" s="40" t="s">
        <v>0</v>
      </c>
      <c r="P67" s="39">
        <v>42776</v>
      </c>
      <c r="Q67" s="196" t="s">
        <v>1298</v>
      </c>
      <c r="R67" s="40"/>
      <c r="S67" s="40" t="s">
        <v>0</v>
      </c>
      <c r="T67" s="41">
        <v>42794</v>
      </c>
      <c r="U67" s="214" t="s">
        <v>1298</v>
      </c>
      <c r="V67" s="40"/>
      <c r="W67" s="40"/>
      <c r="X67" s="41"/>
      <c r="Y67" s="40"/>
      <c r="Z67" s="40"/>
      <c r="AA67" s="40"/>
      <c r="AB67" s="41"/>
      <c r="AC67" s="40"/>
      <c r="AD67" s="40"/>
      <c r="AE67" s="40"/>
      <c r="AF67" s="41"/>
      <c r="AG67" s="40"/>
      <c r="AH67" s="40"/>
      <c r="AI67" s="196"/>
      <c r="AJ67" s="140" t="str">
        <f t="shared" si="8"/>
        <v/>
      </c>
      <c r="AK67" s="15"/>
      <c r="AL67" s="15"/>
      <c r="AM67" s="136"/>
      <c r="AN67" s="137" t="str">
        <f t="shared" si="9"/>
        <v/>
      </c>
      <c r="AO67" s="139"/>
      <c r="AP67" s="139"/>
      <c r="AQ67" s="139"/>
      <c r="AR67" s="139"/>
    </row>
    <row r="68" spans="2:44" s="43" customFormat="1" ht="225">
      <c r="B68" s="45" t="s">
        <v>292</v>
      </c>
      <c r="C68" s="199"/>
      <c r="D68" s="199" t="s">
        <v>1095</v>
      </c>
      <c r="E68" s="199" t="s">
        <v>291</v>
      </c>
      <c r="F68" s="32" t="s">
        <v>1</v>
      </c>
      <c r="G68" s="32" t="s">
        <v>1307</v>
      </c>
      <c r="H68" s="32" t="s">
        <v>1310</v>
      </c>
      <c r="I68" s="44" t="s">
        <v>290</v>
      </c>
      <c r="J68" s="26" t="s">
        <v>79</v>
      </c>
      <c r="K68" s="27" t="s">
        <v>1212</v>
      </c>
      <c r="L68" s="28" t="s">
        <v>189</v>
      </c>
      <c r="M68" s="40" t="s">
        <v>0</v>
      </c>
      <c r="N68" s="196" t="s">
        <v>1228</v>
      </c>
      <c r="O68" s="40" t="s">
        <v>0</v>
      </c>
      <c r="P68" s="39">
        <v>42776</v>
      </c>
      <c r="Q68" s="196" t="s">
        <v>1298</v>
      </c>
      <c r="R68" s="40"/>
      <c r="S68" s="40" t="s">
        <v>0</v>
      </c>
      <c r="T68" s="41">
        <v>42794</v>
      </c>
      <c r="U68" s="214" t="s">
        <v>1298</v>
      </c>
      <c r="V68" s="40"/>
      <c r="W68" s="40"/>
      <c r="X68" s="41"/>
      <c r="Y68" s="40"/>
      <c r="Z68" s="40"/>
      <c r="AA68" s="40"/>
      <c r="AB68" s="41"/>
      <c r="AC68" s="40"/>
      <c r="AD68" s="40"/>
      <c r="AE68" s="40"/>
      <c r="AF68" s="41"/>
      <c r="AG68" s="40"/>
      <c r="AH68" s="40"/>
      <c r="AI68" s="196"/>
      <c r="AJ68" s="140" t="str">
        <f t="shared" si="8"/>
        <v/>
      </c>
      <c r="AK68" s="15"/>
      <c r="AL68" s="15"/>
      <c r="AM68" s="136"/>
      <c r="AN68" s="137" t="str">
        <f t="shared" si="9"/>
        <v/>
      </c>
      <c r="AO68" s="139"/>
      <c r="AP68" s="139"/>
      <c r="AQ68" s="139"/>
      <c r="AR68" s="139"/>
    </row>
    <row r="69" spans="2:44" s="43" customFormat="1" ht="150">
      <c r="B69" s="45" t="s">
        <v>289</v>
      </c>
      <c r="C69" s="199"/>
      <c r="D69" s="40" t="s">
        <v>288</v>
      </c>
      <c r="E69" s="199" t="s">
        <v>211</v>
      </c>
      <c r="F69" s="32" t="s">
        <v>1</v>
      </c>
      <c r="G69" s="32" t="s">
        <v>1307</v>
      </c>
      <c r="H69" s="32" t="s">
        <v>1310</v>
      </c>
      <c r="I69" s="44" t="s">
        <v>190</v>
      </c>
      <c r="J69" s="26" t="s">
        <v>79</v>
      </c>
      <c r="K69" s="27" t="s">
        <v>1212</v>
      </c>
      <c r="L69" s="28" t="s">
        <v>189</v>
      </c>
      <c r="M69" s="40" t="s">
        <v>0</v>
      </c>
      <c r="N69" s="196" t="s">
        <v>1228</v>
      </c>
      <c r="O69" s="40" t="s">
        <v>0</v>
      </c>
      <c r="P69" s="39">
        <v>42776</v>
      </c>
      <c r="Q69" s="196" t="s">
        <v>1298</v>
      </c>
      <c r="R69" s="40"/>
      <c r="S69" s="40" t="s">
        <v>0</v>
      </c>
      <c r="T69" s="41">
        <v>42794</v>
      </c>
      <c r="U69" s="214" t="s">
        <v>1298</v>
      </c>
      <c r="V69" s="40"/>
      <c r="W69" s="40"/>
      <c r="X69" s="41"/>
      <c r="Y69" s="40"/>
      <c r="Z69" s="40"/>
      <c r="AA69" s="40"/>
      <c r="AB69" s="41"/>
      <c r="AC69" s="40"/>
      <c r="AD69" s="40"/>
      <c r="AE69" s="40"/>
      <c r="AF69" s="41"/>
      <c r="AG69" s="40"/>
      <c r="AH69" s="40"/>
      <c r="AI69" s="196"/>
      <c r="AJ69" s="140" t="str">
        <f t="shared" si="8"/>
        <v/>
      </c>
      <c r="AK69" s="15"/>
      <c r="AL69" s="15"/>
      <c r="AM69" s="136"/>
      <c r="AN69" s="137" t="str">
        <f t="shared" si="9"/>
        <v/>
      </c>
      <c r="AO69" s="139"/>
      <c r="AP69" s="139"/>
      <c r="AQ69" s="139"/>
      <c r="AR69" s="139"/>
    </row>
    <row r="70" spans="2:44" s="43" customFormat="1" ht="60">
      <c r="B70" s="44" t="s">
        <v>287</v>
      </c>
      <c r="C70" s="199" t="s">
        <v>286</v>
      </c>
      <c r="D70" s="199" t="s">
        <v>285</v>
      </c>
      <c r="E70" s="199" t="s">
        <v>1096</v>
      </c>
      <c r="F70" s="32" t="s">
        <v>1</v>
      </c>
      <c r="G70" s="32" t="s">
        <v>1307</v>
      </c>
      <c r="H70" s="32" t="s">
        <v>1310</v>
      </c>
      <c r="I70" s="44" t="s">
        <v>284</v>
      </c>
      <c r="J70" s="26" t="s">
        <v>79</v>
      </c>
      <c r="K70" s="27" t="s">
        <v>1212</v>
      </c>
      <c r="L70" s="28" t="s">
        <v>189</v>
      </c>
      <c r="M70" s="40" t="s">
        <v>0</v>
      </c>
      <c r="N70" s="196" t="s">
        <v>1228</v>
      </c>
      <c r="O70" s="40" t="s">
        <v>0</v>
      </c>
      <c r="P70" s="39">
        <v>42776</v>
      </c>
      <c r="Q70" s="196" t="s">
        <v>1298</v>
      </c>
      <c r="R70" s="25"/>
      <c r="S70" s="40" t="s">
        <v>0</v>
      </c>
      <c r="T70" s="41">
        <v>42794</v>
      </c>
      <c r="U70" s="214" t="s">
        <v>1298</v>
      </c>
      <c r="V70" s="199"/>
      <c r="W70" s="40"/>
      <c r="X70" s="41"/>
      <c r="Y70" s="40"/>
      <c r="Z70" s="78"/>
      <c r="AA70" s="56"/>
      <c r="AB70" s="41"/>
      <c r="AC70" s="40"/>
      <c r="AD70" s="78"/>
      <c r="AE70" s="56"/>
      <c r="AF70" s="41"/>
      <c r="AG70" s="40"/>
      <c r="AH70" s="78"/>
      <c r="AI70" s="196"/>
      <c r="AJ70" s="140" t="str">
        <f t="shared" si="8"/>
        <v/>
      </c>
      <c r="AK70" s="15"/>
      <c r="AL70" s="15"/>
      <c r="AM70" s="136"/>
      <c r="AN70" s="137" t="str">
        <f t="shared" si="9"/>
        <v/>
      </c>
      <c r="AO70" s="139"/>
      <c r="AP70" s="139"/>
      <c r="AQ70" s="139"/>
      <c r="AR70" s="139"/>
    </row>
    <row r="71" spans="2:44" s="43" customFormat="1" ht="25.5" customHeight="1">
      <c r="B71" s="45" t="s">
        <v>282</v>
      </c>
      <c r="C71" s="199"/>
      <c r="D71" s="199" t="s">
        <v>224</v>
      </c>
      <c r="E71" s="199" t="s">
        <v>281</v>
      </c>
      <c r="F71" s="32" t="s">
        <v>1</v>
      </c>
      <c r="G71" s="32" t="s">
        <v>1307</v>
      </c>
      <c r="H71" s="32" t="s">
        <v>1310</v>
      </c>
      <c r="I71" s="44" t="s">
        <v>190</v>
      </c>
      <c r="J71" s="26" t="s">
        <v>79</v>
      </c>
      <c r="K71" s="27" t="s">
        <v>1212</v>
      </c>
      <c r="L71" s="28" t="s">
        <v>189</v>
      </c>
      <c r="M71" s="40" t="s">
        <v>0</v>
      </c>
      <c r="N71" s="196" t="s">
        <v>1228</v>
      </c>
      <c r="O71" s="40" t="s">
        <v>0</v>
      </c>
      <c r="P71" s="39">
        <v>42776</v>
      </c>
      <c r="Q71" s="196" t="s">
        <v>1298</v>
      </c>
      <c r="R71" s="40"/>
      <c r="S71" s="40" t="s">
        <v>0</v>
      </c>
      <c r="T71" s="41">
        <v>42794</v>
      </c>
      <c r="U71" s="214" t="s">
        <v>1298</v>
      </c>
      <c r="V71" s="40"/>
      <c r="W71" s="40"/>
      <c r="X71" s="41"/>
      <c r="Y71" s="40"/>
      <c r="Z71" s="40"/>
      <c r="AA71" s="40"/>
      <c r="AB71" s="41"/>
      <c r="AC71" s="40"/>
      <c r="AD71" s="40"/>
      <c r="AE71" s="40"/>
      <c r="AF71" s="41"/>
      <c r="AG71" s="40"/>
      <c r="AH71" s="40"/>
      <c r="AI71" s="196"/>
      <c r="AJ71" s="140" t="str">
        <f t="shared" si="8"/>
        <v/>
      </c>
      <c r="AK71" s="15"/>
      <c r="AL71" s="15"/>
      <c r="AM71" s="136"/>
      <c r="AN71" s="137" t="str">
        <f t="shared" si="9"/>
        <v/>
      </c>
      <c r="AO71" s="139"/>
      <c r="AP71" s="139"/>
      <c r="AQ71" s="139"/>
      <c r="AR71" s="139"/>
    </row>
    <row r="72" spans="2:44" s="43" customFormat="1" ht="30">
      <c r="B72" s="45" t="s">
        <v>280</v>
      </c>
      <c r="C72" s="199"/>
      <c r="D72" s="199" t="s">
        <v>230</v>
      </c>
      <c r="E72" s="199" t="s">
        <v>279</v>
      </c>
      <c r="F72" s="32" t="s">
        <v>1</v>
      </c>
      <c r="G72" s="32" t="s">
        <v>1307</v>
      </c>
      <c r="H72" s="32" t="s">
        <v>1310</v>
      </c>
      <c r="I72" s="44" t="s">
        <v>190</v>
      </c>
      <c r="J72" s="26" t="s">
        <v>79</v>
      </c>
      <c r="K72" s="27" t="s">
        <v>1212</v>
      </c>
      <c r="L72" s="28" t="s">
        <v>189</v>
      </c>
      <c r="M72" s="40" t="s">
        <v>0</v>
      </c>
      <c r="N72" s="196" t="s">
        <v>1228</v>
      </c>
      <c r="O72" s="40" t="s">
        <v>0</v>
      </c>
      <c r="P72" s="39">
        <v>42776</v>
      </c>
      <c r="Q72" s="196" t="s">
        <v>1298</v>
      </c>
      <c r="R72" s="40"/>
      <c r="S72" s="40" t="s">
        <v>0</v>
      </c>
      <c r="T72" s="41">
        <v>42794</v>
      </c>
      <c r="U72" s="214" t="s">
        <v>1298</v>
      </c>
      <c r="V72" s="40"/>
      <c r="W72" s="40"/>
      <c r="X72" s="41"/>
      <c r="Y72" s="40"/>
      <c r="Z72" s="40"/>
      <c r="AA72" s="40"/>
      <c r="AB72" s="41"/>
      <c r="AC72" s="40"/>
      <c r="AD72" s="40"/>
      <c r="AE72" s="40"/>
      <c r="AF72" s="41"/>
      <c r="AG72" s="40"/>
      <c r="AH72" s="40"/>
      <c r="AI72" s="196"/>
      <c r="AJ72" s="140" t="str">
        <f t="shared" si="8"/>
        <v/>
      </c>
      <c r="AK72" s="15"/>
      <c r="AL72" s="15"/>
      <c r="AM72" s="136"/>
      <c r="AN72" s="137" t="str">
        <f t="shared" si="9"/>
        <v/>
      </c>
      <c r="AO72" s="139"/>
      <c r="AP72" s="139"/>
      <c r="AQ72" s="139"/>
      <c r="AR72" s="139"/>
    </row>
    <row r="73" spans="2:44" s="43" customFormat="1" ht="30">
      <c r="B73" s="45" t="s">
        <v>278</v>
      </c>
      <c r="C73" s="199"/>
      <c r="D73" s="199" t="s">
        <v>227</v>
      </c>
      <c r="E73" s="199" t="s">
        <v>277</v>
      </c>
      <c r="F73" s="32" t="s">
        <v>1</v>
      </c>
      <c r="G73" s="32" t="s">
        <v>1307</v>
      </c>
      <c r="H73" s="32" t="s">
        <v>1310</v>
      </c>
      <c r="I73" s="44" t="s">
        <v>190</v>
      </c>
      <c r="J73" s="26" t="s">
        <v>79</v>
      </c>
      <c r="K73" s="27" t="s">
        <v>1212</v>
      </c>
      <c r="L73" s="28" t="s">
        <v>189</v>
      </c>
      <c r="M73" s="40" t="s">
        <v>0</v>
      </c>
      <c r="N73" s="196" t="s">
        <v>1228</v>
      </c>
      <c r="O73" s="40" t="s">
        <v>0</v>
      </c>
      <c r="P73" s="39">
        <v>42776</v>
      </c>
      <c r="Q73" s="196" t="s">
        <v>1298</v>
      </c>
      <c r="R73" s="40"/>
      <c r="S73" s="40" t="s">
        <v>0</v>
      </c>
      <c r="T73" s="41">
        <v>42794</v>
      </c>
      <c r="U73" s="214" t="s">
        <v>1298</v>
      </c>
      <c r="V73" s="40"/>
      <c r="W73" s="40"/>
      <c r="X73" s="41"/>
      <c r="Y73" s="40"/>
      <c r="Z73" s="40"/>
      <c r="AA73" s="40"/>
      <c r="AB73" s="41"/>
      <c r="AC73" s="40"/>
      <c r="AD73" s="40"/>
      <c r="AE73" s="40"/>
      <c r="AF73" s="41"/>
      <c r="AG73" s="40"/>
      <c r="AH73" s="40"/>
      <c r="AI73" s="196"/>
      <c r="AJ73" s="140" t="str">
        <f t="shared" si="8"/>
        <v/>
      </c>
      <c r="AK73" s="15"/>
      <c r="AL73" s="15"/>
      <c r="AM73" s="136"/>
      <c r="AN73" s="137" t="str">
        <f t="shared" si="9"/>
        <v/>
      </c>
      <c r="AO73" s="139"/>
      <c r="AP73" s="139"/>
      <c r="AQ73" s="139"/>
      <c r="AR73" s="139"/>
    </row>
    <row r="74" spans="2:44" s="43" customFormat="1" ht="135">
      <c r="B74" s="44" t="s">
        <v>276</v>
      </c>
      <c r="C74" s="27" t="s">
        <v>275</v>
      </c>
      <c r="D74" s="199" t="s">
        <v>274</v>
      </c>
      <c r="E74" s="46" t="s">
        <v>268</v>
      </c>
      <c r="F74" s="32" t="s">
        <v>1</v>
      </c>
      <c r="G74" s="32" t="s">
        <v>1307</v>
      </c>
      <c r="H74" s="32" t="s">
        <v>1310</v>
      </c>
      <c r="I74" s="44" t="s">
        <v>190</v>
      </c>
      <c r="J74" s="26" t="s">
        <v>79</v>
      </c>
      <c r="K74" s="27" t="s">
        <v>1212</v>
      </c>
      <c r="L74" s="28" t="s">
        <v>189</v>
      </c>
      <c r="M74" s="40" t="s">
        <v>0</v>
      </c>
      <c r="N74" s="196" t="s">
        <v>1228</v>
      </c>
      <c r="O74" s="40" t="s">
        <v>0</v>
      </c>
      <c r="P74" s="39">
        <v>42776</v>
      </c>
      <c r="Q74" s="196" t="s">
        <v>1298</v>
      </c>
      <c r="R74" s="40"/>
      <c r="S74" s="40" t="s">
        <v>0</v>
      </c>
      <c r="T74" s="41">
        <v>42794</v>
      </c>
      <c r="U74" s="214" t="s">
        <v>1298</v>
      </c>
      <c r="V74" s="40"/>
      <c r="W74" s="40"/>
      <c r="X74" s="41"/>
      <c r="Y74" s="40"/>
      <c r="Z74" s="40"/>
      <c r="AA74" s="40"/>
      <c r="AB74" s="41"/>
      <c r="AC74" s="40"/>
      <c r="AD74" s="40"/>
      <c r="AE74" s="40"/>
      <c r="AF74" s="41"/>
      <c r="AG74" s="40"/>
      <c r="AH74" s="40"/>
      <c r="AI74" s="196"/>
      <c r="AJ74" s="140" t="str">
        <f t="shared" si="8"/>
        <v/>
      </c>
      <c r="AK74" s="15"/>
      <c r="AL74" s="15"/>
      <c r="AM74" s="136"/>
      <c r="AN74" s="137" t="str">
        <f t="shared" si="9"/>
        <v/>
      </c>
      <c r="AO74" s="139"/>
      <c r="AP74" s="139"/>
      <c r="AQ74" s="139"/>
      <c r="AR74" s="139"/>
    </row>
    <row r="75" spans="2:44" s="43" customFormat="1" ht="135">
      <c r="B75" s="45" t="s">
        <v>273</v>
      </c>
      <c r="C75" s="27"/>
      <c r="D75" s="199" t="s">
        <v>272</v>
      </c>
      <c r="E75" s="46" t="s">
        <v>268</v>
      </c>
      <c r="F75" s="32" t="s">
        <v>1</v>
      </c>
      <c r="G75" s="32" t="s">
        <v>1307</v>
      </c>
      <c r="H75" s="32" t="s">
        <v>1310</v>
      </c>
      <c r="I75" s="44" t="s">
        <v>190</v>
      </c>
      <c r="J75" s="26" t="s">
        <v>79</v>
      </c>
      <c r="K75" s="27" t="s">
        <v>1212</v>
      </c>
      <c r="L75" s="28" t="s">
        <v>189</v>
      </c>
      <c r="M75" s="40" t="s">
        <v>0</v>
      </c>
      <c r="N75" s="196" t="s">
        <v>1228</v>
      </c>
      <c r="O75" s="40" t="s">
        <v>0</v>
      </c>
      <c r="P75" s="39">
        <v>42776</v>
      </c>
      <c r="Q75" s="196" t="s">
        <v>1298</v>
      </c>
      <c r="R75" s="40"/>
      <c r="S75" s="40" t="s">
        <v>0</v>
      </c>
      <c r="T75" s="41">
        <v>42794</v>
      </c>
      <c r="U75" s="214" t="s">
        <v>1298</v>
      </c>
      <c r="V75" s="40"/>
      <c r="W75" s="40"/>
      <c r="X75" s="41"/>
      <c r="Y75" s="40"/>
      <c r="Z75" s="40"/>
      <c r="AA75" s="40"/>
      <c r="AB75" s="41"/>
      <c r="AC75" s="40"/>
      <c r="AD75" s="40"/>
      <c r="AE75" s="40"/>
      <c r="AF75" s="41"/>
      <c r="AG75" s="40"/>
      <c r="AH75" s="40"/>
      <c r="AI75" s="196"/>
      <c r="AJ75" s="140" t="str">
        <f t="shared" si="8"/>
        <v/>
      </c>
      <c r="AK75" s="15"/>
      <c r="AL75" s="15"/>
      <c r="AM75" s="136"/>
      <c r="AN75" s="137" t="str">
        <f t="shared" si="9"/>
        <v/>
      </c>
      <c r="AO75" s="139"/>
      <c r="AP75" s="139"/>
      <c r="AQ75" s="139"/>
      <c r="AR75" s="139"/>
    </row>
    <row r="76" spans="2:44" s="43" customFormat="1" ht="135">
      <c r="B76" s="45" t="s">
        <v>271</v>
      </c>
      <c r="C76" s="27"/>
      <c r="D76" s="199" t="s">
        <v>270</v>
      </c>
      <c r="E76" s="46" t="s">
        <v>268</v>
      </c>
      <c r="F76" s="32" t="s">
        <v>1</v>
      </c>
      <c r="G76" s="32" t="s">
        <v>1307</v>
      </c>
      <c r="H76" s="32" t="s">
        <v>1310</v>
      </c>
      <c r="I76" s="44" t="s">
        <v>190</v>
      </c>
      <c r="J76" s="26" t="s">
        <v>79</v>
      </c>
      <c r="K76" s="27" t="s">
        <v>1212</v>
      </c>
      <c r="L76" s="28" t="s">
        <v>189</v>
      </c>
      <c r="M76" s="40" t="s">
        <v>0</v>
      </c>
      <c r="N76" s="196" t="s">
        <v>1228</v>
      </c>
      <c r="O76" s="40" t="s">
        <v>0</v>
      </c>
      <c r="P76" s="39">
        <v>42776</v>
      </c>
      <c r="Q76" s="196" t="s">
        <v>1298</v>
      </c>
      <c r="R76" s="40"/>
      <c r="S76" s="40" t="s">
        <v>0</v>
      </c>
      <c r="T76" s="41">
        <v>42794</v>
      </c>
      <c r="U76" s="214" t="s">
        <v>1298</v>
      </c>
      <c r="V76" s="40"/>
      <c r="W76" s="40"/>
      <c r="X76" s="41"/>
      <c r="Y76" s="40"/>
      <c r="Z76" s="40"/>
      <c r="AA76" s="40"/>
      <c r="AB76" s="41"/>
      <c r="AC76" s="40"/>
      <c r="AD76" s="40"/>
      <c r="AE76" s="40"/>
      <c r="AF76" s="41"/>
      <c r="AG76" s="40"/>
      <c r="AH76" s="40"/>
      <c r="AI76" s="196"/>
      <c r="AJ76" s="140" t="str">
        <f t="shared" si="8"/>
        <v/>
      </c>
      <c r="AK76" s="15"/>
      <c r="AL76" s="15"/>
      <c r="AM76" s="136"/>
      <c r="AN76" s="137" t="str">
        <f t="shared" si="9"/>
        <v/>
      </c>
      <c r="AO76" s="139"/>
      <c r="AP76" s="139"/>
      <c r="AQ76" s="139"/>
      <c r="AR76" s="139"/>
    </row>
    <row r="77" spans="2:44" s="43" customFormat="1" ht="135">
      <c r="B77" s="45" t="s">
        <v>269</v>
      </c>
      <c r="C77" s="27"/>
      <c r="D77" s="199" t="s">
        <v>1097</v>
      </c>
      <c r="E77" s="46" t="s">
        <v>268</v>
      </c>
      <c r="F77" s="32" t="s">
        <v>1</v>
      </c>
      <c r="G77" s="32" t="s">
        <v>1307</v>
      </c>
      <c r="H77" s="32" t="s">
        <v>1310</v>
      </c>
      <c r="I77" s="44" t="s">
        <v>190</v>
      </c>
      <c r="J77" s="26" t="s">
        <v>79</v>
      </c>
      <c r="K77" s="27" t="s">
        <v>1212</v>
      </c>
      <c r="L77" s="28" t="s">
        <v>189</v>
      </c>
      <c r="M77" s="40" t="s">
        <v>0</v>
      </c>
      <c r="N77" s="196" t="s">
        <v>1228</v>
      </c>
      <c r="O77" s="40" t="s">
        <v>0</v>
      </c>
      <c r="P77" s="39">
        <v>42776</v>
      </c>
      <c r="Q77" s="196" t="s">
        <v>1298</v>
      </c>
      <c r="R77" s="40"/>
      <c r="S77" s="40" t="s">
        <v>0</v>
      </c>
      <c r="T77" s="41">
        <v>42794</v>
      </c>
      <c r="U77" s="214" t="s">
        <v>1298</v>
      </c>
      <c r="V77" s="40"/>
      <c r="W77" s="40"/>
      <c r="X77" s="41"/>
      <c r="Y77" s="40"/>
      <c r="Z77" s="40"/>
      <c r="AA77" s="40"/>
      <c r="AB77" s="41"/>
      <c r="AC77" s="40"/>
      <c r="AD77" s="40"/>
      <c r="AE77" s="40"/>
      <c r="AF77" s="41"/>
      <c r="AG77" s="40"/>
      <c r="AH77" s="40"/>
      <c r="AI77" s="196"/>
      <c r="AJ77" s="140" t="str">
        <f t="shared" si="8"/>
        <v/>
      </c>
      <c r="AK77" s="15"/>
      <c r="AL77" s="15"/>
      <c r="AM77" s="136"/>
      <c r="AN77" s="137" t="str">
        <f t="shared" si="9"/>
        <v/>
      </c>
      <c r="AO77" s="139"/>
      <c r="AP77" s="139"/>
      <c r="AQ77" s="139"/>
      <c r="AR77" s="139"/>
    </row>
    <row r="78" spans="2:44" s="43" customFormat="1" ht="210">
      <c r="B78" s="44" t="s">
        <v>267</v>
      </c>
      <c r="C78" s="199" t="s">
        <v>266</v>
      </c>
      <c r="D78" s="40" t="s">
        <v>265</v>
      </c>
      <c r="E78" s="199" t="s">
        <v>1098</v>
      </c>
      <c r="F78" s="32" t="s">
        <v>1</v>
      </c>
      <c r="G78" s="32" t="s">
        <v>1307</v>
      </c>
      <c r="H78" s="32" t="s">
        <v>1310</v>
      </c>
      <c r="I78" s="44" t="s">
        <v>190</v>
      </c>
      <c r="J78" s="26" t="s">
        <v>79</v>
      </c>
      <c r="K78" s="27" t="s">
        <v>1212</v>
      </c>
      <c r="L78" s="28" t="s">
        <v>189</v>
      </c>
      <c r="M78" s="40" t="s">
        <v>0</v>
      </c>
      <c r="N78" s="196" t="s">
        <v>1228</v>
      </c>
      <c r="O78" s="40" t="s">
        <v>0</v>
      </c>
      <c r="P78" s="39">
        <v>42776</v>
      </c>
      <c r="Q78" s="196" t="s">
        <v>1298</v>
      </c>
      <c r="R78" s="40"/>
      <c r="S78" s="40" t="s">
        <v>0</v>
      </c>
      <c r="T78" s="41">
        <v>42794</v>
      </c>
      <c r="U78" s="214" t="s">
        <v>1298</v>
      </c>
      <c r="V78" s="40"/>
      <c r="W78" s="40"/>
      <c r="X78" s="41"/>
      <c r="Y78" s="40"/>
      <c r="Z78" s="40"/>
      <c r="AA78" s="40"/>
      <c r="AB78" s="41"/>
      <c r="AC78" s="40"/>
      <c r="AD78" s="40"/>
      <c r="AE78" s="40"/>
      <c r="AF78" s="41"/>
      <c r="AG78" s="40"/>
      <c r="AH78" s="40"/>
      <c r="AI78" s="196"/>
      <c r="AJ78" s="140" t="str">
        <f t="shared" si="8"/>
        <v/>
      </c>
      <c r="AK78" s="15"/>
      <c r="AL78" s="15"/>
      <c r="AM78" s="136"/>
      <c r="AN78" s="137" t="str">
        <f t="shared" si="9"/>
        <v/>
      </c>
      <c r="AO78" s="139"/>
      <c r="AP78" s="139"/>
      <c r="AQ78" s="139"/>
      <c r="AR78" s="139"/>
    </row>
    <row r="79" spans="2:44" s="43" customFormat="1" ht="165">
      <c r="B79" s="44" t="s">
        <v>264</v>
      </c>
      <c r="C79" s="199" t="s">
        <v>263</v>
      </c>
      <c r="D79" s="40" t="s">
        <v>262</v>
      </c>
      <c r="E79" s="47" t="s">
        <v>1094</v>
      </c>
      <c r="F79" s="32" t="s">
        <v>1</v>
      </c>
      <c r="G79" s="32" t="s">
        <v>1307</v>
      </c>
      <c r="H79" s="32" t="s">
        <v>1310</v>
      </c>
      <c r="I79" s="44" t="s">
        <v>190</v>
      </c>
      <c r="J79" s="26" t="s">
        <v>79</v>
      </c>
      <c r="K79" s="27" t="s">
        <v>1212</v>
      </c>
      <c r="L79" s="28" t="s">
        <v>189</v>
      </c>
      <c r="M79" s="40" t="s">
        <v>0</v>
      </c>
      <c r="N79" s="196" t="s">
        <v>1228</v>
      </c>
      <c r="O79" s="40" t="s">
        <v>0</v>
      </c>
      <c r="P79" s="39">
        <v>42776</v>
      </c>
      <c r="Q79" s="196" t="s">
        <v>1298</v>
      </c>
      <c r="R79" s="40"/>
      <c r="S79" s="40" t="s">
        <v>0</v>
      </c>
      <c r="T79" s="41">
        <v>42794</v>
      </c>
      <c r="U79" s="214" t="s">
        <v>1298</v>
      </c>
      <c r="V79" s="40"/>
      <c r="W79" s="40"/>
      <c r="X79" s="41"/>
      <c r="Y79" s="40"/>
      <c r="Z79" s="40"/>
      <c r="AA79" s="40"/>
      <c r="AB79" s="41"/>
      <c r="AC79" s="40"/>
      <c r="AD79" s="40"/>
      <c r="AE79" s="40"/>
      <c r="AF79" s="41"/>
      <c r="AG79" s="40"/>
      <c r="AH79" s="40"/>
      <c r="AI79" s="196"/>
      <c r="AJ79" s="140" t="str">
        <f t="shared" si="8"/>
        <v/>
      </c>
      <c r="AK79" s="15"/>
      <c r="AL79" s="15"/>
      <c r="AM79" s="136"/>
      <c r="AN79" s="137" t="str">
        <f t="shared" si="9"/>
        <v/>
      </c>
      <c r="AO79" s="139"/>
      <c r="AP79" s="139"/>
      <c r="AQ79" s="139"/>
      <c r="AR79" s="139"/>
    </row>
    <row r="80" spans="2:44" s="43" customFormat="1" ht="90">
      <c r="B80" s="45" t="s">
        <v>261</v>
      </c>
      <c r="C80" s="199"/>
      <c r="D80" s="40" t="s">
        <v>260</v>
      </c>
      <c r="E80" s="40" t="s">
        <v>259</v>
      </c>
      <c r="F80" s="32" t="s">
        <v>1</v>
      </c>
      <c r="G80" s="32" t="s">
        <v>1307</v>
      </c>
      <c r="H80" s="32" t="s">
        <v>1310</v>
      </c>
      <c r="I80" s="44" t="s">
        <v>190</v>
      </c>
      <c r="J80" s="26" t="s">
        <v>79</v>
      </c>
      <c r="K80" s="27" t="s">
        <v>1212</v>
      </c>
      <c r="L80" s="28" t="s">
        <v>189</v>
      </c>
      <c r="M80" s="40" t="s">
        <v>0</v>
      </c>
      <c r="N80" s="196" t="s">
        <v>1228</v>
      </c>
      <c r="O80" s="40" t="s">
        <v>0</v>
      </c>
      <c r="P80" s="39">
        <v>42776</v>
      </c>
      <c r="Q80" s="196" t="s">
        <v>1298</v>
      </c>
      <c r="R80" s="40"/>
      <c r="S80" s="40" t="s">
        <v>0</v>
      </c>
      <c r="T80" s="41">
        <v>42794</v>
      </c>
      <c r="U80" s="214" t="s">
        <v>1298</v>
      </c>
      <c r="V80" s="40"/>
      <c r="W80" s="40"/>
      <c r="X80" s="41"/>
      <c r="Y80" s="40"/>
      <c r="Z80" s="40"/>
      <c r="AA80" s="40"/>
      <c r="AB80" s="41"/>
      <c r="AC80" s="40"/>
      <c r="AD80" s="40"/>
      <c r="AE80" s="40"/>
      <c r="AF80" s="41"/>
      <c r="AG80" s="40"/>
      <c r="AH80" s="40"/>
      <c r="AI80" s="196"/>
      <c r="AJ80" s="140" t="str">
        <f t="shared" si="8"/>
        <v/>
      </c>
      <c r="AK80" s="15"/>
      <c r="AL80" s="15"/>
      <c r="AM80" s="136"/>
      <c r="AN80" s="137" t="str">
        <f t="shared" si="9"/>
        <v/>
      </c>
      <c r="AO80" s="139"/>
      <c r="AP80" s="139"/>
      <c r="AQ80" s="139"/>
      <c r="AR80" s="139"/>
    </row>
    <row r="81" spans="2:44" s="43" customFormat="1" ht="195">
      <c r="B81" s="44" t="s">
        <v>258</v>
      </c>
      <c r="C81" s="199" t="s">
        <v>257</v>
      </c>
      <c r="D81" s="40" t="s">
        <v>209</v>
      </c>
      <c r="E81" s="199" t="s">
        <v>208</v>
      </c>
      <c r="F81" s="32" t="s">
        <v>1</v>
      </c>
      <c r="G81" s="32" t="s">
        <v>1307</v>
      </c>
      <c r="H81" s="32" t="s">
        <v>1310</v>
      </c>
      <c r="I81" s="44" t="s">
        <v>190</v>
      </c>
      <c r="J81" s="26" t="s">
        <v>79</v>
      </c>
      <c r="K81" s="27" t="s">
        <v>1212</v>
      </c>
      <c r="L81" s="28" t="s">
        <v>189</v>
      </c>
      <c r="M81" s="40" t="s">
        <v>0</v>
      </c>
      <c r="N81" s="196" t="s">
        <v>1228</v>
      </c>
      <c r="O81" s="40" t="s">
        <v>0</v>
      </c>
      <c r="P81" s="39">
        <v>42776</v>
      </c>
      <c r="Q81" s="196" t="s">
        <v>1298</v>
      </c>
      <c r="R81" s="40"/>
      <c r="S81" s="40" t="s">
        <v>0</v>
      </c>
      <c r="T81" s="41">
        <v>42794</v>
      </c>
      <c r="U81" s="214" t="s">
        <v>1298</v>
      </c>
      <c r="V81" s="40"/>
      <c r="W81" s="40"/>
      <c r="X81" s="41"/>
      <c r="Y81" s="40"/>
      <c r="Z81" s="40"/>
      <c r="AA81" s="40"/>
      <c r="AB81" s="41"/>
      <c r="AC81" s="40"/>
      <c r="AD81" s="40"/>
      <c r="AE81" s="40"/>
      <c r="AF81" s="41"/>
      <c r="AG81" s="40"/>
      <c r="AH81" s="40"/>
      <c r="AI81" s="196"/>
      <c r="AJ81" s="140" t="str">
        <f t="shared" ref="AJ81:AJ144" si="10">IF(AI81&gt;0, IF(AI81&gt;=14,"D",IF(AI81&gt;=8,"N","E")),"")</f>
        <v/>
      </c>
      <c r="AK81" s="15"/>
      <c r="AL81" s="15"/>
      <c r="AM81" s="136"/>
      <c r="AN81" s="137" t="str">
        <f t="shared" ref="AN81:AN144" si="11">IF(AM81&gt;0, IF(AM81&gt;=14,"D",IF(AM81&gt;=8,"N","E")),"")</f>
        <v/>
      </c>
      <c r="AO81" s="139"/>
      <c r="AP81" s="139"/>
      <c r="AQ81" s="139"/>
      <c r="AR81" s="139"/>
    </row>
    <row r="82" spans="2:44" s="43" customFormat="1" ht="255">
      <c r="B82" s="45" t="s">
        <v>256</v>
      </c>
      <c r="C82" s="199"/>
      <c r="D82" s="196" t="s">
        <v>206</v>
      </c>
      <c r="E82" s="196" t="s">
        <v>255</v>
      </c>
      <c r="F82" s="32" t="s">
        <v>1</v>
      </c>
      <c r="G82" s="32" t="s">
        <v>1307</v>
      </c>
      <c r="H82" s="32" t="s">
        <v>1310</v>
      </c>
      <c r="I82" s="44" t="s">
        <v>190</v>
      </c>
      <c r="J82" s="26" t="s">
        <v>79</v>
      </c>
      <c r="K82" s="27" t="s">
        <v>1212</v>
      </c>
      <c r="L82" s="28" t="s">
        <v>189</v>
      </c>
      <c r="M82" s="40" t="s">
        <v>0</v>
      </c>
      <c r="N82" s="196" t="s">
        <v>1228</v>
      </c>
      <c r="O82" s="40" t="s">
        <v>0</v>
      </c>
      <c r="P82" s="39">
        <v>42776</v>
      </c>
      <c r="Q82" s="196" t="s">
        <v>1298</v>
      </c>
      <c r="R82" s="40"/>
      <c r="S82" s="40" t="s">
        <v>0</v>
      </c>
      <c r="T82" s="41">
        <v>42794</v>
      </c>
      <c r="U82" s="214" t="s">
        <v>1298</v>
      </c>
      <c r="V82" s="40"/>
      <c r="W82" s="40"/>
      <c r="X82" s="41"/>
      <c r="Y82" s="40"/>
      <c r="Z82" s="40"/>
      <c r="AA82" s="40"/>
      <c r="AB82" s="41"/>
      <c r="AC82" s="40"/>
      <c r="AD82" s="40"/>
      <c r="AE82" s="40"/>
      <c r="AF82" s="41"/>
      <c r="AG82" s="40"/>
      <c r="AH82" s="40"/>
      <c r="AI82" s="196"/>
      <c r="AJ82" s="140" t="str">
        <f t="shared" si="10"/>
        <v/>
      </c>
      <c r="AK82" s="15"/>
      <c r="AL82" s="15"/>
      <c r="AM82" s="136"/>
      <c r="AN82" s="137" t="str">
        <f t="shared" si="11"/>
        <v/>
      </c>
      <c r="AO82" s="139"/>
      <c r="AP82" s="139"/>
      <c r="AQ82" s="139"/>
      <c r="AR82" s="139"/>
    </row>
    <row r="83" spans="2:44" s="43" customFormat="1" ht="90">
      <c r="B83" s="45" t="s">
        <v>254</v>
      </c>
      <c r="C83" s="199"/>
      <c r="D83" s="40" t="s">
        <v>253</v>
      </c>
      <c r="E83" s="199" t="s">
        <v>200</v>
      </c>
      <c r="F83" s="32" t="s">
        <v>1</v>
      </c>
      <c r="G83" s="32" t="s">
        <v>1307</v>
      </c>
      <c r="H83" s="32" t="s">
        <v>1310</v>
      </c>
      <c r="I83" s="44" t="s">
        <v>203</v>
      </c>
      <c r="J83" s="26" t="s">
        <v>79</v>
      </c>
      <c r="K83" s="27" t="s">
        <v>1212</v>
      </c>
      <c r="L83" s="28" t="s">
        <v>189</v>
      </c>
      <c r="M83" s="40" t="s">
        <v>0</v>
      </c>
      <c r="N83" s="196" t="s">
        <v>1228</v>
      </c>
      <c r="O83" s="40" t="s">
        <v>0</v>
      </c>
      <c r="P83" s="39">
        <v>42776</v>
      </c>
      <c r="Q83" s="196" t="s">
        <v>1298</v>
      </c>
      <c r="R83" s="40"/>
      <c r="S83" s="40" t="s">
        <v>0</v>
      </c>
      <c r="T83" s="41">
        <v>42794</v>
      </c>
      <c r="U83" s="214" t="s">
        <v>1298</v>
      </c>
      <c r="V83" s="40"/>
      <c r="W83" s="40"/>
      <c r="X83" s="41"/>
      <c r="Y83" s="40"/>
      <c r="Z83" s="40"/>
      <c r="AA83" s="40"/>
      <c r="AB83" s="41"/>
      <c r="AC83" s="40"/>
      <c r="AD83" s="40"/>
      <c r="AE83" s="40"/>
      <c r="AF83" s="41"/>
      <c r="AG83" s="40"/>
      <c r="AH83" s="40"/>
      <c r="AI83" s="196"/>
      <c r="AJ83" s="140" t="str">
        <f t="shared" si="10"/>
        <v/>
      </c>
      <c r="AK83" s="15"/>
      <c r="AL83" s="15"/>
      <c r="AM83" s="136"/>
      <c r="AN83" s="137" t="str">
        <f t="shared" si="11"/>
        <v/>
      </c>
      <c r="AO83" s="139"/>
      <c r="AP83" s="139"/>
      <c r="AQ83" s="139"/>
      <c r="AR83" s="139"/>
    </row>
    <row r="84" spans="2:44" s="43" customFormat="1" ht="120">
      <c r="B84" s="45" t="s">
        <v>252</v>
      </c>
      <c r="C84" s="199"/>
      <c r="D84" s="40" t="s">
        <v>251</v>
      </c>
      <c r="E84" s="199" t="s">
        <v>200</v>
      </c>
      <c r="F84" s="32" t="s">
        <v>1</v>
      </c>
      <c r="G84" s="32" t="s">
        <v>1307</v>
      </c>
      <c r="H84" s="32" t="s">
        <v>1310</v>
      </c>
      <c r="I84" s="44" t="s">
        <v>190</v>
      </c>
      <c r="J84" s="26" t="s">
        <v>79</v>
      </c>
      <c r="K84" s="27" t="s">
        <v>1212</v>
      </c>
      <c r="L84" s="28" t="s">
        <v>189</v>
      </c>
      <c r="M84" s="40" t="s">
        <v>0</v>
      </c>
      <c r="N84" s="196" t="s">
        <v>1228</v>
      </c>
      <c r="O84" s="40" t="s">
        <v>0</v>
      </c>
      <c r="P84" s="39">
        <v>42776</v>
      </c>
      <c r="Q84" s="196" t="s">
        <v>1298</v>
      </c>
      <c r="R84" s="40"/>
      <c r="S84" s="40" t="s">
        <v>0</v>
      </c>
      <c r="T84" s="41">
        <v>42794</v>
      </c>
      <c r="U84" s="214" t="s">
        <v>1298</v>
      </c>
      <c r="V84" s="40"/>
      <c r="W84" s="40"/>
      <c r="X84" s="41"/>
      <c r="Y84" s="40"/>
      <c r="Z84" s="40"/>
      <c r="AA84" s="40"/>
      <c r="AB84" s="41"/>
      <c r="AC84" s="40"/>
      <c r="AD84" s="40"/>
      <c r="AE84" s="40"/>
      <c r="AF84" s="41"/>
      <c r="AG84" s="40"/>
      <c r="AH84" s="40"/>
      <c r="AI84" s="196"/>
      <c r="AJ84" s="140" t="str">
        <f t="shared" si="10"/>
        <v/>
      </c>
      <c r="AK84" s="15"/>
      <c r="AL84" s="15"/>
      <c r="AM84" s="136"/>
      <c r="AN84" s="137" t="str">
        <f t="shared" si="11"/>
        <v/>
      </c>
      <c r="AO84" s="139"/>
      <c r="AP84" s="139"/>
      <c r="AQ84" s="139"/>
      <c r="AR84" s="139"/>
    </row>
    <row r="85" spans="2:44" s="43" customFormat="1" ht="195">
      <c r="B85" s="45" t="s">
        <v>250</v>
      </c>
      <c r="C85" s="199"/>
      <c r="D85" s="40" t="s">
        <v>1099</v>
      </c>
      <c r="E85" s="199" t="s">
        <v>249</v>
      </c>
      <c r="F85" s="32" t="s">
        <v>1</v>
      </c>
      <c r="G85" s="32" t="s">
        <v>1307</v>
      </c>
      <c r="H85" s="32" t="s">
        <v>1310</v>
      </c>
      <c r="I85" s="44" t="s">
        <v>190</v>
      </c>
      <c r="J85" s="26" t="s">
        <v>79</v>
      </c>
      <c r="K85" s="27" t="s">
        <v>1212</v>
      </c>
      <c r="L85" s="28" t="s">
        <v>189</v>
      </c>
      <c r="M85" s="40" t="s">
        <v>0</v>
      </c>
      <c r="N85" s="196" t="s">
        <v>1228</v>
      </c>
      <c r="O85" s="40" t="s">
        <v>0</v>
      </c>
      <c r="P85" s="39">
        <v>42776</v>
      </c>
      <c r="Q85" s="196" t="s">
        <v>1298</v>
      </c>
      <c r="R85" s="40"/>
      <c r="S85" s="40" t="s">
        <v>0</v>
      </c>
      <c r="T85" s="41">
        <v>42794</v>
      </c>
      <c r="U85" s="214" t="s">
        <v>1298</v>
      </c>
      <c r="V85" s="40"/>
      <c r="W85" s="40"/>
      <c r="X85" s="41"/>
      <c r="Y85" s="40"/>
      <c r="Z85" s="40"/>
      <c r="AA85" s="40"/>
      <c r="AB85" s="41"/>
      <c r="AC85" s="40"/>
      <c r="AD85" s="40"/>
      <c r="AE85" s="40"/>
      <c r="AF85" s="41"/>
      <c r="AG85" s="40"/>
      <c r="AH85" s="40"/>
      <c r="AI85" s="196"/>
      <c r="AJ85" s="140" t="str">
        <f t="shared" si="10"/>
        <v/>
      </c>
      <c r="AK85" s="15"/>
      <c r="AL85" s="15"/>
      <c r="AM85" s="136"/>
      <c r="AN85" s="137" t="str">
        <f t="shared" si="11"/>
        <v/>
      </c>
      <c r="AO85" s="139"/>
      <c r="AP85" s="139"/>
      <c r="AQ85" s="139"/>
      <c r="AR85" s="139"/>
    </row>
    <row r="86" spans="2:44" s="43" customFormat="1" ht="255">
      <c r="B86" s="45" t="s">
        <v>248</v>
      </c>
      <c r="C86" s="199"/>
      <c r="D86" s="40" t="s">
        <v>1100</v>
      </c>
      <c r="E86" s="47" t="s">
        <v>1101</v>
      </c>
      <c r="F86" s="32" t="s">
        <v>1</v>
      </c>
      <c r="G86" s="32" t="s">
        <v>1307</v>
      </c>
      <c r="H86" s="32" t="s">
        <v>1310</v>
      </c>
      <c r="I86" s="44" t="s">
        <v>190</v>
      </c>
      <c r="J86" s="26" t="s">
        <v>79</v>
      </c>
      <c r="K86" s="27" t="s">
        <v>1212</v>
      </c>
      <c r="L86" s="28" t="s">
        <v>189</v>
      </c>
      <c r="M86" s="40" t="s">
        <v>0</v>
      </c>
      <c r="N86" s="196" t="s">
        <v>1228</v>
      </c>
      <c r="O86" s="40" t="s">
        <v>0</v>
      </c>
      <c r="P86" s="39">
        <v>42776</v>
      </c>
      <c r="Q86" s="196" t="s">
        <v>1298</v>
      </c>
      <c r="R86" s="40"/>
      <c r="S86" s="40" t="s">
        <v>0</v>
      </c>
      <c r="T86" s="41">
        <v>42794</v>
      </c>
      <c r="U86" s="214" t="s">
        <v>1298</v>
      </c>
      <c r="V86" s="40"/>
      <c r="W86" s="40"/>
      <c r="X86" s="41"/>
      <c r="Y86" s="40"/>
      <c r="Z86" s="40"/>
      <c r="AA86" s="40"/>
      <c r="AB86" s="41"/>
      <c r="AC86" s="40"/>
      <c r="AD86" s="40"/>
      <c r="AE86" s="40"/>
      <c r="AF86" s="41"/>
      <c r="AG86" s="40"/>
      <c r="AH86" s="40"/>
      <c r="AI86" s="196"/>
      <c r="AJ86" s="140" t="str">
        <f t="shared" si="10"/>
        <v/>
      </c>
      <c r="AK86" s="15"/>
      <c r="AL86" s="15"/>
      <c r="AM86" s="136"/>
      <c r="AN86" s="137" t="str">
        <f t="shared" si="11"/>
        <v/>
      </c>
      <c r="AO86" s="139"/>
      <c r="AP86" s="139"/>
      <c r="AQ86" s="139"/>
      <c r="AR86" s="139"/>
    </row>
    <row r="87" spans="2:44" s="43" customFormat="1" ht="90">
      <c r="B87" s="45" t="s">
        <v>247</v>
      </c>
      <c r="C87" s="199"/>
      <c r="D87" s="40" t="s">
        <v>215</v>
      </c>
      <c r="E87" s="199" t="s">
        <v>200</v>
      </c>
      <c r="F87" s="32" t="s">
        <v>1</v>
      </c>
      <c r="G87" s="32" t="s">
        <v>1307</v>
      </c>
      <c r="H87" s="32" t="s">
        <v>1310</v>
      </c>
      <c r="I87" s="44" t="s">
        <v>203</v>
      </c>
      <c r="J87" s="26" t="s">
        <v>79</v>
      </c>
      <c r="K87" s="27" t="s">
        <v>1212</v>
      </c>
      <c r="L87" s="28" t="s">
        <v>189</v>
      </c>
      <c r="M87" s="40" t="s">
        <v>0</v>
      </c>
      <c r="N87" s="196" t="s">
        <v>1228</v>
      </c>
      <c r="O87" s="40" t="s">
        <v>0</v>
      </c>
      <c r="P87" s="39">
        <v>42776</v>
      </c>
      <c r="Q87" s="196" t="s">
        <v>1298</v>
      </c>
      <c r="R87" s="40"/>
      <c r="S87" s="40" t="s">
        <v>0</v>
      </c>
      <c r="T87" s="41">
        <v>42794</v>
      </c>
      <c r="U87" s="214" t="s">
        <v>1298</v>
      </c>
      <c r="V87" s="40"/>
      <c r="W87" s="40"/>
      <c r="X87" s="41"/>
      <c r="Y87" s="40"/>
      <c r="Z87" s="40"/>
      <c r="AA87" s="40"/>
      <c r="AB87" s="41"/>
      <c r="AC87" s="40"/>
      <c r="AD87" s="40"/>
      <c r="AE87" s="40"/>
      <c r="AF87" s="41"/>
      <c r="AG87" s="40"/>
      <c r="AH87" s="40"/>
      <c r="AI87" s="196"/>
      <c r="AJ87" s="140" t="str">
        <f t="shared" si="10"/>
        <v/>
      </c>
      <c r="AK87" s="15"/>
      <c r="AL87" s="15"/>
      <c r="AM87" s="136"/>
      <c r="AN87" s="137" t="str">
        <f t="shared" si="11"/>
        <v/>
      </c>
      <c r="AO87" s="139"/>
      <c r="AP87" s="139"/>
      <c r="AQ87" s="139"/>
      <c r="AR87" s="139"/>
    </row>
    <row r="88" spans="2:44" s="43" customFormat="1" ht="120">
      <c r="B88" s="45" t="s">
        <v>246</v>
      </c>
      <c r="C88" s="199"/>
      <c r="D88" s="40" t="s">
        <v>213</v>
      </c>
      <c r="E88" s="199" t="s">
        <v>200</v>
      </c>
      <c r="F88" s="32" t="s">
        <v>1</v>
      </c>
      <c r="G88" s="32" t="s">
        <v>1307</v>
      </c>
      <c r="H88" s="32" t="s">
        <v>1310</v>
      </c>
      <c r="I88" s="44" t="s">
        <v>190</v>
      </c>
      <c r="J88" s="26" t="s">
        <v>79</v>
      </c>
      <c r="K88" s="27" t="s">
        <v>1212</v>
      </c>
      <c r="L88" s="28" t="s">
        <v>189</v>
      </c>
      <c r="M88" s="40" t="s">
        <v>0</v>
      </c>
      <c r="N88" s="196" t="s">
        <v>1228</v>
      </c>
      <c r="O88" s="40" t="s">
        <v>0</v>
      </c>
      <c r="P88" s="39">
        <v>42776</v>
      </c>
      <c r="Q88" s="196" t="s">
        <v>1298</v>
      </c>
      <c r="R88" s="40"/>
      <c r="S88" s="40" t="s">
        <v>0</v>
      </c>
      <c r="T88" s="41">
        <v>42794</v>
      </c>
      <c r="U88" s="214" t="s">
        <v>1298</v>
      </c>
      <c r="V88" s="40"/>
      <c r="W88" s="40"/>
      <c r="X88" s="41"/>
      <c r="Y88" s="40"/>
      <c r="Z88" s="40"/>
      <c r="AA88" s="40"/>
      <c r="AB88" s="41"/>
      <c r="AC88" s="40"/>
      <c r="AD88" s="40"/>
      <c r="AE88" s="40"/>
      <c r="AF88" s="41"/>
      <c r="AG88" s="40"/>
      <c r="AH88" s="40"/>
      <c r="AI88" s="196"/>
      <c r="AJ88" s="140" t="str">
        <f t="shared" si="10"/>
        <v/>
      </c>
      <c r="AK88" s="15"/>
      <c r="AL88" s="15"/>
      <c r="AM88" s="136"/>
      <c r="AN88" s="137" t="str">
        <f t="shared" si="11"/>
        <v/>
      </c>
      <c r="AO88" s="139"/>
      <c r="AP88" s="139"/>
      <c r="AQ88" s="139"/>
      <c r="AR88" s="139"/>
    </row>
    <row r="89" spans="2:44" s="43" customFormat="1" ht="180">
      <c r="B89" s="45" t="s">
        <v>245</v>
      </c>
      <c r="C89" s="199"/>
      <c r="D89" s="40" t="s">
        <v>1102</v>
      </c>
      <c r="E89" s="47" t="s">
        <v>1103</v>
      </c>
      <c r="F89" s="32" t="s">
        <v>1</v>
      </c>
      <c r="G89" s="32" t="s">
        <v>1307</v>
      </c>
      <c r="H89" s="32" t="s">
        <v>1310</v>
      </c>
      <c r="I89" s="44" t="s">
        <v>190</v>
      </c>
      <c r="J89" s="26" t="s">
        <v>79</v>
      </c>
      <c r="K89" s="27" t="s">
        <v>1212</v>
      </c>
      <c r="L89" s="28" t="s">
        <v>189</v>
      </c>
      <c r="M89" s="40" t="s">
        <v>0</v>
      </c>
      <c r="N89" s="196" t="s">
        <v>1228</v>
      </c>
      <c r="O89" s="40" t="s">
        <v>0</v>
      </c>
      <c r="P89" s="39">
        <v>42776</v>
      </c>
      <c r="Q89" s="196" t="s">
        <v>1298</v>
      </c>
      <c r="R89" s="40"/>
      <c r="S89" s="40" t="s">
        <v>0</v>
      </c>
      <c r="T89" s="41">
        <v>42794</v>
      </c>
      <c r="U89" s="214" t="s">
        <v>1298</v>
      </c>
      <c r="V89" s="40"/>
      <c r="W89" s="40"/>
      <c r="X89" s="41"/>
      <c r="Y89" s="40"/>
      <c r="Z89" s="40"/>
      <c r="AA89" s="40"/>
      <c r="AB89" s="41"/>
      <c r="AC89" s="40"/>
      <c r="AD89" s="40"/>
      <c r="AE89" s="40"/>
      <c r="AF89" s="41"/>
      <c r="AG89" s="40"/>
      <c r="AH89" s="40"/>
      <c r="AI89" s="196"/>
      <c r="AJ89" s="140" t="str">
        <f t="shared" si="10"/>
        <v/>
      </c>
      <c r="AK89" s="15"/>
      <c r="AL89" s="15"/>
      <c r="AM89" s="136"/>
      <c r="AN89" s="137" t="str">
        <f t="shared" si="11"/>
        <v/>
      </c>
      <c r="AO89" s="139"/>
      <c r="AP89" s="139"/>
      <c r="AQ89" s="139"/>
      <c r="AR89" s="139"/>
    </row>
    <row r="90" spans="2:44" s="43" customFormat="1" ht="120">
      <c r="B90" s="45" t="s">
        <v>244</v>
      </c>
      <c r="C90" s="199"/>
      <c r="D90" s="40" t="s">
        <v>1104</v>
      </c>
      <c r="E90" s="199" t="s">
        <v>197</v>
      </c>
      <c r="F90" s="32" t="s">
        <v>1</v>
      </c>
      <c r="G90" s="32" t="s">
        <v>1307</v>
      </c>
      <c r="H90" s="32" t="s">
        <v>1310</v>
      </c>
      <c r="I90" s="44" t="s">
        <v>190</v>
      </c>
      <c r="J90" s="26" t="s">
        <v>79</v>
      </c>
      <c r="K90" s="27" t="s">
        <v>1212</v>
      </c>
      <c r="L90" s="28" t="s">
        <v>189</v>
      </c>
      <c r="M90" s="40" t="s">
        <v>0</v>
      </c>
      <c r="N90" s="196" t="s">
        <v>1228</v>
      </c>
      <c r="O90" s="40" t="s">
        <v>0</v>
      </c>
      <c r="P90" s="39">
        <v>42776</v>
      </c>
      <c r="Q90" s="196" t="s">
        <v>1298</v>
      </c>
      <c r="R90" s="40"/>
      <c r="S90" s="40" t="s">
        <v>0</v>
      </c>
      <c r="T90" s="41">
        <v>42794</v>
      </c>
      <c r="U90" s="214" t="s">
        <v>1298</v>
      </c>
      <c r="V90" s="40"/>
      <c r="W90" s="40"/>
      <c r="X90" s="41"/>
      <c r="Y90" s="40"/>
      <c r="Z90" s="40"/>
      <c r="AA90" s="40"/>
      <c r="AB90" s="41"/>
      <c r="AC90" s="40"/>
      <c r="AD90" s="40"/>
      <c r="AE90" s="40"/>
      <c r="AF90" s="41"/>
      <c r="AG90" s="40"/>
      <c r="AH90" s="40"/>
      <c r="AI90" s="196"/>
      <c r="AJ90" s="140" t="str">
        <f t="shared" si="10"/>
        <v/>
      </c>
      <c r="AK90" s="15"/>
      <c r="AL90" s="15"/>
      <c r="AM90" s="136"/>
      <c r="AN90" s="137" t="str">
        <f t="shared" si="11"/>
        <v/>
      </c>
      <c r="AO90" s="139"/>
      <c r="AP90" s="139"/>
      <c r="AQ90" s="139"/>
      <c r="AR90" s="139"/>
    </row>
    <row r="91" spans="2:44" s="43" customFormat="1" ht="165">
      <c r="B91" s="45" t="s">
        <v>243</v>
      </c>
      <c r="C91" s="199"/>
      <c r="D91" s="40" t="s">
        <v>1105</v>
      </c>
      <c r="E91" s="47" t="s">
        <v>242</v>
      </c>
      <c r="F91" s="32" t="s">
        <v>1</v>
      </c>
      <c r="G91" s="32" t="s">
        <v>1307</v>
      </c>
      <c r="H91" s="32" t="s">
        <v>1310</v>
      </c>
      <c r="I91" s="44" t="s">
        <v>190</v>
      </c>
      <c r="J91" s="26" t="s">
        <v>79</v>
      </c>
      <c r="K91" s="27" t="s">
        <v>1212</v>
      </c>
      <c r="L91" s="28" t="s">
        <v>189</v>
      </c>
      <c r="M91" s="40" t="s">
        <v>0</v>
      </c>
      <c r="N91" s="196" t="s">
        <v>1228</v>
      </c>
      <c r="O91" s="40" t="s">
        <v>0</v>
      </c>
      <c r="P91" s="39">
        <v>42776</v>
      </c>
      <c r="Q91" s="196" t="s">
        <v>1298</v>
      </c>
      <c r="R91" s="40"/>
      <c r="S91" s="40" t="s">
        <v>0</v>
      </c>
      <c r="T91" s="41">
        <v>42794</v>
      </c>
      <c r="U91" s="214" t="s">
        <v>1298</v>
      </c>
      <c r="V91" s="40"/>
      <c r="W91" s="40"/>
      <c r="X91" s="41"/>
      <c r="Y91" s="40"/>
      <c r="Z91" s="40"/>
      <c r="AA91" s="40"/>
      <c r="AB91" s="41"/>
      <c r="AC91" s="40"/>
      <c r="AD91" s="40"/>
      <c r="AE91" s="40"/>
      <c r="AF91" s="41"/>
      <c r="AG91" s="40"/>
      <c r="AH91" s="40"/>
      <c r="AI91" s="196"/>
      <c r="AJ91" s="140" t="str">
        <f t="shared" si="10"/>
        <v/>
      </c>
      <c r="AK91" s="15"/>
      <c r="AL91" s="15"/>
      <c r="AM91" s="136"/>
      <c r="AN91" s="137" t="str">
        <f t="shared" si="11"/>
        <v/>
      </c>
      <c r="AO91" s="139"/>
      <c r="AP91" s="139"/>
      <c r="AQ91" s="139"/>
      <c r="AR91" s="139"/>
    </row>
    <row r="92" spans="2:44" s="43" customFormat="1" ht="105">
      <c r="B92" s="45" t="s">
        <v>241</v>
      </c>
      <c r="C92" s="199"/>
      <c r="D92" s="40" t="s">
        <v>240</v>
      </c>
      <c r="E92" s="199" t="s">
        <v>1106</v>
      </c>
      <c r="F92" s="32" t="s">
        <v>1</v>
      </c>
      <c r="G92" s="32" t="s">
        <v>1307</v>
      </c>
      <c r="H92" s="32" t="s">
        <v>1310</v>
      </c>
      <c r="I92" s="44" t="s">
        <v>190</v>
      </c>
      <c r="J92" s="26" t="s">
        <v>79</v>
      </c>
      <c r="K92" s="27" t="s">
        <v>1212</v>
      </c>
      <c r="L92" s="28" t="s">
        <v>189</v>
      </c>
      <c r="M92" s="40" t="s">
        <v>0</v>
      </c>
      <c r="N92" s="196" t="s">
        <v>1228</v>
      </c>
      <c r="O92" s="40" t="s">
        <v>0</v>
      </c>
      <c r="P92" s="39">
        <v>42776</v>
      </c>
      <c r="Q92" s="196" t="s">
        <v>1298</v>
      </c>
      <c r="R92" s="40"/>
      <c r="S92" s="40" t="s">
        <v>0</v>
      </c>
      <c r="T92" s="41">
        <v>42794</v>
      </c>
      <c r="U92" s="214" t="s">
        <v>1298</v>
      </c>
      <c r="V92" s="40"/>
      <c r="W92" s="40"/>
      <c r="X92" s="41"/>
      <c r="Y92" s="40"/>
      <c r="Z92" s="40"/>
      <c r="AA92" s="40"/>
      <c r="AB92" s="41"/>
      <c r="AC92" s="40"/>
      <c r="AD92" s="40"/>
      <c r="AE92" s="40"/>
      <c r="AF92" s="41"/>
      <c r="AG92" s="40"/>
      <c r="AH92" s="40"/>
      <c r="AI92" s="196"/>
      <c r="AJ92" s="140" t="str">
        <f t="shared" si="10"/>
        <v/>
      </c>
      <c r="AK92" s="15"/>
      <c r="AL92" s="15"/>
      <c r="AM92" s="136"/>
      <c r="AN92" s="137" t="str">
        <f t="shared" si="11"/>
        <v/>
      </c>
      <c r="AO92" s="139"/>
      <c r="AP92" s="139"/>
      <c r="AQ92" s="139"/>
      <c r="AR92" s="139"/>
    </row>
    <row r="93" spans="2:44" s="43" customFormat="1" ht="120">
      <c r="B93" s="45" t="s">
        <v>239</v>
      </c>
      <c r="C93" s="199"/>
      <c r="D93" s="40" t="s">
        <v>1107</v>
      </c>
      <c r="E93" s="199" t="s">
        <v>238</v>
      </c>
      <c r="F93" s="32" t="s">
        <v>1</v>
      </c>
      <c r="G93" s="32" t="s">
        <v>1307</v>
      </c>
      <c r="H93" s="32" t="s">
        <v>1310</v>
      </c>
      <c r="I93" s="44" t="s">
        <v>190</v>
      </c>
      <c r="J93" s="26" t="s">
        <v>79</v>
      </c>
      <c r="K93" s="27" t="s">
        <v>1212</v>
      </c>
      <c r="L93" s="28" t="s">
        <v>189</v>
      </c>
      <c r="M93" s="40" t="s">
        <v>0</v>
      </c>
      <c r="N93" s="196" t="s">
        <v>1228</v>
      </c>
      <c r="O93" s="40" t="s">
        <v>0</v>
      </c>
      <c r="P93" s="39">
        <v>42776</v>
      </c>
      <c r="Q93" s="196" t="s">
        <v>1298</v>
      </c>
      <c r="R93" s="40"/>
      <c r="S93" s="40" t="s">
        <v>0</v>
      </c>
      <c r="T93" s="41">
        <v>42794</v>
      </c>
      <c r="U93" s="214" t="s">
        <v>1298</v>
      </c>
      <c r="V93" s="40"/>
      <c r="W93" s="40"/>
      <c r="X93" s="41"/>
      <c r="Y93" s="40"/>
      <c r="Z93" s="40"/>
      <c r="AA93" s="40"/>
      <c r="AB93" s="41"/>
      <c r="AC93" s="40"/>
      <c r="AD93" s="40"/>
      <c r="AE93" s="40"/>
      <c r="AF93" s="41"/>
      <c r="AG93" s="40"/>
      <c r="AH93" s="40"/>
      <c r="AI93" s="196"/>
      <c r="AJ93" s="140" t="str">
        <f t="shared" si="10"/>
        <v/>
      </c>
      <c r="AK93" s="15"/>
      <c r="AL93" s="15"/>
      <c r="AM93" s="136"/>
      <c r="AN93" s="137" t="str">
        <f t="shared" si="11"/>
        <v/>
      </c>
      <c r="AO93" s="139"/>
      <c r="AP93" s="139"/>
      <c r="AQ93" s="139"/>
      <c r="AR93" s="139"/>
    </row>
    <row r="94" spans="2:44" s="43" customFormat="1" ht="75">
      <c r="B94" s="45" t="s">
        <v>237</v>
      </c>
      <c r="C94" s="199"/>
      <c r="D94" s="40" t="s">
        <v>236</v>
      </c>
      <c r="E94" s="199" t="s">
        <v>235</v>
      </c>
      <c r="F94" s="32" t="s">
        <v>1</v>
      </c>
      <c r="G94" s="32" t="s">
        <v>1307</v>
      </c>
      <c r="H94" s="32" t="s">
        <v>1310</v>
      </c>
      <c r="I94" s="44" t="s">
        <v>190</v>
      </c>
      <c r="J94" s="26" t="s">
        <v>79</v>
      </c>
      <c r="K94" s="27" t="s">
        <v>1212</v>
      </c>
      <c r="L94" s="28" t="s">
        <v>189</v>
      </c>
      <c r="M94" s="40" t="s">
        <v>0</v>
      </c>
      <c r="N94" s="196" t="s">
        <v>1228</v>
      </c>
      <c r="O94" s="40" t="s">
        <v>0</v>
      </c>
      <c r="P94" s="39">
        <v>42776</v>
      </c>
      <c r="Q94" s="196" t="s">
        <v>1298</v>
      </c>
      <c r="R94" s="40"/>
      <c r="S94" s="40" t="s">
        <v>0</v>
      </c>
      <c r="T94" s="41">
        <v>42794</v>
      </c>
      <c r="U94" s="214" t="s">
        <v>1298</v>
      </c>
      <c r="V94" s="40"/>
      <c r="W94" s="40"/>
      <c r="X94" s="41"/>
      <c r="Y94" s="40"/>
      <c r="Z94" s="40"/>
      <c r="AA94" s="40"/>
      <c r="AB94" s="41"/>
      <c r="AC94" s="40"/>
      <c r="AD94" s="40"/>
      <c r="AE94" s="40"/>
      <c r="AF94" s="41"/>
      <c r="AG94" s="40"/>
      <c r="AH94" s="40"/>
      <c r="AI94" s="196"/>
      <c r="AJ94" s="140" t="str">
        <f t="shared" si="10"/>
        <v/>
      </c>
      <c r="AK94" s="15"/>
      <c r="AL94" s="15"/>
      <c r="AM94" s="136"/>
      <c r="AN94" s="137" t="str">
        <f t="shared" si="11"/>
        <v/>
      </c>
      <c r="AO94" s="139"/>
      <c r="AP94" s="139"/>
      <c r="AQ94" s="139"/>
      <c r="AR94" s="139"/>
    </row>
    <row r="95" spans="2:44" s="43" customFormat="1" ht="60">
      <c r="B95" s="44" t="s">
        <v>234</v>
      </c>
      <c r="C95" s="199" t="s">
        <v>233</v>
      </c>
      <c r="D95" s="199" t="s">
        <v>1108</v>
      </c>
      <c r="E95" s="40" t="s">
        <v>232</v>
      </c>
      <c r="F95" s="32" t="s">
        <v>1</v>
      </c>
      <c r="G95" s="32" t="s">
        <v>1307</v>
      </c>
      <c r="H95" s="32" t="s">
        <v>1310</v>
      </c>
      <c r="I95" s="44" t="s">
        <v>190</v>
      </c>
      <c r="J95" s="26" t="s">
        <v>79</v>
      </c>
      <c r="K95" s="27" t="s">
        <v>1212</v>
      </c>
      <c r="L95" s="28" t="s">
        <v>189</v>
      </c>
      <c r="M95" s="40" t="s">
        <v>0</v>
      </c>
      <c r="N95" s="196" t="s">
        <v>1228</v>
      </c>
      <c r="O95" s="40" t="s">
        <v>0</v>
      </c>
      <c r="P95" s="39">
        <v>42776</v>
      </c>
      <c r="Q95" s="196" t="s">
        <v>1298</v>
      </c>
      <c r="R95" s="40"/>
      <c r="S95" s="40" t="s">
        <v>0</v>
      </c>
      <c r="T95" s="41">
        <v>42794</v>
      </c>
      <c r="U95" s="214" t="s">
        <v>1298</v>
      </c>
      <c r="V95" s="40"/>
      <c r="W95" s="40"/>
      <c r="X95" s="41"/>
      <c r="Y95" s="40"/>
      <c r="Z95" s="40"/>
      <c r="AA95" s="40"/>
      <c r="AB95" s="41"/>
      <c r="AC95" s="40"/>
      <c r="AD95" s="40"/>
      <c r="AE95" s="40"/>
      <c r="AF95" s="41"/>
      <c r="AG95" s="40"/>
      <c r="AH95" s="40"/>
      <c r="AI95" s="196"/>
      <c r="AJ95" s="140" t="str">
        <f t="shared" si="10"/>
        <v/>
      </c>
      <c r="AK95" s="15"/>
      <c r="AL95" s="15"/>
      <c r="AM95" s="136"/>
      <c r="AN95" s="137" t="str">
        <f t="shared" si="11"/>
        <v/>
      </c>
      <c r="AO95" s="139"/>
      <c r="AP95" s="139"/>
      <c r="AQ95" s="139"/>
      <c r="AR95" s="139"/>
    </row>
    <row r="96" spans="2:44" s="43" customFormat="1" ht="60">
      <c r="B96" s="45" t="s">
        <v>231</v>
      </c>
      <c r="C96" s="199"/>
      <c r="D96" s="199" t="s">
        <v>230</v>
      </c>
      <c r="E96" s="40" t="s">
        <v>229</v>
      </c>
      <c r="F96" s="32" t="s">
        <v>1</v>
      </c>
      <c r="G96" s="32" t="s">
        <v>1307</v>
      </c>
      <c r="H96" s="32" t="s">
        <v>1310</v>
      </c>
      <c r="I96" s="44" t="s">
        <v>190</v>
      </c>
      <c r="J96" s="26" t="s">
        <v>79</v>
      </c>
      <c r="K96" s="27" t="s">
        <v>1212</v>
      </c>
      <c r="L96" s="28" t="s">
        <v>189</v>
      </c>
      <c r="M96" s="40" t="s">
        <v>0</v>
      </c>
      <c r="N96" s="196" t="s">
        <v>1228</v>
      </c>
      <c r="O96" s="40" t="s">
        <v>0</v>
      </c>
      <c r="P96" s="39">
        <v>42776</v>
      </c>
      <c r="Q96" s="196" t="s">
        <v>1298</v>
      </c>
      <c r="R96" s="40"/>
      <c r="S96" s="40" t="s">
        <v>0</v>
      </c>
      <c r="T96" s="41">
        <v>42794</v>
      </c>
      <c r="U96" s="214" t="s">
        <v>1298</v>
      </c>
      <c r="V96" s="40"/>
      <c r="W96" s="40"/>
      <c r="X96" s="41"/>
      <c r="Y96" s="40"/>
      <c r="Z96" s="40"/>
      <c r="AA96" s="40"/>
      <c r="AB96" s="41"/>
      <c r="AC96" s="40"/>
      <c r="AD96" s="40"/>
      <c r="AE96" s="40"/>
      <c r="AF96" s="41"/>
      <c r="AG96" s="40"/>
      <c r="AH96" s="40"/>
      <c r="AI96" s="196"/>
      <c r="AJ96" s="140" t="str">
        <f t="shared" si="10"/>
        <v/>
      </c>
      <c r="AK96" s="15"/>
      <c r="AL96" s="15"/>
      <c r="AM96" s="136"/>
      <c r="AN96" s="137" t="str">
        <f t="shared" si="11"/>
        <v/>
      </c>
      <c r="AO96" s="139"/>
      <c r="AP96" s="139"/>
      <c r="AQ96" s="139"/>
      <c r="AR96" s="139"/>
    </row>
    <row r="97" spans="2:44" s="43" customFormat="1" ht="60">
      <c r="B97" s="45" t="s">
        <v>228</v>
      </c>
      <c r="C97" s="199"/>
      <c r="D97" s="199" t="s">
        <v>227</v>
      </c>
      <c r="E97" s="40" t="s">
        <v>226</v>
      </c>
      <c r="F97" s="32" t="s">
        <v>1</v>
      </c>
      <c r="G97" s="32" t="s">
        <v>1307</v>
      </c>
      <c r="H97" s="32" t="s">
        <v>1310</v>
      </c>
      <c r="I97" s="44" t="s">
        <v>190</v>
      </c>
      <c r="J97" s="26" t="s">
        <v>79</v>
      </c>
      <c r="K97" s="27" t="s">
        <v>1212</v>
      </c>
      <c r="L97" s="28" t="s">
        <v>189</v>
      </c>
      <c r="M97" s="40" t="s">
        <v>0</v>
      </c>
      <c r="N97" s="196" t="s">
        <v>1228</v>
      </c>
      <c r="O97" s="40" t="s">
        <v>0</v>
      </c>
      <c r="P97" s="39">
        <v>42776</v>
      </c>
      <c r="Q97" s="196" t="s">
        <v>1298</v>
      </c>
      <c r="R97" s="40"/>
      <c r="S97" s="40" t="s">
        <v>0</v>
      </c>
      <c r="T97" s="41">
        <v>42794</v>
      </c>
      <c r="U97" s="214" t="s">
        <v>1298</v>
      </c>
      <c r="V97" s="40"/>
      <c r="W97" s="40"/>
      <c r="X97" s="41"/>
      <c r="Y97" s="40"/>
      <c r="Z97" s="40"/>
      <c r="AA97" s="40"/>
      <c r="AB97" s="41"/>
      <c r="AC97" s="40"/>
      <c r="AD97" s="40"/>
      <c r="AE97" s="40"/>
      <c r="AF97" s="41"/>
      <c r="AG97" s="40"/>
      <c r="AH97" s="40"/>
      <c r="AI97" s="196"/>
      <c r="AJ97" s="140" t="str">
        <f t="shared" si="10"/>
        <v/>
      </c>
      <c r="AK97" s="15"/>
      <c r="AL97" s="15"/>
      <c r="AM97" s="136"/>
      <c r="AN97" s="137" t="str">
        <f t="shared" si="11"/>
        <v/>
      </c>
      <c r="AO97" s="139"/>
      <c r="AP97" s="139"/>
      <c r="AQ97" s="139"/>
      <c r="AR97" s="139"/>
    </row>
    <row r="98" spans="2:44" s="43" customFormat="1" ht="45">
      <c r="B98" s="45" t="s">
        <v>225</v>
      </c>
      <c r="C98" s="199"/>
      <c r="D98" s="199" t="s">
        <v>224</v>
      </c>
      <c r="E98" s="40" t="s">
        <v>223</v>
      </c>
      <c r="F98" s="32" t="s">
        <v>1</v>
      </c>
      <c r="G98" s="32" t="s">
        <v>1307</v>
      </c>
      <c r="H98" s="32" t="s">
        <v>1310</v>
      </c>
      <c r="I98" s="44" t="s">
        <v>190</v>
      </c>
      <c r="J98" s="26" t="s">
        <v>79</v>
      </c>
      <c r="K98" s="27" t="s">
        <v>1212</v>
      </c>
      <c r="L98" s="28" t="s">
        <v>189</v>
      </c>
      <c r="M98" s="40" t="s">
        <v>0</v>
      </c>
      <c r="N98" s="196" t="s">
        <v>1228</v>
      </c>
      <c r="O98" s="40" t="s">
        <v>0</v>
      </c>
      <c r="P98" s="39">
        <v>42776</v>
      </c>
      <c r="Q98" s="196" t="s">
        <v>1298</v>
      </c>
      <c r="R98" s="40"/>
      <c r="S98" s="40" t="s">
        <v>0</v>
      </c>
      <c r="T98" s="41">
        <v>42794</v>
      </c>
      <c r="U98" s="214" t="s">
        <v>1298</v>
      </c>
      <c r="V98" s="40"/>
      <c r="W98" s="40"/>
      <c r="X98" s="41"/>
      <c r="Y98" s="40"/>
      <c r="Z98" s="40"/>
      <c r="AA98" s="40"/>
      <c r="AB98" s="41"/>
      <c r="AC98" s="40"/>
      <c r="AD98" s="40"/>
      <c r="AE98" s="40"/>
      <c r="AF98" s="41"/>
      <c r="AG98" s="40"/>
      <c r="AH98" s="40"/>
      <c r="AI98" s="196"/>
      <c r="AJ98" s="140" t="str">
        <f t="shared" si="10"/>
        <v/>
      </c>
      <c r="AK98" s="15"/>
      <c r="AL98" s="15"/>
      <c r="AM98" s="136"/>
      <c r="AN98" s="137" t="str">
        <f t="shared" si="11"/>
        <v/>
      </c>
      <c r="AO98" s="139"/>
      <c r="AP98" s="139"/>
      <c r="AQ98" s="139"/>
      <c r="AR98" s="139"/>
    </row>
    <row r="99" spans="2:44" s="43" customFormat="1" ht="225">
      <c r="B99" s="44" t="s">
        <v>222</v>
      </c>
      <c r="C99" s="40" t="s">
        <v>221</v>
      </c>
      <c r="D99" s="40" t="s">
        <v>220</v>
      </c>
      <c r="E99" s="47" t="s">
        <v>1109</v>
      </c>
      <c r="F99" s="32" t="s">
        <v>1</v>
      </c>
      <c r="G99" s="32" t="s">
        <v>1307</v>
      </c>
      <c r="H99" s="32" t="s">
        <v>1310</v>
      </c>
      <c r="I99" s="44" t="s">
        <v>217</v>
      </c>
      <c r="J99" s="26" t="s">
        <v>79</v>
      </c>
      <c r="K99" s="27" t="s">
        <v>1212</v>
      </c>
      <c r="L99" s="28" t="s">
        <v>189</v>
      </c>
      <c r="M99" s="40" t="s">
        <v>0</v>
      </c>
      <c r="N99" s="196" t="s">
        <v>1228</v>
      </c>
      <c r="O99" s="40" t="s">
        <v>0</v>
      </c>
      <c r="P99" s="39">
        <v>42776</v>
      </c>
      <c r="Q99" s="196" t="s">
        <v>1298</v>
      </c>
      <c r="R99" s="40"/>
      <c r="S99" s="40" t="s">
        <v>0</v>
      </c>
      <c r="T99" s="41">
        <v>42794</v>
      </c>
      <c r="U99" s="214" t="s">
        <v>1298</v>
      </c>
      <c r="V99" s="40"/>
      <c r="W99" s="40"/>
      <c r="X99" s="41"/>
      <c r="Y99" s="40"/>
      <c r="Z99" s="40"/>
      <c r="AA99" s="40"/>
      <c r="AB99" s="41"/>
      <c r="AC99" s="40"/>
      <c r="AD99" s="40"/>
      <c r="AE99" s="40"/>
      <c r="AF99" s="41"/>
      <c r="AG99" s="40"/>
      <c r="AH99" s="40"/>
      <c r="AI99" s="196"/>
      <c r="AJ99" s="140" t="str">
        <f t="shared" si="10"/>
        <v/>
      </c>
      <c r="AK99" s="15"/>
      <c r="AL99" s="15"/>
      <c r="AM99" s="136"/>
      <c r="AN99" s="137" t="str">
        <f t="shared" si="11"/>
        <v/>
      </c>
      <c r="AO99" s="139"/>
      <c r="AP99" s="139"/>
      <c r="AQ99" s="139"/>
      <c r="AR99" s="139"/>
    </row>
    <row r="100" spans="2:44" s="43" customFormat="1" ht="255">
      <c r="B100" s="45" t="s">
        <v>219</v>
      </c>
      <c r="C100" s="40"/>
      <c r="D100" s="40" t="s">
        <v>218</v>
      </c>
      <c r="E100" s="47" t="s">
        <v>1110</v>
      </c>
      <c r="F100" s="32" t="s">
        <v>1</v>
      </c>
      <c r="G100" s="32" t="s">
        <v>1307</v>
      </c>
      <c r="H100" s="32" t="s">
        <v>1310</v>
      </c>
      <c r="I100" s="44" t="s">
        <v>217</v>
      </c>
      <c r="J100" s="26" t="s">
        <v>79</v>
      </c>
      <c r="K100" s="27" t="s">
        <v>1212</v>
      </c>
      <c r="L100" s="28" t="s">
        <v>189</v>
      </c>
      <c r="M100" s="40" t="s">
        <v>0</v>
      </c>
      <c r="N100" s="196" t="s">
        <v>1228</v>
      </c>
      <c r="O100" s="40" t="s">
        <v>0</v>
      </c>
      <c r="P100" s="39">
        <v>42776</v>
      </c>
      <c r="Q100" s="196" t="s">
        <v>1298</v>
      </c>
      <c r="R100" s="40"/>
      <c r="S100" s="40" t="s">
        <v>0</v>
      </c>
      <c r="T100" s="41">
        <v>42794</v>
      </c>
      <c r="U100" s="214" t="s">
        <v>1298</v>
      </c>
      <c r="V100" s="40"/>
      <c r="W100" s="40"/>
      <c r="X100" s="41"/>
      <c r="Y100" s="40"/>
      <c r="Z100" s="40"/>
      <c r="AA100" s="40"/>
      <c r="AB100" s="41"/>
      <c r="AC100" s="40"/>
      <c r="AD100" s="40"/>
      <c r="AE100" s="40"/>
      <c r="AF100" s="41"/>
      <c r="AG100" s="40"/>
      <c r="AH100" s="40"/>
      <c r="AI100" s="196"/>
      <c r="AJ100" s="140" t="str">
        <f t="shared" si="10"/>
        <v/>
      </c>
      <c r="AK100" s="15"/>
      <c r="AL100" s="15"/>
      <c r="AM100" s="136"/>
      <c r="AN100" s="137" t="str">
        <f t="shared" si="11"/>
        <v/>
      </c>
      <c r="AO100" s="139"/>
      <c r="AP100" s="139"/>
      <c r="AQ100" s="139"/>
      <c r="AR100" s="139"/>
    </row>
    <row r="101" spans="2:44" s="43" customFormat="1" ht="90">
      <c r="B101" s="45" t="s">
        <v>216</v>
      </c>
      <c r="C101" s="40"/>
      <c r="D101" s="40" t="s">
        <v>215</v>
      </c>
      <c r="E101" s="199" t="s">
        <v>200</v>
      </c>
      <c r="F101" s="32" t="s">
        <v>1</v>
      </c>
      <c r="G101" s="32" t="s">
        <v>1307</v>
      </c>
      <c r="H101" s="32" t="s">
        <v>1310</v>
      </c>
      <c r="I101" s="44" t="s">
        <v>203</v>
      </c>
      <c r="J101" s="26" t="s">
        <v>79</v>
      </c>
      <c r="K101" s="27" t="s">
        <v>1212</v>
      </c>
      <c r="L101" s="28" t="s">
        <v>189</v>
      </c>
      <c r="M101" s="40" t="s">
        <v>0</v>
      </c>
      <c r="N101" s="196" t="s">
        <v>1228</v>
      </c>
      <c r="O101" s="40" t="s">
        <v>0</v>
      </c>
      <c r="P101" s="39">
        <v>42776</v>
      </c>
      <c r="Q101" s="196" t="s">
        <v>1298</v>
      </c>
      <c r="R101" s="40"/>
      <c r="S101" s="40" t="s">
        <v>0</v>
      </c>
      <c r="T101" s="41">
        <v>42794</v>
      </c>
      <c r="U101" s="214" t="s">
        <v>1298</v>
      </c>
      <c r="V101" s="40"/>
      <c r="W101" s="40"/>
      <c r="X101" s="41"/>
      <c r="Y101" s="40"/>
      <c r="Z101" s="40"/>
      <c r="AA101" s="40"/>
      <c r="AB101" s="41"/>
      <c r="AC101" s="40"/>
      <c r="AD101" s="40"/>
      <c r="AE101" s="40"/>
      <c r="AF101" s="41"/>
      <c r="AG101" s="40"/>
      <c r="AH101" s="40"/>
      <c r="AI101" s="196"/>
      <c r="AJ101" s="140" t="str">
        <f t="shared" si="10"/>
        <v/>
      </c>
      <c r="AK101" s="15"/>
      <c r="AL101" s="15"/>
      <c r="AM101" s="136"/>
      <c r="AN101" s="137" t="str">
        <f t="shared" si="11"/>
        <v/>
      </c>
      <c r="AO101" s="139"/>
      <c r="AP101" s="139"/>
      <c r="AQ101" s="139"/>
      <c r="AR101" s="139"/>
    </row>
    <row r="102" spans="2:44" s="43" customFormat="1" ht="120">
      <c r="B102" s="45" t="s">
        <v>214</v>
      </c>
      <c r="C102" s="40"/>
      <c r="D102" s="40" t="s">
        <v>213</v>
      </c>
      <c r="E102" s="199" t="s">
        <v>200</v>
      </c>
      <c r="F102" s="32" t="s">
        <v>1</v>
      </c>
      <c r="G102" s="32" t="s">
        <v>1307</v>
      </c>
      <c r="H102" s="32" t="s">
        <v>1310</v>
      </c>
      <c r="I102" s="44" t="s">
        <v>190</v>
      </c>
      <c r="J102" s="26" t="s">
        <v>79</v>
      </c>
      <c r="K102" s="27" t="s">
        <v>1212</v>
      </c>
      <c r="L102" s="28" t="s">
        <v>189</v>
      </c>
      <c r="M102" s="40" t="s">
        <v>0</v>
      </c>
      <c r="N102" s="196" t="s">
        <v>1228</v>
      </c>
      <c r="O102" s="40" t="s">
        <v>0</v>
      </c>
      <c r="P102" s="39">
        <v>42776</v>
      </c>
      <c r="Q102" s="196" t="s">
        <v>1298</v>
      </c>
      <c r="R102" s="40"/>
      <c r="S102" s="40" t="s">
        <v>0</v>
      </c>
      <c r="T102" s="41">
        <v>42794</v>
      </c>
      <c r="U102" s="214" t="s">
        <v>1298</v>
      </c>
      <c r="V102" s="40"/>
      <c r="W102" s="40"/>
      <c r="X102" s="41"/>
      <c r="Y102" s="40"/>
      <c r="Z102" s="40"/>
      <c r="AA102" s="40"/>
      <c r="AB102" s="41"/>
      <c r="AC102" s="40"/>
      <c r="AD102" s="40"/>
      <c r="AE102" s="40"/>
      <c r="AF102" s="41"/>
      <c r="AG102" s="40"/>
      <c r="AH102" s="40"/>
      <c r="AI102" s="196"/>
      <c r="AJ102" s="140" t="str">
        <f t="shared" si="10"/>
        <v/>
      </c>
      <c r="AK102" s="15"/>
      <c r="AL102" s="15"/>
      <c r="AM102" s="136"/>
      <c r="AN102" s="137" t="str">
        <f t="shared" si="11"/>
        <v/>
      </c>
      <c r="AO102" s="139"/>
      <c r="AP102" s="139"/>
      <c r="AQ102" s="139"/>
      <c r="AR102" s="139"/>
    </row>
    <row r="103" spans="2:44" s="43" customFormat="1" ht="150">
      <c r="B103" s="45" t="s">
        <v>212</v>
      </c>
      <c r="C103" s="40"/>
      <c r="D103" s="40" t="s">
        <v>1111</v>
      </c>
      <c r="E103" s="47" t="s">
        <v>211</v>
      </c>
      <c r="F103" s="32" t="s">
        <v>1</v>
      </c>
      <c r="G103" s="32" t="s">
        <v>1307</v>
      </c>
      <c r="H103" s="32" t="s">
        <v>1310</v>
      </c>
      <c r="I103" s="44" t="s">
        <v>190</v>
      </c>
      <c r="J103" s="26" t="s">
        <v>79</v>
      </c>
      <c r="K103" s="27" t="s">
        <v>1212</v>
      </c>
      <c r="L103" s="28" t="s">
        <v>189</v>
      </c>
      <c r="M103" s="40" t="s">
        <v>0</v>
      </c>
      <c r="N103" s="196" t="s">
        <v>1228</v>
      </c>
      <c r="O103" s="40" t="s">
        <v>0</v>
      </c>
      <c r="P103" s="39">
        <v>42776</v>
      </c>
      <c r="Q103" s="196" t="s">
        <v>1298</v>
      </c>
      <c r="R103" s="40"/>
      <c r="S103" s="40" t="s">
        <v>0</v>
      </c>
      <c r="T103" s="41">
        <v>42794</v>
      </c>
      <c r="U103" s="214" t="s">
        <v>1298</v>
      </c>
      <c r="V103" s="40"/>
      <c r="W103" s="40"/>
      <c r="X103" s="41"/>
      <c r="Y103" s="40"/>
      <c r="Z103" s="40"/>
      <c r="AA103" s="40"/>
      <c r="AB103" s="41"/>
      <c r="AC103" s="40"/>
      <c r="AD103" s="40"/>
      <c r="AE103" s="40"/>
      <c r="AF103" s="41"/>
      <c r="AG103" s="40"/>
      <c r="AH103" s="40"/>
      <c r="AI103" s="196"/>
      <c r="AJ103" s="140" t="str">
        <f t="shared" si="10"/>
        <v/>
      </c>
      <c r="AK103" s="15"/>
      <c r="AL103" s="15"/>
      <c r="AM103" s="136"/>
      <c r="AN103" s="137" t="str">
        <f t="shared" si="11"/>
        <v/>
      </c>
      <c r="AO103" s="139"/>
      <c r="AP103" s="139"/>
      <c r="AQ103" s="139"/>
      <c r="AR103" s="139"/>
    </row>
    <row r="104" spans="2:44" s="43" customFormat="1" ht="195">
      <c r="B104" s="45" t="s">
        <v>210</v>
      </c>
      <c r="C104" s="40"/>
      <c r="D104" s="40" t="s">
        <v>209</v>
      </c>
      <c r="E104" s="199" t="s">
        <v>208</v>
      </c>
      <c r="F104" s="32" t="s">
        <v>1</v>
      </c>
      <c r="G104" s="32" t="s">
        <v>1307</v>
      </c>
      <c r="H104" s="32" t="s">
        <v>1310</v>
      </c>
      <c r="I104" s="44" t="s">
        <v>190</v>
      </c>
      <c r="J104" s="26" t="s">
        <v>79</v>
      </c>
      <c r="K104" s="27" t="s">
        <v>1212</v>
      </c>
      <c r="L104" s="28" t="s">
        <v>189</v>
      </c>
      <c r="M104" s="40" t="s">
        <v>0</v>
      </c>
      <c r="N104" s="196" t="s">
        <v>1228</v>
      </c>
      <c r="O104" s="40" t="s">
        <v>0</v>
      </c>
      <c r="P104" s="39">
        <v>42776</v>
      </c>
      <c r="Q104" s="196" t="s">
        <v>1298</v>
      </c>
      <c r="R104" s="40"/>
      <c r="S104" s="40" t="s">
        <v>0</v>
      </c>
      <c r="T104" s="41">
        <v>42794</v>
      </c>
      <c r="U104" s="214" t="s">
        <v>1298</v>
      </c>
      <c r="V104" s="40"/>
      <c r="W104" s="40"/>
      <c r="X104" s="41"/>
      <c r="Y104" s="40"/>
      <c r="Z104" s="40"/>
      <c r="AA104" s="40"/>
      <c r="AB104" s="41"/>
      <c r="AC104" s="40"/>
      <c r="AD104" s="40"/>
      <c r="AE104" s="40"/>
      <c r="AF104" s="41"/>
      <c r="AG104" s="40"/>
      <c r="AH104" s="40"/>
      <c r="AI104" s="196"/>
      <c r="AJ104" s="140" t="str">
        <f t="shared" si="10"/>
        <v/>
      </c>
      <c r="AK104" s="15"/>
      <c r="AL104" s="15"/>
      <c r="AM104" s="136"/>
      <c r="AN104" s="137" t="str">
        <f t="shared" si="11"/>
        <v/>
      </c>
      <c r="AO104" s="139"/>
      <c r="AP104" s="139"/>
      <c r="AQ104" s="139"/>
      <c r="AR104" s="139"/>
    </row>
    <row r="105" spans="2:44" s="43" customFormat="1" ht="255">
      <c r="B105" s="45" t="s">
        <v>207</v>
      </c>
      <c r="C105" s="40"/>
      <c r="D105" s="196" t="s">
        <v>206</v>
      </c>
      <c r="E105" s="48" t="s">
        <v>1112</v>
      </c>
      <c r="F105" s="32" t="s">
        <v>1</v>
      </c>
      <c r="G105" s="32" t="s">
        <v>1307</v>
      </c>
      <c r="H105" s="32" t="s">
        <v>1310</v>
      </c>
      <c r="I105" s="44" t="s">
        <v>190</v>
      </c>
      <c r="J105" s="26" t="s">
        <v>79</v>
      </c>
      <c r="K105" s="27" t="s">
        <v>1212</v>
      </c>
      <c r="L105" s="28" t="s">
        <v>189</v>
      </c>
      <c r="M105" s="40" t="s">
        <v>0</v>
      </c>
      <c r="N105" s="196" t="s">
        <v>1228</v>
      </c>
      <c r="O105" s="40" t="s">
        <v>0</v>
      </c>
      <c r="P105" s="39">
        <v>42776</v>
      </c>
      <c r="Q105" s="196" t="s">
        <v>1298</v>
      </c>
      <c r="R105" s="40"/>
      <c r="S105" s="40" t="s">
        <v>0</v>
      </c>
      <c r="T105" s="41">
        <v>42794</v>
      </c>
      <c r="U105" s="214" t="s">
        <v>1298</v>
      </c>
      <c r="V105" s="40"/>
      <c r="W105" s="40"/>
      <c r="X105" s="41"/>
      <c r="Y105" s="40"/>
      <c r="Z105" s="40"/>
      <c r="AA105" s="40"/>
      <c r="AB105" s="41"/>
      <c r="AC105" s="40"/>
      <c r="AD105" s="40"/>
      <c r="AE105" s="40"/>
      <c r="AF105" s="41"/>
      <c r="AG105" s="40"/>
      <c r="AH105" s="40"/>
      <c r="AI105" s="196"/>
      <c r="AJ105" s="140" t="str">
        <f t="shared" si="10"/>
        <v/>
      </c>
      <c r="AK105" s="15"/>
      <c r="AL105" s="15"/>
      <c r="AM105" s="136"/>
      <c r="AN105" s="137" t="str">
        <f t="shared" si="11"/>
        <v/>
      </c>
      <c r="AO105" s="139"/>
      <c r="AP105" s="139"/>
      <c r="AQ105" s="139"/>
      <c r="AR105" s="139"/>
    </row>
    <row r="106" spans="2:44" s="43" customFormat="1" ht="90">
      <c r="B106" s="45" t="s">
        <v>205</v>
      </c>
      <c r="C106" s="40"/>
      <c r="D106" s="40" t="s">
        <v>204</v>
      </c>
      <c r="E106" s="199" t="s">
        <v>200</v>
      </c>
      <c r="F106" s="32" t="s">
        <v>1</v>
      </c>
      <c r="G106" s="32" t="s">
        <v>1307</v>
      </c>
      <c r="H106" s="32" t="s">
        <v>1310</v>
      </c>
      <c r="I106" s="44" t="s">
        <v>203</v>
      </c>
      <c r="J106" s="26" t="s">
        <v>79</v>
      </c>
      <c r="K106" s="27" t="s">
        <v>1212</v>
      </c>
      <c r="L106" s="28" t="s">
        <v>189</v>
      </c>
      <c r="M106" s="40" t="s">
        <v>0</v>
      </c>
      <c r="N106" s="196" t="s">
        <v>1228</v>
      </c>
      <c r="O106" s="40" t="s">
        <v>0</v>
      </c>
      <c r="P106" s="39">
        <v>42776</v>
      </c>
      <c r="Q106" s="196" t="s">
        <v>1298</v>
      </c>
      <c r="R106" s="40"/>
      <c r="S106" s="40" t="s">
        <v>0</v>
      </c>
      <c r="T106" s="41">
        <v>42794</v>
      </c>
      <c r="U106" s="214" t="s">
        <v>1298</v>
      </c>
      <c r="V106" s="40"/>
      <c r="W106" s="40"/>
      <c r="X106" s="41"/>
      <c r="Y106" s="40"/>
      <c r="Z106" s="40"/>
      <c r="AA106" s="40"/>
      <c r="AB106" s="41"/>
      <c r="AC106" s="40"/>
      <c r="AD106" s="40"/>
      <c r="AE106" s="40"/>
      <c r="AF106" s="41"/>
      <c r="AG106" s="40"/>
      <c r="AH106" s="40"/>
      <c r="AI106" s="196"/>
      <c r="AJ106" s="140" t="str">
        <f t="shared" si="10"/>
        <v/>
      </c>
      <c r="AK106" s="15"/>
      <c r="AL106" s="15"/>
      <c r="AM106" s="136"/>
      <c r="AN106" s="137" t="str">
        <f t="shared" si="11"/>
        <v/>
      </c>
      <c r="AO106" s="139"/>
      <c r="AP106" s="139"/>
      <c r="AQ106" s="139"/>
      <c r="AR106" s="139"/>
    </row>
    <row r="107" spans="2:44" s="43" customFormat="1" ht="120">
      <c r="B107" s="45" t="s">
        <v>202</v>
      </c>
      <c r="C107" s="40"/>
      <c r="D107" s="40" t="s">
        <v>201</v>
      </c>
      <c r="E107" s="199" t="s">
        <v>200</v>
      </c>
      <c r="F107" s="32" t="s">
        <v>1</v>
      </c>
      <c r="G107" s="32" t="s">
        <v>1307</v>
      </c>
      <c r="H107" s="32" t="s">
        <v>1310</v>
      </c>
      <c r="I107" s="44" t="s">
        <v>190</v>
      </c>
      <c r="J107" s="26" t="s">
        <v>79</v>
      </c>
      <c r="K107" s="27" t="s">
        <v>1212</v>
      </c>
      <c r="L107" s="28" t="s">
        <v>189</v>
      </c>
      <c r="M107" s="40" t="s">
        <v>0</v>
      </c>
      <c r="N107" s="196" t="s">
        <v>1228</v>
      </c>
      <c r="O107" s="40" t="s">
        <v>0</v>
      </c>
      <c r="P107" s="39">
        <v>42776</v>
      </c>
      <c r="Q107" s="196" t="s">
        <v>1298</v>
      </c>
      <c r="R107" s="40"/>
      <c r="S107" s="40" t="s">
        <v>0</v>
      </c>
      <c r="T107" s="41">
        <v>42794</v>
      </c>
      <c r="U107" s="214" t="s">
        <v>1298</v>
      </c>
      <c r="V107" s="40"/>
      <c r="W107" s="40"/>
      <c r="X107" s="41"/>
      <c r="Y107" s="40"/>
      <c r="Z107" s="40"/>
      <c r="AA107" s="40"/>
      <c r="AB107" s="41"/>
      <c r="AC107" s="40"/>
      <c r="AD107" s="40"/>
      <c r="AE107" s="40"/>
      <c r="AF107" s="41"/>
      <c r="AG107" s="40"/>
      <c r="AH107" s="40"/>
      <c r="AI107" s="196"/>
      <c r="AJ107" s="140" t="str">
        <f t="shared" si="10"/>
        <v/>
      </c>
      <c r="AK107" s="15"/>
      <c r="AL107" s="15"/>
      <c r="AM107" s="136"/>
      <c r="AN107" s="137" t="str">
        <f t="shared" si="11"/>
        <v/>
      </c>
      <c r="AO107" s="139"/>
      <c r="AP107" s="139"/>
      <c r="AQ107" s="139"/>
      <c r="AR107" s="139"/>
    </row>
    <row r="108" spans="2:44" s="43" customFormat="1" ht="90">
      <c r="B108" s="45" t="s">
        <v>199</v>
      </c>
      <c r="C108" s="40"/>
      <c r="D108" s="40" t="s">
        <v>198</v>
      </c>
      <c r="E108" s="199" t="s">
        <v>197</v>
      </c>
      <c r="F108" s="32" t="s">
        <v>1</v>
      </c>
      <c r="G108" s="32" t="s">
        <v>1307</v>
      </c>
      <c r="H108" s="32" t="s">
        <v>1310</v>
      </c>
      <c r="I108" s="44" t="s">
        <v>190</v>
      </c>
      <c r="J108" s="26" t="s">
        <v>79</v>
      </c>
      <c r="K108" s="27" t="s">
        <v>1212</v>
      </c>
      <c r="L108" s="28" t="s">
        <v>189</v>
      </c>
      <c r="M108" s="40" t="s">
        <v>0</v>
      </c>
      <c r="N108" s="196" t="s">
        <v>1228</v>
      </c>
      <c r="O108" s="40" t="s">
        <v>0</v>
      </c>
      <c r="P108" s="39">
        <v>42776</v>
      </c>
      <c r="Q108" s="196" t="s">
        <v>1298</v>
      </c>
      <c r="R108" s="40"/>
      <c r="S108" s="40" t="s">
        <v>0</v>
      </c>
      <c r="T108" s="41">
        <v>42794</v>
      </c>
      <c r="U108" s="214" t="s">
        <v>1298</v>
      </c>
      <c r="V108" s="40"/>
      <c r="W108" s="40"/>
      <c r="X108" s="41"/>
      <c r="Y108" s="40"/>
      <c r="Z108" s="40"/>
      <c r="AA108" s="40"/>
      <c r="AB108" s="41"/>
      <c r="AC108" s="40"/>
      <c r="AD108" s="40"/>
      <c r="AE108" s="40"/>
      <c r="AF108" s="41"/>
      <c r="AG108" s="40"/>
      <c r="AH108" s="40"/>
      <c r="AI108" s="196"/>
      <c r="AJ108" s="140" t="str">
        <f t="shared" si="10"/>
        <v/>
      </c>
      <c r="AK108" s="15"/>
      <c r="AL108" s="15"/>
      <c r="AM108" s="136"/>
      <c r="AN108" s="137" t="str">
        <f t="shared" si="11"/>
        <v/>
      </c>
      <c r="AO108" s="139"/>
      <c r="AP108" s="139"/>
      <c r="AQ108" s="139"/>
      <c r="AR108" s="139"/>
    </row>
    <row r="109" spans="2:44" s="43" customFormat="1" ht="180">
      <c r="B109" s="45" t="s">
        <v>196</v>
      </c>
      <c r="C109" s="40"/>
      <c r="D109" s="40" t="s">
        <v>195</v>
      </c>
      <c r="E109" s="199" t="s">
        <v>194</v>
      </c>
      <c r="F109" s="32" t="s">
        <v>1</v>
      </c>
      <c r="G109" s="32" t="s">
        <v>1307</v>
      </c>
      <c r="H109" s="32" t="s">
        <v>1310</v>
      </c>
      <c r="I109" s="44" t="s">
        <v>190</v>
      </c>
      <c r="J109" s="26" t="s">
        <v>79</v>
      </c>
      <c r="K109" s="27" t="s">
        <v>1212</v>
      </c>
      <c r="L109" s="28" t="s">
        <v>189</v>
      </c>
      <c r="M109" s="40" t="s">
        <v>0</v>
      </c>
      <c r="N109" s="196" t="s">
        <v>1228</v>
      </c>
      <c r="O109" s="40" t="s">
        <v>0</v>
      </c>
      <c r="P109" s="39">
        <v>42776</v>
      </c>
      <c r="Q109" s="196" t="s">
        <v>1298</v>
      </c>
      <c r="R109" s="40"/>
      <c r="S109" s="40" t="s">
        <v>0</v>
      </c>
      <c r="T109" s="41">
        <v>42794</v>
      </c>
      <c r="U109" s="214" t="s">
        <v>1298</v>
      </c>
      <c r="V109" s="40"/>
      <c r="W109" s="40"/>
      <c r="X109" s="41"/>
      <c r="Y109" s="40"/>
      <c r="Z109" s="40"/>
      <c r="AA109" s="40"/>
      <c r="AB109" s="41"/>
      <c r="AC109" s="40"/>
      <c r="AD109" s="40"/>
      <c r="AE109" s="40"/>
      <c r="AF109" s="41"/>
      <c r="AG109" s="40"/>
      <c r="AH109" s="40"/>
      <c r="AI109" s="196"/>
      <c r="AJ109" s="140" t="str">
        <f t="shared" si="10"/>
        <v/>
      </c>
      <c r="AK109" s="15"/>
      <c r="AL109" s="15"/>
      <c r="AM109" s="136"/>
      <c r="AN109" s="137" t="str">
        <f t="shared" si="11"/>
        <v/>
      </c>
      <c r="AO109" s="139"/>
      <c r="AP109" s="139"/>
      <c r="AQ109" s="139"/>
      <c r="AR109" s="139"/>
    </row>
    <row r="110" spans="2:44" s="43" customFormat="1" ht="75">
      <c r="B110" s="45" t="s">
        <v>193</v>
      </c>
      <c r="C110" s="40"/>
      <c r="D110" s="40" t="s">
        <v>192</v>
      </c>
      <c r="E110" s="199" t="s">
        <v>191</v>
      </c>
      <c r="F110" s="32" t="s">
        <v>1</v>
      </c>
      <c r="G110" s="32" t="s">
        <v>1307</v>
      </c>
      <c r="H110" s="32" t="s">
        <v>1310</v>
      </c>
      <c r="I110" s="44" t="s">
        <v>190</v>
      </c>
      <c r="J110" s="26" t="s">
        <v>79</v>
      </c>
      <c r="K110" s="27" t="s">
        <v>1212</v>
      </c>
      <c r="L110" s="28" t="s">
        <v>189</v>
      </c>
      <c r="M110" s="40" t="s">
        <v>0</v>
      </c>
      <c r="N110" s="196" t="s">
        <v>1228</v>
      </c>
      <c r="O110" s="40" t="s">
        <v>0</v>
      </c>
      <c r="P110" s="39">
        <v>42776</v>
      </c>
      <c r="Q110" s="196" t="s">
        <v>1298</v>
      </c>
      <c r="R110" s="40"/>
      <c r="S110" s="40" t="s">
        <v>0</v>
      </c>
      <c r="T110" s="41">
        <v>42794</v>
      </c>
      <c r="U110" s="214" t="s">
        <v>1298</v>
      </c>
      <c r="V110" s="40"/>
      <c r="W110" s="40"/>
      <c r="X110" s="41"/>
      <c r="Y110" s="40"/>
      <c r="Z110" s="40"/>
      <c r="AA110" s="40"/>
      <c r="AB110" s="41"/>
      <c r="AC110" s="40"/>
      <c r="AD110" s="40"/>
      <c r="AE110" s="40"/>
      <c r="AF110" s="41"/>
      <c r="AG110" s="40"/>
      <c r="AH110" s="40"/>
      <c r="AI110" s="196"/>
      <c r="AJ110" s="140" t="str">
        <f t="shared" si="10"/>
        <v/>
      </c>
      <c r="AK110" s="15"/>
      <c r="AL110" s="15"/>
      <c r="AM110" s="136"/>
      <c r="AN110" s="137" t="str">
        <f t="shared" si="11"/>
        <v/>
      </c>
      <c r="AO110" s="139"/>
      <c r="AP110" s="139"/>
      <c r="AQ110" s="139"/>
      <c r="AR110" s="139"/>
    </row>
    <row r="111" spans="2:44" ht="15">
      <c r="B111" s="22" t="s">
        <v>188</v>
      </c>
      <c r="C111" s="23"/>
      <c r="D111" s="23"/>
      <c r="E111" s="23"/>
      <c r="F111" s="24"/>
      <c r="G111" s="24"/>
      <c r="H111" s="24"/>
      <c r="I111" s="23"/>
      <c r="J111" s="23"/>
      <c r="K111" s="23"/>
      <c r="L111" s="24" t="s">
        <v>103</v>
      </c>
      <c r="M111" s="23"/>
      <c r="N111" s="23"/>
      <c r="O111" s="102"/>
      <c r="P111" s="104"/>
      <c r="Q111" s="102"/>
      <c r="R111" s="102"/>
      <c r="S111" s="102"/>
      <c r="T111" s="102"/>
      <c r="U111" s="102"/>
      <c r="V111" s="102"/>
      <c r="W111" s="102"/>
      <c r="X111" s="102"/>
      <c r="Y111" s="102"/>
      <c r="Z111" s="105"/>
      <c r="AA111" s="102"/>
      <c r="AB111" s="102"/>
      <c r="AC111" s="102"/>
      <c r="AD111" s="105"/>
      <c r="AE111" s="102"/>
      <c r="AF111" s="102"/>
      <c r="AG111" s="102"/>
      <c r="AH111" s="105"/>
      <c r="AI111" s="196"/>
      <c r="AJ111" s="140" t="str">
        <f t="shared" si="10"/>
        <v/>
      </c>
      <c r="AK111" s="15"/>
      <c r="AL111" s="15"/>
      <c r="AM111" s="136"/>
      <c r="AN111" s="137" t="str">
        <f t="shared" si="11"/>
        <v/>
      </c>
      <c r="AO111" s="139"/>
      <c r="AP111" s="139"/>
      <c r="AQ111" s="139"/>
      <c r="AR111" s="139"/>
    </row>
    <row r="112" spans="2:44" ht="60">
      <c r="B112" s="27" t="s">
        <v>187</v>
      </c>
      <c r="C112" s="25" t="s">
        <v>186</v>
      </c>
      <c r="D112" s="199" t="s">
        <v>185</v>
      </c>
      <c r="E112" s="199" t="s">
        <v>184</v>
      </c>
      <c r="F112" s="32" t="s">
        <v>1</v>
      </c>
      <c r="G112" s="32" t="s">
        <v>1307</v>
      </c>
      <c r="H112" s="32" t="s">
        <v>1310</v>
      </c>
      <c r="I112" s="27" t="s">
        <v>183</v>
      </c>
      <c r="J112" s="26" t="s">
        <v>79</v>
      </c>
      <c r="K112" s="27" t="s">
        <v>1212</v>
      </c>
      <c r="L112" s="28" t="s">
        <v>78</v>
      </c>
      <c r="M112" s="196" t="s">
        <v>0</v>
      </c>
      <c r="N112" s="196" t="s">
        <v>1229</v>
      </c>
      <c r="O112" s="40" t="s">
        <v>0</v>
      </c>
      <c r="P112" s="39">
        <v>42776</v>
      </c>
      <c r="Q112" s="28" t="s">
        <v>1299</v>
      </c>
      <c r="R112" s="40"/>
      <c r="S112" s="40" t="s">
        <v>0</v>
      </c>
      <c r="T112" s="41">
        <v>42794</v>
      </c>
      <c r="U112" s="28" t="s">
        <v>1299</v>
      </c>
      <c r="V112" s="40"/>
      <c r="W112" s="40"/>
      <c r="X112" s="41"/>
      <c r="Y112" s="40"/>
      <c r="Z112" s="40"/>
      <c r="AA112" s="40"/>
      <c r="AB112" s="41"/>
      <c r="AC112" s="40"/>
      <c r="AD112" s="40"/>
      <c r="AE112" s="40"/>
      <c r="AF112" s="41"/>
      <c r="AG112" s="40"/>
      <c r="AH112" s="40"/>
      <c r="AI112" s="196"/>
      <c r="AJ112" s="140" t="str">
        <f t="shared" si="10"/>
        <v/>
      </c>
      <c r="AK112" s="15"/>
      <c r="AL112" s="15"/>
      <c r="AM112" s="136"/>
      <c r="AN112" s="137" t="str">
        <f t="shared" si="11"/>
        <v/>
      </c>
      <c r="AO112" s="139"/>
      <c r="AP112" s="139"/>
      <c r="AQ112" s="139"/>
      <c r="AR112" s="139"/>
    </row>
    <row r="113" spans="2:44" s="13" customFormat="1" ht="15">
      <c r="B113" s="22" t="s">
        <v>182</v>
      </c>
      <c r="C113" s="23"/>
      <c r="D113" s="23"/>
      <c r="E113" s="23"/>
      <c r="F113" s="24"/>
      <c r="G113" s="24"/>
      <c r="H113" s="24"/>
      <c r="I113" s="23"/>
      <c r="J113" s="23"/>
      <c r="K113" s="23"/>
      <c r="L113" s="24" t="s">
        <v>103</v>
      </c>
      <c r="M113" s="23"/>
      <c r="N113" s="23"/>
      <c r="O113" s="102"/>
      <c r="P113" s="104"/>
      <c r="Q113" s="102"/>
      <c r="R113" s="102"/>
      <c r="S113" s="102"/>
      <c r="T113" s="102"/>
      <c r="U113" s="102"/>
      <c r="V113" s="102"/>
      <c r="W113" s="102"/>
      <c r="X113" s="102"/>
      <c r="Y113" s="102"/>
      <c r="Z113" s="105"/>
      <c r="AA113" s="102"/>
      <c r="AB113" s="102"/>
      <c r="AC113" s="102"/>
      <c r="AD113" s="105"/>
      <c r="AE113" s="102"/>
      <c r="AF113" s="102"/>
      <c r="AG113" s="102"/>
      <c r="AH113" s="105"/>
      <c r="AI113" s="196"/>
      <c r="AJ113" s="140" t="str">
        <f t="shared" si="10"/>
        <v/>
      </c>
      <c r="AK113" s="15"/>
      <c r="AL113" s="15"/>
      <c r="AM113" s="136"/>
      <c r="AN113" s="137" t="str">
        <f t="shared" si="11"/>
        <v/>
      </c>
      <c r="AO113" s="139"/>
      <c r="AP113" s="139"/>
      <c r="AQ113" s="139"/>
      <c r="AR113" s="139"/>
    </row>
    <row r="114" spans="2:44" s="13" customFormat="1" ht="15">
      <c r="B114" s="22" t="s">
        <v>181</v>
      </c>
      <c r="C114" s="23"/>
      <c r="D114" s="23"/>
      <c r="E114" s="23"/>
      <c r="F114" s="24"/>
      <c r="G114" s="24"/>
      <c r="H114" s="24"/>
      <c r="I114" s="23"/>
      <c r="J114" s="23"/>
      <c r="K114" s="23"/>
      <c r="L114" s="24" t="s">
        <v>103</v>
      </c>
      <c r="M114" s="23"/>
      <c r="N114" s="23"/>
      <c r="O114" s="102"/>
      <c r="P114" s="104"/>
      <c r="Q114" s="102"/>
      <c r="R114" s="102"/>
      <c r="S114" s="102"/>
      <c r="T114" s="102"/>
      <c r="U114" s="102"/>
      <c r="V114" s="102"/>
      <c r="W114" s="102"/>
      <c r="X114" s="102"/>
      <c r="Y114" s="102"/>
      <c r="Z114" s="105"/>
      <c r="AA114" s="102"/>
      <c r="AB114" s="102"/>
      <c r="AC114" s="102"/>
      <c r="AD114" s="105"/>
      <c r="AE114" s="102"/>
      <c r="AF114" s="102"/>
      <c r="AG114" s="102"/>
      <c r="AH114" s="105"/>
      <c r="AI114" s="196"/>
      <c r="AJ114" s="140" t="str">
        <f t="shared" si="10"/>
        <v/>
      </c>
      <c r="AK114" s="15"/>
      <c r="AL114" s="15"/>
      <c r="AM114" s="136"/>
      <c r="AN114" s="137" t="str">
        <f t="shared" si="11"/>
        <v/>
      </c>
      <c r="AO114" s="139"/>
      <c r="AP114" s="139"/>
      <c r="AQ114" s="139"/>
      <c r="AR114" s="139"/>
    </row>
    <row r="115" spans="2:44" s="13" customFormat="1" ht="75">
      <c r="B115" s="27" t="s">
        <v>180</v>
      </c>
      <c r="C115" s="25" t="s">
        <v>179</v>
      </c>
      <c r="D115" s="199" t="s">
        <v>1113</v>
      </c>
      <c r="E115" s="199" t="s">
        <v>173</v>
      </c>
      <c r="F115" s="32" t="s">
        <v>1</v>
      </c>
      <c r="G115" s="32" t="s">
        <v>1307</v>
      </c>
      <c r="H115" s="32" t="s">
        <v>1310</v>
      </c>
      <c r="I115" s="27" t="s">
        <v>156</v>
      </c>
      <c r="J115" s="26" t="s">
        <v>79</v>
      </c>
      <c r="K115" s="27" t="s">
        <v>1212</v>
      </c>
      <c r="L115" s="28" t="s">
        <v>78</v>
      </c>
      <c r="M115" s="196" t="s">
        <v>0</v>
      </c>
      <c r="N115" s="196" t="s">
        <v>1229</v>
      </c>
      <c r="O115" s="40" t="s">
        <v>0</v>
      </c>
      <c r="P115" s="39">
        <v>42776</v>
      </c>
      <c r="Q115" s="28" t="s">
        <v>1299</v>
      </c>
      <c r="R115" s="199"/>
      <c r="S115" s="40" t="s">
        <v>0</v>
      </c>
      <c r="T115" s="41">
        <v>42794</v>
      </c>
      <c r="U115" s="28" t="s">
        <v>1299</v>
      </c>
      <c r="V115" s="199"/>
      <c r="W115" s="40"/>
      <c r="X115" s="41"/>
      <c r="Y115" s="40"/>
      <c r="Z115" s="40"/>
      <c r="AA115" s="40"/>
      <c r="AB115" s="41"/>
      <c r="AC115" s="40"/>
      <c r="AD115" s="40"/>
      <c r="AE115" s="40"/>
      <c r="AF115" s="41"/>
      <c r="AG115" s="40"/>
      <c r="AH115" s="40"/>
      <c r="AI115" s="196"/>
      <c r="AJ115" s="140" t="str">
        <f t="shared" si="10"/>
        <v/>
      </c>
      <c r="AK115" s="15"/>
      <c r="AL115" s="15"/>
      <c r="AM115" s="136"/>
      <c r="AN115" s="137" t="str">
        <f t="shared" si="11"/>
        <v/>
      </c>
      <c r="AO115" s="139"/>
      <c r="AP115" s="139"/>
      <c r="AQ115" s="139"/>
      <c r="AR115" s="139"/>
    </row>
    <row r="116" spans="2:44" s="13" customFormat="1" ht="150">
      <c r="B116" s="42" t="s">
        <v>178</v>
      </c>
      <c r="C116" s="25"/>
      <c r="D116" s="199" t="s">
        <v>177</v>
      </c>
      <c r="E116" s="47" t="s">
        <v>176</v>
      </c>
      <c r="F116" s="32" t="s">
        <v>1</v>
      </c>
      <c r="G116" s="32" t="s">
        <v>1307</v>
      </c>
      <c r="H116" s="32" t="s">
        <v>1310</v>
      </c>
      <c r="I116" s="27" t="s">
        <v>156</v>
      </c>
      <c r="J116" s="26" t="s">
        <v>79</v>
      </c>
      <c r="K116" s="27" t="s">
        <v>1212</v>
      </c>
      <c r="L116" s="28" t="s">
        <v>78</v>
      </c>
      <c r="M116" s="196" t="s">
        <v>0</v>
      </c>
      <c r="N116" s="196" t="s">
        <v>1229</v>
      </c>
      <c r="O116" s="40" t="s">
        <v>0</v>
      </c>
      <c r="P116" s="39">
        <v>42776</v>
      </c>
      <c r="Q116" s="28" t="s">
        <v>1299</v>
      </c>
      <c r="R116" s="199"/>
      <c r="S116" s="40" t="s">
        <v>0</v>
      </c>
      <c r="T116" s="41">
        <v>42794</v>
      </c>
      <c r="U116" s="28" t="s">
        <v>1299</v>
      </c>
      <c r="V116" s="199"/>
      <c r="W116" s="40"/>
      <c r="X116" s="41"/>
      <c r="Y116" s="40"/>
      <c r="Z116" s="40"/>
      <c r="AA116" s="40"/>
      <c r="AB116" s="41"/>
      <c r="AC116" s="40"/>
      <c r="AD116" s="40"/>
      <c r="AE116" s="40"/>
      <c r="AF116" s="41"/>
      <c r="AG116" s="40"/>
      <c r="AH116" s="40"/>
      <c r="AI116" s="196"/>
      <c r="AJ116" s="140" t="str">
        <f t="shared" si="10"/>
        <v/>
      </c>
      <c r="AK116" s="15"/>
      <c r="AL116" s="15"/>
      <c r="AM116" s="136"/>
      <c r="AN116" s="137" t="str">
        <f t="shared" si="11"/>
        <v/>
      </c>
      <c r="AO116" s="139"/>
      <c r="AP116" s="139"/>
      <c r="AQ116" s="139"/>
      <c r="AR116" s="139"/>
    </row>
    <row r="117" spans="2:44" s="13" customFormat="1" ht="30">
      <c r="B117" s="42" t="s">
        <v>175</v>
      </c>
      <c r="C117" s="25"/>
      <c r="D117" s="199" t="s">
        <v>174</v>
      </c>
      <c r="E117" s="199" t="s">
        <v>173</v>
      </c>
      <c r="F117" s="32" t="s">
        <v>1</v>
      </c>
      <c r="G117" s="32" t="s">
        <v>1307</v>
      </c>
      <c r="H117" s="32" t="s">
        <v>1310</v>
      </c>
      <c r="I117" s="27" t="s">
        <v>156</v>
      </c>
      <c r="J117" s="26" t="s">
        <v>79</v>
      </c>
      <c r="K117" s="27" t="s">
        <v>1212</v>
      </c>
      <c r="L117" s="28" t="s">
        <v>78</v>
      </c>
      <c r="M117" s="196" t="s">
        <v>0</v>
      </c>
      <c r="N117" s="196" t="s">
        <v>1229</v>
      </c>
      <c r="O117" s="40" t="s">
        <v>0</v>
      </c>
      <c r="P117" s="39">
        <v>42776</v>
      </c>
      <c r="Q117" s="28" t="s">
        <v>1299</v>
      </c>
      <c r="R117" s="199"/>
      <c r="S117" s="40" t="s">
        <v>0</v>
      </c>
      <c r="T117" s="41">
        <v>42794</v>
      </c>
      <c r="U117" s="28" t="s">
        <v>1299</v>
      </c>
      <c r="V117" s="199"/>
      <c r="W117" s="40"/>
      <c r="X117" s="41"/>
      <c r="Y117" s="40"/>
      <c r="Z117" s="40"/>
      <c r="AA117" s="40"/>
      <c r="AB117" s="41"/>
      <c r="AC117" s="40"/>
      <c r="AD117" s="40"/>
      <c r="AE117" s="40"/>
      <c r="AF117" s="41"/>
      <c r="AG117" s="40"/>
      <c r="AH117" s="40"/>
      <c r="AI117" s="196"/>
      <c r="AJ117" s="140" t="str">
        <f t="shared" si="10"/>
        <v/>
      </c>
      <c r="AK117" s="15"/>
      <c r="AL117" s="15"/>
      <c r="AM117" s="136"/>
      <c r="AN117" s="137" t="str">
        <f t="shared" si="11"/>
        <v/>
      </c>
      <c r="AO117" s="139"/>
      <c r="AP117" s="139"/>
      <c r="AQ117" s="139"/>
      <c r="AR117" s="139"/>
    </row>
    <row r="118" spans="2:44" s="13" customFormat="1" ht="45">
      <c r="B118" s="42" t="s">
        <v>172</v>
      </c>
      <c r="C118" s="25"/>
      <c r="D118" s="199" t="s">
        <v>171</v>
      </c>
      <c r="E118" s="199" t="s">
        <v>170</v>
      </c>
      <c r="F118" s="32" t="s">
        <v>1</v>
      </c>
      <c r="G118" s="32" t="s">
        <v>1307</v>
      </c>
      <c r="H118" s="32" t="s">
        <v>1310</v>
      </c>
      <c r="I118" s="27" t="s">
        <v>156</v>
      </c>
      <c r="J118" s="26" t="s">
        <v>79</v>
      </c>
      <c r="K118" s="27" t="s">
        <v>1212</v>
      </c>
      <c r="L118" s="28" t="s">
        <v>78</v>
      </c>
      <c r="M118" s="196" t="s">
        <v>0</v>
      </c>
      <c r="N118" s="196" t="s">
        <v>1229</v>
      </c>
      <c r="O118" s="40" t="s">
        <v>0</v>
      </c>
      <c r="P118" s="39">
        <v>42776</v>
      </c>
      <c r="Q118" s="28" t="s">
        <v>1299</v>
      </c>
      <c r="R118" s="199"/>
      <c r="S118" s="40" t="s">
        <v>0</v>
      </c>
      <c r="T118" s="41">
        <v>42794</v>
      </c>
      <c r="U118" s="28" t="s">
        <v>1299</v>
      </c>
      <c r="V118" s="199"/>
      <c r="W118" s="40"/>
      <c r="X118" s="41"/>
      <c r="Y118" s="40"/>
      <c r="Z118" s="40"/>
      <c r="AA118" s="40"/>
      <c r="AB118" s="41"/>
      <c r="AC118" s="40"/>
      <c r="AD118" s="40"/>
      <c r="AE118" s="40"/>
      <c r="AF118" s="41"/>
      <c r="AG118" s="40"/>
      <c r="AH118" s="40"/>
      <c r="AI118" s="196"/>
      <c r="AJ118" s="140" t="str">
        <f t="shared" si="10"/>
        <v/>
      </c>
      <c r="AK118" s="15"/>
      <c r="AL118" s="15"/>
      <c r="AM118" s="136"/>
      <c r="AN118" s="137" t="str">
        <f t="shared" si="11"/>
        <v/>
      </c>
      <c r="AO118" s="139"/>
      <c r="AP118" s="139"/>
      <c r="AQ118" s="139"/>
      <c r="AR118" s="139"/>
    </row>
    <row r="119" spans="2:44" s="13" customFormat="1" ht="45">
      <c r="B119" s="42" t="s">
        <v>169</v>
      </c>
      <c r="C119" s="25"/>
      <c r="D119" s="199" t="s">
        <v>1114</v>
      </c>
      <c r="E119" s="199" t="s">
        <v>168</v>
      </c>
      <c r="F119" s="32" t="s">
        <v>1</v>
      </c>
      <c r="G119" s="32" t="s">
        <v>1307</v>
      </c>
      <c r="H119" s="32" t="s">
        <v>1310</v>
      </c>
      <c r="I119" s="27" t="s">
        <v>156</v>
      </c>
      <c r="J119" s="26" t="s">
        <v>79</v>
      </c>
      <c r="K119" s="27" t="s">
        <v>1212</v>
      </c>
      <c r="L119" s="28" t="s">
        <v>78</v>
      </c>
      <c r="M119" s="196" t="s">
        <v>0</v>
      </c>
      <c r="N119" s="196" t="s">
        <v>1229</v>
      </c>
      <c r="O119" s="40" t="s">
        <v>0</v>
      </c>
      <c r="P119" s="39">
        <v>42776</v>
      </c>
      <c r="Q119" s="28" t="s">
        <v>1299</v>
      </c>
      <c r="R119" s="199"/>
      <c r="S119" s="40" t="s">
        <v>0</v>
      </c>
      <c r="T119" s="41">
        <v>42794</v>
      </c>
      <c r="U119" s="28" t="s">
        <v>1299</v>
      </c>
      <c r="V119" s="199"/>
      <c r="W119" s="40"/>
      <c r="X119" s="41"/>
      <c r="Y119" s="40"/>
      <c r="Z119" s="40"/>
      <c r="AA119" s="40"/>
      <c r="AB119" s="41"/>
      <c r="AC119" s="40"/>
      <c r="AD119" s="40"/>
      <c r="AE119" s="40"/>
      <c r="AF119" s="41"/>
      <c r="AG119" s="40"/>
      <c r="AH119" s="40"/>
      <c r="AI119" s="196"/>
      <c r="AJ119" s="140" t="str">
        <f t="shared" si="10"/>
        <v/>
      </c>
      <c r="AK119" s="15"/>
      <c r="AL119" s="15"/>
      <c r="AM119" s="136"/>
      <c r="AN119" s="137" t="str">
        <f t="shared" si="11"/>
        <v/>
      </c>
      <c r="AO119" s="139"/>
      <c r="AP119" s="139"/>
      <c r="AQ119" s="139"/>
      <c r="AR119" s="139"/>
    </row>
    <row r="120" spans="2:44" s="33" customFormat="1" ht="75">
      <c r="B120" s="42" t="s">
        <v>167</v>
      </c>
      <c r="C120" s="199"/>
      <c r="D120" s="199" t="s">
        <v>1115</v>
      </c>
      <c r="E120" s="199" t="s">
        <v>1116</v>
      </c>
      <c r="F120" s="32" t="s">
        <v>1</v>
      </c>
      <c r="G120" s="32" t="s">
        <v>1307</v>
      </c>
      <c r="H120" s="32" t="s">
        <v>1310</v>
      </c>
      <c r="I120" s="27" t="s">
        <v>156</v>
      </c>
      <c r="J120" s="26" t="s">
        <v>79</v>
      </c>
      <c r="K120" s="27" t="s">
        <v>1212</v>
      </c>
      <c r="L120" s="199" t="s">
        <v>78</v>
      </c>
      <c r="M120" s="199" t="s">
        <v>0</v>
      </c>
      <c r="N120" s="196" t="s">
        <v>1229</v>
      </c>
      <c r="O120" s="40" t="s">
        <v>0</v>
      </c>
      <c r="P120" s="39">
        <v>42776</v>
      </c>
      <c r="Q120" s="28" t="s">
        <v>1299</v>
      </c>
      <c r="R120" s="199"/>
      <c r="S120" s="40" t="s">
        <v>0</v>
      </c>
      <c r="T120" s="41">
        <v>42794</v>
      </c>
      <c r="U120" s="28" t="s">
        <v>1299</v>
      </c>
      <c r="V120" s="199"/>
      <c r="W120" s="40"/>
      <c r="X120" s="41"/>
      <c r="Y120" s="40"/>
      <c r="Z120" s="40"/>
      <c r="AA120" s="199"/>
      <c r="AB120" s="31"/>
      <c r="AC120" s="199"/>
      <c r="AD120" s="40"/>
      <c r="AE120" s="199"/>
      <c r="AF120" s="31"/>
      <c r="AG120" s="199"/>
      <c r="AH120" s="40"/>
      <c r="AI120" s="196"/>
      <c r="AJ120" s="140" t="str">
        <f t="shared" si="10"/>
        <v/>
      </c>
      <c r="AK120" s="15"/>
      <c r="AL120" s="15"/>
      <c r="AM120" s="136"/>
      <c r="AN120" s="137" t="str">
        <f t="shared" si="11"/>
        <v/>
      </c>
      <c r="AO120" s="139"/>
      <c r="AP120" s="139"/>
      <c r="AQ120" s="139"/>
      <c r="AR120" s="139"/>
    </row>
    <row r="121" spans="2:44" s="13" customFormat="1" ht="150">
      <c r="B121" s="27" t="s">
        <v>166</v>
      </c>
      <c r="C121" s="25" t="s">
        <v>165</v>
      </c>
      <c r="D121" s="199" t="s">
        <v>1117</v>
      </c>
      <c r="E121" s="199" t="s">
        <v>164</v>
      </c>
      <c r="F121" s="32" t="s">
        <v>1</v>
      </c>
      <c r="G121" s="32" t="s">
        <v>1307</v>
      </c>
      <c r="H121" s="32" t="s">
        <v>1310</v>
      </c>
      <c r="I121" s="27" t="s">
        <v>156</v>
      </c>
      <c r="J121" s="26" t="s">
        <v>79</v>
      </c>
      <c r="K121" s="27" t="s">
        <v>1212</v>
      </c>
      <c r="L121" s="28" t="s">
        <v>78</v>
      </c>
      <c r="M121" s="196" t="s">
        <v>0</v>
      </c>
      <c r="N121" s="196" t="s">
        <v>1229</v>
      </c>
      <c r="O121" s="40" t="s">
        <v>0</v>
      </c>
      <c r="P121" s="39">
        <v>42776</v>
      </c>
      <c r="Q121" s="28" t="s">
        <v>1299</v>
      </c>
      <c r="R121" s="199"/>
      <c r="S121" s="40" t="s">
        <v>0</v>
      </c>
      <c r="T121" s="41">
        <v>42794</v>
      </c>
      <c r="U121" s="28" t="s">
        <v>1299</v>
      </c>
      <c r="V121" s="199"/>
      <c r="W121" s="40"/>
      <c r="X121" s="41"/>
      <c r="Y121" s="40"/>
      <c r="Z121" s="40"/>
      <c r="AA121" s="40"/>
      <c r="AB121" s="41"/>
      <c r="AC121" s="40"/>
      <c r="AD121" s="40"/>
      <c r="AE121" s="40"/>
      <c r="AF121" s="41"/>
      <c r="AG121" s="40"/>
      <c r="AH121" s="40"/>
      <c r="AI121" s="196"/>
      <c r="AJ121" s="140" t="str">
        <f t="shared" si="10"/>
        <v/>
      </c>
      <c r="AK121" s="15"/>
      <c r="AL121" s="15"/>
      <c r="AM121" s="136"/>
      <c r="AN121" s="137" t="str">
        <f t="shared" si="11"/>
        <v/>
      </c>
      <c r="AO121" s="139"/>
      <c r="AP121" s="139"/>
      <c r="AQ121" s="139"/>
      <c r="AR121" s="139"/>
    </row>
    <row r="122" spans="2:44" s="13" customFormat="1" ht="90">
      <c r="B122" s="42" t="s">
        <v>163</v>
      </c>
      <c r="C122" s="25"/>
      <c r="D122" s="199" t="s">
        <v>1118</v>
      </c>
      <c r="E122" s="199" t="s">
        <v>162</v>
      </c>
      <c r="F122" s="32" t="s">
        <v>1</v>
      </c>
      <c r="G122" s="32" t="s">
        <v>1307</v>
      </c>
      <c r="H122" s="32" t="s">
        <v>1310</v>
      </c>
      <c r="I122" s="27" t="s">
        <v>156</v>
      </c>
      <c r="J122" s="26" t="s">
        <v>79</v>
      </c>
      <c r="K122" s="27" t="s">
        <v>1212</v>
      </c>
      <c r="L122" s="28" t="s">
        <v>78</v>
      </c>
      <c r="M122" s="196" t="s">
        <v>0</v>
      </c>
      <c r="N122" s="196" t="s">
        <v>1229</v>
      </c>
      <c r="O122" s="40" t="s">
        <v>0</v>
      </c>
      <c r="P122" s="39">
        <v>42776</v>
      </c>
      <c r="Q122" s="28" t="s">
        <v>1299</v>
      </c>
      <c r="R122" s="199"/>
      <c r="S122" s="40" t="s">
        <v>0</v>
      </c>
      <c r="T122" s="41">
        <v>42794</v>
      </c>
      <c r="U122" s="28" t="s">
        <v>1299</v>
      </c>
      <c r="V122" s="199"/>
      <c r="W122" s="40"/>
      <c r="X122" s="41"/>
      <c r="Y122" s="40"/>
      <c r="Z122" s="40"/>
      <c r="AA122" s="40"/>
      <c r="AB122" s="41"/>
      <c r="AC122" s="40"/>
      <c r="AD122" s="40"/>
      <c r="AE122" s="40"/>
      <c r="AF122" s="41"/>
      <c r="AG122" s="40"/>
      <c r="AH122" s="40"/>
      <c r="AI122" s="196"/>
      <c r="AJ122" s="140" t="str">
        <f t="shared" si="10"/>
        <v/>
      </c>
      <c r="AK122" s="15"/>
      <c r="AL122" s="15"/>
      <c r="AM122" s="136"/>
      <c r="AN122" s="137" t="str">
        <f t="shared" si="11"/>
        <v/>
      </c>
      <c r="AO122" s="139"/>
      <c r="AP122" s="139"/>
      <c r="AQ122" s="139"/>
      <c r="AR122" s="139"/>
    </row>
    <row r="123" spans="2:44" s="13" customFormat="1" ht="60">
      <c r="B123" s="42" t="s">
        <v>161</v>
      </c>
      <c r="C123" s="25"/>
      <c r="D123" s="199" t="s">
        <v>160</v>
      </c>
      <c r="E123" s="199" t="s">
        <v>159</v>
      </c>
      <c r="F123" s="32" t="s">
        <v>1</v>
      </c>
      <c r="G123" s="32" t="s">
        <v>1307</v>
      </c>
      <c r="H123" s="32" t="s">
        <v>1310</v>
      </c>
      <c r="I123" s="27" t="s">
        <v>156</v>
      </c>
      <c r="J123" s="26" t="s">
        <v>79</v>
      </c>
      <c r="K123" s="27" t="s">
        <v>1212</v>
      </c>
      <c r="L123" s="28" t="s">
        <v>78</v>
      </c>
      <c r="M123" s="196" t="s">
        <v>0</v>
      </c>
      <c r="N123" s="196" t="s">
        <v>1229</v>
      </c>
      <c r="O123" s="40" t="s">
        <v>0</v>
      </c>
      <c r="P123" s="39">
        <v>42776</v>
      </c>
      <c r="Q123" s="28" t="s">
        <v>1299</v>
      </c>
      <c r="R123" s="199"/>
      <c r="S123" s="40" t="s">
        <v>0</v>
      </c>
      <c r="T123" s="41">
        <v>42794</v>
      </c>
      <c r="U123" s="28" t="s">
        <v>1299</v>
      </c>
      <c r="V123" s="199"/>
      <c r="W123" s="40"/>
      <c r="X123" s="41"/>
      <c r="Y123" s="40"/>
      <c r="Z123" s="40"/>
      <c r="AA123" s="40"/>
      <c r="AB123" s="41"/>
      <c r="AC123" s="40"/>
      <c r="AD123" s="40"/>
      <c r="AE123" s="40"/>
      <c r="AF123" s="41"/>
      <c r="AG123" s="40"/>
      <c r="AH123" s="40"/>
      <c r="AI123" s="196"/>
      <c r="AJ123" s="140" t="str">
        <f t="shared" si="10"/>
        <v/>
      </c>
      <c r="AK123" s="15"/>
      <c r="AL123" s="15"/>
      <c r="AM123" s="136"/>
      <c r="AN123" s="137" t="str">
        <f t="shared" si="11"/>
        <v/>
      </c>
      <c r="AO123" s="139"/>
      <c r="AP123" s="139"/>
      <c r="AQ123" s="139"/>
      <c r="AR123" s="139"/>
    </row>
    <row r="124" spans="2:44" s="33" customFormat="1" ht="105">
      <c r="B124" s="42" t="s">
        <v>158</v>
      </c>
      <c r="C124" s="199"/>
      <c r="D124" s="199" t="s">
        <v>1119</v>
      </c>
      <c r="E124" s="47" t="s">
        <v>157</v>
      </c>
      <c r="F124" s="32" t="s">
        <v>1</v>
      </c>
      <c r="G124" s="32" t="s">
        <v>1307</v>
      </c>
      <c r="H124" s="32" t="s">
        <v>1310</v>
      </c>
      <c r="I124" s="27" t="s">
        <v>156</v>
      </c>
      <c r="J124" s="26" t="s">
        <v>79</v>
      </c>
      <c r="K124" s="27" t="s">
        <v>1212</v>
      </c>
      <c r="L124" s="199" t="s">
        <v>78</v>
      </c>
      <c r="M124" s="199" t="s">
        <v>0</v>
      </c>
      <c r="N124" s="196" t="s">
        <v>1229</v>
      </c>
      <c r="O124" s="40" t="s">
        <v>0</v>
      </c>
      <c r="P124" s="39">
        <v>42776</v>
      </c>
      <c r="Q124" s="28" t="s">
        <v>1299</v>
      </c>
      <c r="R124" s="199"/>
      <c r="S124" s="40" t="s">
        <v>0</v>
      </c>
      <c r="T124" s="41">
        <v>42794</v>
      </c>
      <c r="U124" s="28" t="s">
        <v>1299</v>
      </c>
      <c r="V124" s="199"/>
      <c r="W124" s="40"/>
      <c r="X124" s="41"/>
      <c r="Y124" s="40"/>
      <c r="Z124" s="40"/>
      <c r="AA124" s="199"/>
      <c r="AB124" s="31"/>
      <c r="AC124" s="199"/>
      <c r="AD124" s="40"/>
      <c r="AE124" s="199"/>
      <c r="AF124" s="31"/>
      <c r="AG124" s="199"/>
      <c r="AH124" s="40"/>
      <c r="AI124" s="196"/>
      <c r="AJ124" s="140" t="str">
        <f t="shared" si="10"/>
        <v/>
      </c>
      <c r="AK124" s="15"/>
      <c r="AL124" s="15"/>
      <c r="AM124" s="136"/>
      <c r="AN124" s="137" t="str">
        <f t="shared" si="11"/>
        <v/>
      </c>
      <c r="AO124" s="139"/>
      <c r="AP124" s="139"/>
      <c r="AQ124" s="139"/>
      <c r="AR124" s="139"/>
    </row>
    <row r="125" spans="2:44" s="13" customFormat="1" ht="15">
      <c r="B125" s="22" t="s">
        <v>155</v>
      </c>
      <c r="C125" s="23"/>
      <c r="D125" s="23"/>
      <c r="E125" s="23"/>
      <c r="F125" s="24"/>
      <c r="G125" s="24"/>
      <c r="H125" s="24"/>
      <c r="I125" s="23"/>
      <c r="J125" s="23"/>
      <c r="K125" s="23"/>
      <c r="L125" s="24" t="s">
        <v>103</v>
      </c>
      <c r="M125" s="23"/>
      <c r="N125" s="23"/>
      <c r="O125" s="102"/>
      <c r="P125" s="104"/>
      <c r="Q125" s="102"/>
      <c r="R125" s="102"/>
      <c r="S125" s="102"/>
      <c r="T125" s="102"/>
      <c r="U125" s="102"/>
      <c r="V125" s="102"/>
      <c r="W125" s="102"/>
      <c r="X125" s="102"/>
      <c r="Y125" s="102"/>
      <c r="Z125" s="105"/>
      <c r="AA125" s="102"/>
      <c r="AB125" s="102"/>
      <c r="AC125" s="102"/>
      <c r="AD125" s="105"/>
      <c r="AE125" s="102"/>
      <c r="AF125" s="102"/>
      <c r="AG125" s="102"/>
      <c r="AH125" s="105"/>
      <c r="AI125" s="196"/>
      <c r="AJ125" s="140" t="str">
        <f t="shared" si="10"/>
        <v/>
      </c>
      <c r="AK125" s="15"/>
      <c r="AL125" s="15"/>
      <c r="AM125" s="136"/>
      <c r="AN125" s="137" t="str">
        <f t="shared" si="11"/>
        <v/>
      </c>
      <c r="AO125" s="139"/>
      <c r="AP125" s="139"/>
      <c r="AQ125" s="139"/>
      <c r="AR125" s="139"/>
    </row>
    <row r="126" spans="2:44" ht="15">
      <c r="B126" s="22" t="s">
        <v>154</v>
      </c>
      <c r="C126" s="23"/>
      <c r="D126" s="23"/>
      <c r="E126" s="23"/>
      <c r="F126" s="24"/>
      <c r="G126" s="24"/>
      <c r="H126" s="24"/>
      <c r="I126" s="23"/>
      <c r="J126" s="23"/>
      <c r="K126" s="23"/>
      <c r="L126" s="24" t="s">
        <v>103</v>
      </c>
      <c r="M126" s="23"/>
      <c r="N126" s="23"/>
      <c r="O126" s="102"/>
      <c r="P126" s="104"/>
      <c r="Q126" s="102"/>
      <c r="R126" s="102"/>
      <c r="S126" s="102"/>
      <c r="T126" s="102"/>
      <c r="U126" s="102"/>
      <c r="V126" s="102"/>
      <c r="W126" s="102"/>
      <c r="X126" s="102"/>
      <c r="Y126" s="102"/>
      <c r="Z126" s="105"/>
      <c r="AA126" s="102"/>
      <c r="AB126" s="102"/>
      <c r="AC126" s="102"/>
      <c r="AD126" s="105"/>
      <c r="AE126" s="102"/>
      <c r="AF126" s="102"/>
      <c r="AG126" s="102"/>
      <c r="AH126" s="105"/>
      <c r="AI126" s="196"/>
      <c r="AJ126" s="140" t="str">
        <f t="shared" si="10"/>
        <v/>
      </c>
      <c r="AK126" s="15"/>
      <c r="AL126" s="15"/>
      <c r="AM126" s="136"/>
      <c r="AN126" s="137" t="str">
        <f t="shared" si="11"/>
        <v/>
      </c>
      <c r="AO126" s="139"/>
      <c r="AP126" s="139"/>
      <c r="AQ126" s="139"/>
      <c r="AR126" s="139"/>
    </row>
    <row r="127" spans="2:44" ht="165">
      <c r="B127" s="27" t="s">
        <v>153</v>
      </c>
      <c r="C127" s="25" t="s">
        <v>152</v>
      </c>
      <c r="D127" s="199" t="s">
        <v>1120</v>
      </c>
      <c r="E127" s="49" t="s">
        <v>1121</v>
      </c>
      <c r="F127" s="32" t="s">
        <v>1</v>
      </c>
      <c r="G127" s="32" t="s">
        <v>1307</v>
      </c>
      <c r="H127" s="32" t="s">
        <v>1310</v>
      </c>
      <c r="I127" s="50" t="s">
        <v>151</v>
      </c>
      <c r="J127" s="26" t="s">
        <v>79</v>
      </c>
      <c r="K127" s="27" t="s">
        <v>1212</v>
      </c>
      <c r="L127" s="28" t="s">
        <v>78</v>
      </c>
      <c r="M127" s="196" t="s">
        <v>0</v>
      </c>
      <c r="N127" s="196" t="s">
        <v>1229</v>
      </c>
      <c r="O127" s="40" t="s">
        <v>0</v>
      </c>
      <c r="P127" s="39">
        <v>42776</v>
      </c>
      <c r="Q127" s="28" t="s">
        <v>1299</v>
      </c>
      <c r="R127" s="40"/>
      <c r="S127" s="40" t="s">
        <v>0</v>
      </c>
      <c r="T127" s="41">
        <v>42794</v>
      </c>
      <c r="U127" s="28" t="s">
        <v>1299</v>
      </c>
      <c r="V127" s="40"/>
      <c r="W127" s="40"/>
      <c r="X127" s="41"/>
      <c r="Y127" s="40"/>
      <c r="Z127" s="40"/>
      <c r="AA127" s="40"/>
      <c r="AB127" s="41"/>
      <c r="AC127" s="40"/>
      <c r="AD127" s="40"/>
      <c r="AE127" s="40"/>
      <c r="AF127" s="41"/>
      <c r="AG127" s="40"/>
      <c r="AH127" s="40"/>
      <c r="AI127" s="196"/>
      <c r="AJ127" s="140" t="str">
        <f t="shared" si="10"/>
        <v/>
      </c>
      <c r="AK127" s="15"/>
      <c r="AL127" s="15"/>
      <c r="AM127" s="136"/>
      <c r="AN127" s="137" t="str">
        <f t="shared" si="11"/>
        <v/>
      </c>
      <c r="AO127" s="139"/>
      <c r="AP127" s="139"/>
      <c r="AQ127" s="139"/>
      <c r="AR127" s="139"/>
    </row>
    <row r="128" spans="2:44" ht="180">
      <c r="B128" s="27" t="s">
        <v>150</v>
      </c>
      <c r="C128" s="25" t="s">
        <v>149</v>
      </c>
      <c r="D128" s="199" t="s">
        <v>1122</v>
      </c>
      <c r="E128" s="199" t="s">
        <v>1123</v>
      </c>
      <c r="F128" s="32" t="s">
        <v>1</v>
      </c>
      <c r="G128" s="32" t="s">
        <v>1307</v>
      </c>
      <c r="H128" s="32" t="s">
        <v>1310</v>
      </c>
      <c r="I128" s="27"/>
      <c r="J128" s="26" t="s">
        <v>79</v>
      </c>
      <c r="K128" s="27" t="s">
        <v>1212</v>
      </c>
      <c r="L128" s="28" t="s">
        <v>78</v>
      </c>
      <c r="M128" s="196" t="s">
        <v>0</v>
      </c>
      <c r="N128" s="196" t="s">
        <v>1229</v>
      </c>
      <c r="O128" s="40" t="s">
        <v>0</v>
      </c>
      <c r="P128" s="39">
        <v>42776</v>
      </c>
      <c r="Q128" s="28" t="s">
        <v>1299</v>
      </c>
      <c r="R128" s="40"/>
      <c r="S128" s="40" t="s">
        <v>0</v>
      </c>
      <c r="T128" s="41">
        <v>42794</v>
      </c>
      <c r="U128" s="28" t="s">
        <v>1299</v>
      </c>
      <c r="V128" s="40"/>
      <c r="W128" s="40"/>
      <c r="X128" s="41"/>
      <c r="Y128" s="40"/>
      <c r="Z128" s="40"/>
      <c r="AA128" s="40"/>
      <c r="AB128" s="41"/>
      <c r="AC128" s="40"/>
      <c r="AD128" s="40"/>
      <c r="AE128" s="40"/>
      <c r="AF128" s="41"/>
      <c r="AG128" s="40"/>
      <c r="AH128" s="40"/>
      <c r="AI128" s="196"/>
      <c r="AJ128" s="140" t="str">
        <f t="shared" si="10"/>
        <v/>
      </c>
      <c r="AK128" s="15"/>
      <c r="AL128" s="15"/>
      <c r="AM128" s="136"/>
      <c r="AN128" s="137" t="str">
        <f t="shared" si="11"/>
        <v/>
      </c>
      <c r="AO128" s="139"/>
      <c r="AP128" s="139"/>
      <c r="AQ128" s="139"/>
      <c r="AR128" s="139"/>
    </row>
    <row r="129" spans="2:44" ht="240">
      <c r="B129" s="27" t="s">
        <v>148</v>
      </c>
      <c r="C129" s="25" t="s">
        <v>147</v>
      </c>
      <c r="D129" s="199" t="s">
        <v>1124</v>
      </c>
      <c r="E129" s="199" t="s">
        <v>1125</v>
      </c>
      <c r="F129" s="32" t="s">
        <v>1</v>
      </c>
      <c r="G129" s="32" t="s">
        <v>1307</v>
      </c>
      <c r="H129" s="32" t="s">
        <v>1310</v>
      </c>
      <c r="I129" s="50"/>
      <c r="J129" s="26" t="s">
        <v>79</v>
      </c>
      <c r="K129" s="27" t="s">
        <v>1212</v>
      </c>
      <c r="L129" s="28" t="s">
        <v>78</v>
      </c>
      <c r="M129" s="196" t="s">
        <v>0</v>
      </c>
      <c r="N129" s="196" t="s">
        <v>1229</v>
      </c>
      <c r="O129" s="40" t="s">
        <v>0</v>
      </c>
      <c r="P129" s="39">
        <v>42776</v>
      </c>
      <c r="Q129" s="28" t="s">
        <v>1299</v>
      </c>
      <c r="R129" s="40"/>
      <c r="S129" s="40" t="s">
        <v>0</v>
      </c>
      <c r="T129" s="41">
        <v>42794</v>
      </c>
      <c r="U129" s="28" t="s">
        <v>1299</v>
      </c>
      <c r="V129" s="40"/>
      <c r="W129" s="40"/>
      <c r="X129" s="41"/>
      <c r="Y129" s="40"/>
      <c r="Z129" s="40"/>
      <c r="AA129" s="40"/>
      <c r="AB129" s="41"/>
      <c r="AC129" s="40"/>
      <c r="AD129" s="40"/>
      <c r="AE129" s="40"/>
      <c r="AF129" s="41"/>
      <c r="AG129" s="40"/>
      <c r="AH129" s="40"/>
      <c r="AI129" s="196"/>
      <c r="AJ129" s="140" t="str">
        <f t="shared" si="10"/>
        <v/>
      </c>
      <c r="AK129" s="15"/>
      <c r="AL129" s="15"/>
      <c r="AM129" s="136"/>
      <c r="AN129" s="137" t="str">
        <f t="shared" si="11"/>
        <v/>
      </c>
      <c r="AO129" s="139"/>
      <c r="AP129" s="139"/>
      <c r="AQ129" s="139"/>
      <c r="AR129" s="139"/>
    </row>
    <row r="130" spans="2:44" s="13" customFormat="1" ht="12.75" customHeight="1">
      <c r="B130" s="22" t="s">
        <v>146</v>
      </c>
      <c r="C130" s="23"/>
      <c r="D130" s="23"/>
      <c r="E130" s="23"/>
      <c r="F130" s="24"/>
      <c r="G130" s="24"/>
      <c r="H130" s="24"/>
      <c r="I130" s="23"/>
      <c r="J130" s="23"/>
      <c r="K130" s="23"/>
      <c r="L130" s="24" t="s">
        <v>103</v>
      </c>
      <c r="M130" s="23"/>
      <c r="N130" s="23"/>
      <c r="O130" s="102"/>
      <c r="P130" s="104"/>
      <c r="Q130" s="102"/>
      <c r="R130" s="102"/>
      <c r="S130" s="102"/>
      <c r="T130" s="102"/>
      <c r="U130" s="102"/>
      <c r="V130" s="102"/>
      <c r="W130" s="102"/>
      <c r="X130" s="102"/>
      <c r="Y130" s="102"/>
      <c r="Z130" s="105"/>
      <c r="AA130" s="102"/>
      <c r="AB130" s="102"/>
      <c r="AC130" s="102"/>
      <c r="AD130" s="105"/>
      <c r="AE130" s="102"/>
      <c r="AF130" s="102"/>
      <c r="AG130" s="102"/>
      <c r="AH130" s="105"/>
      <c r="AI130" s="196"/>
      <c r="AJ130" s="140" t="str">
        <f t="shared" si="10"/>
        <v/>
      </c>
      <c r="AK130" s="15"/>
      <c r="AL130" s="15"/>
      <c r="AM130" s="136"/>
      <c r="AN130" s="137" t="str">
        <f t="shared" si="11"/>
        <v/>
      </c>
      <c r="AO130" s="139"/>
      <c r="AP130" s="139"/>
      <c r="AQ130" s="139"/>
      <c r="AR130" s="139"/>
    </row>
    <row r="131" spans="2:44" s="13" customFormat="1" ht="105">
      <c r="B131" s="27" t="s">
        <v>145</v>
      </c>
      <c r="C131" s="25" t="s">
        <v>144</v>
      </c>
      <c r="D131" s="199" t="s">
        <v>143</v>
      </c>
      <c r="E131" s="199" t="s">
        <v>139</v>
      </c>
      <c r="F131" s="32" t="s">
        <v>1</v>
      </c>
      <c r="G131" s="32" t="s">
        <v>1307</v>
      </c>
      <c r="H131" s="32" t="s">
        <v>1310</v>
      </c>
      <c r="I131" s="27"/>
      <c r="J131" s="26" t="s">
        <v>79</v>
      </c>
      <c r="K131" s="27" t="s">
        <v>1212</v>
      </c>
      <c r="L131" s="28" t="s">
        <v>78</v>
      </c>
      <c r="M131" s="196" t="s">
        <v>0</v>
      </c>
      <c r="N131" s="196" t="s">
        <v>1229</v>
      </c>
      <c r="O131" s="40" t="s">
        <v>0</v>
      </c>
      <c r="P131" s="39">
        <v>42776</v>
      </c>
      <c r="Q131" s="28" t="s">
        <v>1299</v>
      </c>
      <c r="R131" s="199"/>
      <c r="S131" s="40" t="s">
        <v>0</v>
      </c>
      <c r="T131" s="41">
        <v>42794</v>
      </c>
      <c r="U131" s="28" t="s">
        <v>1299</v>
      </c>
      <c r="V131" s="199"/>
      <c r="W131" s="40"/>
      <c r="X131" s="41"/>
      <c r="Y131" s="40"/>
      <c r="Z131" s="40"/>
      <c r="AA131" s="40"/>
      <c r="AB131" s="41"/>
      <c r="AC131" s="40"/>
      <c r="AD131" s="40"/>
      <c r="AE131" s="40"/>
      <c r="AF131" s="41"/>
      <c r="AG131" s="40"/>
      <c r="AH131" s="40"/>
      <c r="AI131" s="196"/>
      <c r="AJ131" s="140" t="str">
        <f t="shared" si="10"/>
        <v/>
      </c>
      <c r="AK131" s="15"/>
      <c r="AL131" s="15"/>
      <c r="AM131" s="136"/>
      <c r="AN131" s="137" t="str">
        <f t="shared" si="11"/>
        <v/>
      </c>
      <c r="AO131" s="139"/>
      <c r="AP131" s="139"/>
      <c r="AQ131" s="139"/>
      <c r="AR131" s="139"/>
    </row>
    <row r="132" spans="2:44" s="13" customFormat="1" ht="105">
      <c r="B132" s="27" t="s">
        <v>142</v>
      </c>
      <c r="C132" s="25" t="s">
        <v>141</v>
      </c>
      <c r="D132" s="199" t="s">
        <v>140</v>
      </c>
      <c r="E132" s="199" t="s">
        <v>139</v>
      </c>
      <c r="F132" s="32" t="s">
        <v>1</v>
      </c>
      <c r="G132" s="32" t="s">
        <v>1307</v>
      </c>
      <c r="H132" s="32" t="s">
        <v>1310</v>
      </c>
      <c r="I132" s="27"/>
      <c r="J132" s="26" t="s">
        <v>79</v>
      </c>
      <c r="K132" s="27" t="s">
        <v>1212</v>
      </c>
      <c r="L132" s="28" t="s">
        <v>78</v>
      </c>
      <c r="M132" s="196" t="s">
        <v>0</v>
      </c>
      <c r="N132" s="196" t="s">
        <v>1229</v>
      </c>
      <c r="O132" s="40" t="s">
        <v>0</v>
      </c>
      <c r="P132" s="39">
        <v>42776</v>
      </c>
      <c r="Q132" s="28" t="s">
        <v>1299</v>
      </c>
      <c r="R132" s="199"/>
      <c r="S132" s="40" t="s">
        <v>0</v>
      </c>
      <c r="T132" s="41">
        <v>42794</v>
      </c>
      <c r="U132" s="28" t="s">
        <v>1299</v>
      </c>
      <c r="V132" s="199"/>
      <c r="W132" s="40"/>
      <c r="X132" s="41"/>
      <c r="Y132" s="40"/>
      <c r="Z132" s="40"/>
      <c r="AA132" s="40"/>
      <c r="AB132" s="41"/>
      <c r="AC132" s="40"/>
      <c r="AD132" s="40"/>
      <c r="AE132" s="40"/>
      <c r="AF132" s="41"/>
      <c r="AG132" s="40"/>
      <c r="AH132" s="40"/>
      <c r="AI132" s="196"/>
      <c r="AJ132" s="140" t="str">
        <f t="shared" si="10"/>
        <v/>
      </c>
      <c r="AK132" s="15"/>
      <c r="AL132" s="15"/>
      <c r="AM132" s="136"/>
      <c r="AN132" s="137" t="str">
        <f t="shared" si="11"/>
        <v/>
      </c>
      <c r="AO132" s="139"/>
      <c r="AP132" s="139"/>
      <c r="AQ132" s="139"/>
      <c r="AR132" s="139"/>
    </row>
    <row r="133" spans="2:44" s="13" customFormat="1" ht="60">
      <c r="B133" s="27" t="s">
        <v>138</v>
      </c>
      <c r="C133" s="199"/>
      <c r="D133" s="199" t="s">
        <v>137</v>
      </c>
      <c r="E133" s="199" t="s">
        <v>136</v>
      </c>
      <c r="F133" s="32" t="s">
        <v>1</v>
      </c>
      <c r="G133" s="32" t="s">
        <v>1307</v>
      </c>
      <c r="H133" s="32" t="s">
        <v>1310</v>
      </c>
      <c r="I133" s="27"/>
      <c r="J133" s="26" t="s">
        <v>79</v>
      </c>
      <c r="K133" s="27" t="s">
        <v>1212</v>
      </c>
      <c r="L133" s="28" t="s">
        <v>78</v>
      </c>
      <c r="M133" s="196" t="s">
        <v>0</v>
      </c>
      <c r="N133" s="196" t="s">
        <v>1229</v>
      </c>
      <c r="O133" s="40" t="s">
        <v>0</v>
      </c>
      <c r="P133" s="39">
        <v>42776</v>
      </c>
      <c r="Q133" s="28" t="s">
        <v>1299</v>
      </c>
      <c r="R133" s="199"/>
      <c r="S133" s="40" t="s">
        <v>0</v>
      </c>
      <c r="T133" s="41">
        <v>42794</v>
      </c>
      <c r="U133" s="28" t="s">
        <v>1299</v>
      </c>
      <c r="V133" s="199"/>
      <c r="W133" s="40"/>
      <c r="X133" s="41"/>
      <c r="Y133" s="40"/>
      <c r="Z133" s="40"/>
      <c r="AA133" s="40"/>
      <c r="AB133" s="41"/>
      <c r="AC133" s="40"/>
      <c r="AD133" s="40"/>
      <c r="AE133" s="40"/>
      <c r="AF133" s="41"/>
      <c r="AG133" s="40"/>
      <c r="AH133" s="40"/>
      <c r="AI133" s="196"/>
      <c r="AJ133" s="140" t="str">
        <f t="shared" si="10"/>
        <v/>
      </c>
      <c r="AK133" s="15"/>
      <c r="AL133" s="15"/>
      <c r="AM133" s="136"/>
      <c r="AN133" s="137" t="str">
        <f t="shared" si="11"/>
        <v/>
      </c>
      <c r="AO133" s="139"/>
      <c r="AP133" s="139"/>
      <c r="AQ133" s="139"/>
      <c r="AR133" s="139"/>
    </row>
    <row r="134" spans="2:44" s="13" customFormat="1" ht="75">
      <c r="B134" s="42" t="s">
        <v>135</v>
      </c>
      <c r="C134" s="199"/>
      <c r="D134" s="199" t="s">
        <v>1126</v>
      </c>
      <c r="E134" s="199" t="s">
        <v>134</v>
      </c>
      <c r="F134" s="32" t="s">
        <v>1</v>
      </c>
      <c r="G134" s="32" t="s">
        <v>1307</v>
      </c>
      <c r="H134" s="32" t="s">
        <v>1310</v>
      </c>
      <c r="I134" s="27"/>
      <c r="J134" s="26" t="s">
        <v>79</v>
      </c>
      <c r="K134" s="27" t="s">
        <v>1212</v>
      </c>
      <c r="L134" s="28" t="s">
        <v>78</v>
      </c>
      <c r="M134" s="196" t="s">
        <v>0</v>
      </c>
      <c r="N134" s="196" t="s">
        <v>1229</v>
      </c>
      <c r="O134" s="40" t="s">
        <v>0</v>
      </c>
      <c r="P134" s="39">
        <v>42776</v>
      </c>
      <c r="Q134" s="28" t="s">
        <v>1299</v>
      </c>
      <c r="R134" s="199"/>
      <c r="S134" s="40" t="s">
        <v>0</v>
      </c>
      <c r="T134" s="41">
        <v>42794</v>
      </c>
      <c r="U134" s="28" t="s">
        <v>1299</v>
      </c>
      <c r="V134" s="199"/>
      <c r="W134" s="40"/>
      <c r="X134" s="41"/>
      <c r="Y134" s="40"/>
      <c r="Z134" s="40"/>
      <c r="AA134" s="40"/>
      <c r="AB134" s="41"/>
      <c r="AC134" s="40"/>
      <c r="AD134" s="40"/>
      <c r="AE134" s="40"/>
      <c r="AF134" s="41"/>
      <c r="AG134" s="40"/>
      <c r="AH134" s="40"/>
      <c r="AI134" s="196"/>
      <c r="AJ134" s="140" t="str">
        <f t="shared" si="10"/>
        <v/>
      </c>
      <c r="AK134" s="15"/>
      <c r="AL134" s="15"/>
      <c r="AM134" s="136"/>
      <c r="AN134" s="137" t="str">
        <f t="shared" si="11"/>
        <v/>
      </c>
      <c r="AO134" s="139"/>
      <c r="AP134" s="139"/>
      <c r="AQ134" s="139"/>
      <c r="AR134" s="139"/>
    </row>
    <row r="135" spans="2:44" s="33" customFormat="1" ht="90.75" customHeight="1">
      <c r="B135" s="27" t="s">
        <v>133</v>
      </c>
      <c r="C135" s="199" t="s">
        <v>132</v>
      </c>
      <c r="D135" s="199" t="s">
        <v>1127</v>
      </c>
      <c r="E135" s="199" t="s">
        <v>131</v>
      </c>
      <c r="F135" s="199"/>
      <c r="G135" s="32" t="s">
        <v>1307</v>
      </c>
      <c r="H135" s="32" t="s">
        <v>1310</v>
      </c>
      <c r="I135" s="27" t="s">
        <v>130</v>
      </c>
      <c r="J135" s="26" t="s">
        <v>79</v>
      </c>
      <c r="K135" s="27" t="s">
        <v>1212</v>
      </c>
      <c r="L135" s="196" t="s">
        <v>53</v>
      </c>
      <c r="M135" s="51" t="s">
        <v>0</v>
      </c>
      <c r="N135" s="196" t="s">
        <v>27</v>
      </c>
      <c r="O135" s="40" t="s">
        <v>0</v>
      </c>
      <c r="P135" s="39">
        <v>42781</v>
      </c>
      <c r="Q135" s="199" t="s">
        <v>1302</v>
      </c>
      <c r="R135" s="199"/>
      <c r="S135" s="40" t="s">
        <v>0</v>
      </c>
      <c r="T135" s="31">
        <v>42794</v>
      </c>
      <c r="U135" s="210" t="s">
        <v>1315</v>
      </c>
      <c r="V135" s="40"/>
      <c r="W135" s="40"/>
      <c r="X135" s="31"/>
      <c r="Y135" s="199"/>
      <c r="Z135" s="40"/>
      <c r="AA135" s="40"/>
      <c r="AB135" s="31"/>
      <c r="AC135" s="199"/>
      <c r="AD135" s="40"/>
      <c r="AE135" s="40"/>
      <c r="AF135" s="31"/>
      <c r="AG135" s="199"/>
      <c r="AH135" s="40"/>
      <c r="AI135" s="196">
        <v>15</v>
      </c>
      <c r="AJ135" s="140" t="str">
        <f t="shared" si="10"/>
        <v>D</v>
      </c>
      <c r="AK135" s="15"/>
      <c r="AL135" s="15"/>
      <c r="AM135" s="136">
        <v>20</v>
      </c>
      <c r="AN135" s="137" t="str">
        <f t="shared" si="11"/>
        <v>D</v>
      </c>
      <c r="AO135" s="139"/>
      <c r="AP135" s="139"/>
      <c r="AQ135" s="139"/>
      <c r="AR135" s="139"/>
    </row>
    <row r="136" spans="2:44" s="13" customFormat="1" ht="15">
      <c r="B136" s="22" t="s">
        <v>129</v>
      </c>
      <c r="C136" s="23"/>
      <c r="D136" s="23"/>
      <c r="E136" s="23"/>
      <c r="F136" s="24"/>
      <c r="G136" s="24"/>
      <c r="H136" s="24"/>
      <c r="I136" s="23"/>
      <c r="J136" s="23"/>
      <c r="K136" s="23"/>
      <c r="L136" s="24" t="s">
        <v>103</v>
      </c>
      <c r="M136" s="23"/>
      <c r="N136" s="23"/>
      <c r="O136" s="102"/>
      <c r="P136" s="104"/>
      <c r="Q136" s="102"/>
      <c r="R136" s="102"/>
      <c r="S136" s="102"/>
      <c r="T136" s="102"/>
      <c r="U136" s="102"/>
      <c r="V136" s="102"/>
      <c r="W136" s="102"/>
      <c r="X136" s="102"/>
      <c r="Y136" s="102"/>
      <c r="Z136" s="105"/>
      <c r="AA136" s="102"/>
      <c r="AB136" s="102"/>
      <c r="AC136" s="102"/>
      <c r="AD136" s="105"/>
      <c r="AE136" s="102"/>
      <c r="AF136" s="102"/>
      <c r="AG136" s="102"/>
      <c r="AH136" s="105"/>
      <c r="AI136" s="196"/>
      <c r="AJ136" s="140" t="str">
        <f t="shared" si="10"/>
        <v/>
      </c>
      <c r="AK136" s="15"/>
      <c r="AL136" s="15"/>
      <c r="AM136" s="136"/>
      <c r="AN136" s="137" t="str">
        <f t="shared" si="11"/>
        <v/>
      </c>
      <c r="AO136" s="139"/>
      <c r="AP136" s="139"/>
      <c r="AQ136" s="139"/>
      <c r="AR136" s="139"/>
    </row>
    <row r="137" spans="2:44" s="13" customFormat="1" ht="60">
      <c r="B137" s="25" t="s">
        <v>128</v>
      </c>
      <c r="C137" s="199" t="s">
        <v>127</v>
      </c>
      <c r="D137" s="199" t="s">
        <v>126</v>
      </c>
      <c r="E137" s="199" t="s">
        <v>125</v>
      </c>
      <c r="F137" s="32" t="s">
        <v>1</v>
      </c>
      <c r="G137" s="32" t="s">
        <v>1307</v>
      </c>
      <c r="H137" s="32" t="s">
        <v>1310</v>
      </c>
      <c r="I137" s="27" t="s">
        <v>124</v>
      </c>
      <c r="J137" s="26" t="s">
        <v>79</v>
      </c>
      <c r="K137" s="27" t="s">
        <v>1212</v>
      </c>
      <c r="L137" s="28" t="s">
        <v>78</v>
      </c>
      <c r="M137" s="196" t="s">
        <v>0</v>
      </c>
      <c r="N137" s="196" t="s">
        <v>1229</v>
      </c>
      <c r="O137" s="40" t="s">
        <v>0</v>
      </c>
      <c r="P137" s="39">
        <v>42776</v>
      </c>
      <c r="Q137" s="28" t="s">
        <v>1299</v>
      </c>
      <c r="R137" s="199"/>
      <c r="S137" s="40" t="s">
        <v>0</v>
      </c>
      <c r="T137" s="41">
        <v>42794</v>
      </c>
      <c r="U137" s="28" t="s">
        <v>1299</v>
      </c>
      <c r="V137" s="199"/>
      <c r="W137" s="40"/>
      <c r="X137" s="41"/>
      <c r="Y137" s="40"/>
      <c r="Z137" s="40"/>
      <c r="AA137" s="40"/>
      <c r="AB137" s="41"/>
      <c r="AC137" s="40"/>
      <c r="AD137" s="40"/>
      <c r="AE137" s="40"/>
      <c r="AF137" s="41"/>
      <c r="AG137" s="40"/>
      <c r="AH137" s="40"/>
      <c r="AI137" s="196"/>
      <c r="AJ137" s="140" t="str">
        <f t="shared" si="10"/>
        <v/>
      </c>
      <c r="AK137" s="15"/>
      <c r="AL137" s="15"/>
      <c r="AM137" s="136"/>
      <c r="AN137" s="137" t="str">
        <f t="shared" si="11"/>
        <v/>
      </c>
      <c r="AO137" s="139"/>
      <c r="AP137" s="139"/>
      <c r="AQ137" s="139"/>
      <c r="AR137" s="139"/>
    </row>
    <row r="138" spans="2:44" s="13" customFormat="1" ht="195">
      <c r="B138" s="199" t="s">
        <v>123</v>
      </c>
      <c r="C138" s="199" t="s">
        <v>122</v>
      </c>
      <c r="D138" s="199" t="s">
        <v>1128</v>
      </c>
      <c r="E138" s="199" t="s">
        <v>120</v>
      </c>
      <c r="F138" s="32" t="s">
        <v>1</v>
      </c>
      <c r="G138" s="32" t="s">
        <v>1307</v>
      </c>
      <c r="H138" s="32" t="s">
        <v>1310</v>
      </c>
      <c r="I138" s="27"/>
      <c r="J138" s="26" t="s">
        <v>79</v>
      </c>
      <c r="K138" s="27" t="s">
        <v>1212</v>
      </c>
      <c r="L138" s="28" t="s">
        <v>78</v>
      </c>
      <c r="M138" s="196" t="s">
        <v>0</v>
      </c>
      <c r="N138" s="196" t="s">
        <v>1229</v>
      </c>
      <c r="O138" s="208" t="s">
        <v>0</v>
      </c>
      <c r="P138" s="39">
        <v>42776</v>
      </c>
      <c r="Q138" s="28" t="s">
        <v>1299</v>
      </c>
      <c r="R138" s="199"/>
      <c r="S138" s="40" t="s">
        <v>0</v>
      </c>
      <c r="T138" s="41">
        <v>42794</v>
      </c>
      <c r="U138" s="28" t="s">
        <v>1299</v>
      </c>
      <c r="V138" s="199"/>
      <c r="W138" s="40"/>
      <c r="X138" s="41"/>
      <c r="Y138" s="40"/>
      <c r="Z138" s="40"/>
      <c r="AA138" s="40"/>
      <c r="AB138" s="41"/>
      <c r="AC138" s="40"/>
      <c r="AD138" s="40"/>
      <c r="AE138" s="40"/>
      <c r="AF138" s="41"/>
      <c r="AG138" s="40"/>
      <c r="AH138" s="40"/>
      <c r="AI138" s="196"/>
      <c r="AJ138" s="140" t="str">
        <f t="shared" si="10"/>
        <v/>
      </c>
      <c r="AK138" s="15"/>
      <c r="AL138" s="15"/>
      <c r="AM138" s="136"/>
      <c r="AN138" s="137" t="str">
        <f t="shared" si="11"/>
        <v/>
      </c>
      <c r="AO138" s="139"/>
      <c r="AP138" s="139"/>
      <c r="AQ138" s="139"/>
      <c r="AR138" s="139"/>
    </row>
    <row r="139" spans="2:44" s="13" customFormat="1" ht="195">
      <c r="B139" s="28" t="s">
        <v>121</v>
      </c>
      <c r="C139" s="25"/>
      <c r="D139" s="199" t="s">
        <v>1129</v>
      </c>
      <c r="E139" s="199" t="s">
        <v>120</v>
      </c>
      <c r="F139" s="32" t="s">
        <v>1</v>
      </c>
      <c r="G139" s="32" t="s">
        <v>1307</v>
      </c>
      <c r="H139" s="32" t="s">
        <v>1310</v>
      </c>
      <c r="I139" s="27"/>
      <c r="J139" s="26" t="s">
        <v>79</v>
      </c>
      <c r="K139" s="27" t="s">
        <v>1212</v>
      </c>
      <c r="L139" s="28" t="s">
        <v>78</v>
      </c>
      <c r="M139" s="196" t="s">
        <v>0</v>
      </c>
      <c r="N139" s="196" t="s">
        <v>1229</v>
      </c>
      <c r="O139" s="208" t="s">
        <v>0</v>
      </c>
      <c r="P139" s="39">
        <v>42776</v>
      </c>
      <c r="Q139" s="28" t="s">
        <v>1299</v>
      </c>
      <c r="R139" s="199"/>
      <c r="S139" s="40" t="s">
        <v>0</v>
      </c>
      <c r="T139" s="41">
        <v>42794</v>
      </c>
      <c r="U139" s="28" t="s">
        <v>1299</v>
      </c>
      <c r="V139" s="199"/>
      <c r="W139" s="40"/>
      <c r="X139" s="41"/>
      <c r="Y139" s="40"/>
      <c r="Z139" s="40"/>
      <c r="AA139" s="40"/>
      <c r="AB139" s="41"/>
      <c r="AC139" s="40"/>
      <c r="AD139" s="40"/>
      <c r="AE139" s="40"/>
      <c r="AF139" s="41"/>
      <c r="AG139" s="40"/>
      <c r="AH139" s="40"/>
      <c r="AI139" s="196"/>
      <c r="AJ139" s="140" t="str">
        <f t="shared" si="10"/>
        <v/>
      </c>
      <c r="AK139" s="15"/>
      <c r="AL139" s="15"/>
      <c r="AM139" s="136"/>
      <c r="AN139" s="137" t="str">
        <f t="shared" si="11"/>
        <v/>
      </c>
      <c r="AO139" s="139"/>
      <c r="AP139" s="139"/>
      <c r="AQ139" s="139"/>
      <c r="AR139" s="139"/>
    </row>
    <row r="140" spans="2:44" s="13" customFormat="1" ht="180">
      <c r="B140" s="25" t="s">
        <v>119</v>
      </c>
      <c r="C140" s="25" t="s">
        <v>118</v>
      </c>
      <c r="D140" s="199" t="s">
        <v>1130</v>
      </c>
      <c r="E140" s="199" t="s">
        <v>117</v>
      </c>
      <c r="F140" s="32" t="s">
        <v>1</v>
      </c>
      <c r="G140" s="32" t="s">
        <v>1307</v>
      </c>
      <c r="H140" s="32" t="s">
        <v>1310</v>
      </c>
      <c r="I140" s="27"/>
      <c r="J140" s="26" t="s">
        <v>79</v>
      </c>
      <c r="K140" s="27" t="s">
        <v>1212</v>
      </c>
      <c r="L140" s="28" t="s">
        <v>78</v>
      </c>
      <c r="M140" s="196" t="s">
        <v>0</v>
      </c>
      <c r="N140" s="196" t="s">
        <v>1229</v>
      </c>
      <c r="O140" s="40" t="s">
        <v>0</v>
      </c>
      <c r="P140" s="39">
        <v>42776</v>
      </c>
      <c r="Q140" s="28" t="s">
        <v>1299</v>
      </c>
      <c r="R140" s="199"/>
      <c r="S140" s="40" t="s">
        <v>0</v>
      </c>
      <c r="T140" s="41">
        <v>42794</v>
      </c>
      <c r="U140" s="28" t="s">
        <v>1299</v>
      </c>
      <c r="V140" s="199"/>
      <c r="W140" s="40"/>
      <c r="X140" s="41"/>
      <c r="Y140" s="40"/>
      <c r="Z140" s="40"/>
      <c r="AA140" s="40"/>
      <c r="AB140" s="41"/>
      <c r="AC140" s="40"/>
      <c r="AD140" s="40"/>
      <c r="AE140" s="40"/>
      <c r="AF140" s="41"/>
      <c r="AG140" s="40"/>
      <c r="AH140" s="40"/>
      <c r="AI140" s="196"/>
      <c r="AJ140" s="140" t="str">
        <f t="shared" si="10"/>
        <v/>
      </c>
      <c r="AK140" s="15"/>
      <c r="AL140" s="15"/>
      <c r="AM140" s="136"/>
      <c r="AN140" s="137" t="str">
        <f t="shared" si="11"/>
        <v/>
      </c>
      <c r="AO140" s="139"/>
      <c r="AP140" s="139"/>
      <c r="AQ140" s="139"/>
      <c r="AR140" s="139"/>
    </row>
    <row r="141" spans="2:44" s="13" customFormat="1" ht="120">
      <c r="B141" s="28" t="s">
        <v>116</v>
      </c>
      <c r="C141" s="25"/>
      <c r="D141" s="199" t="s">
        <v>115</v>
      </c>
      <c r="E141" s="199" t="s">
        <v>114</v>
      </c>
      <c r="F141" s="32" t="s">
        <v>1</v>
      </c>
      <c r="G141" s="32" t="s">
        <v>1307</v>
      </c>
      <c r="H141" s="32" t="s">
        <v>1310</v>
      </c>
      <c r="I141" s="27"/>
      <c r="J141" s="26" t="s">
        <v>79</v>
      </c>
      <c r="K141" s="27" t="s">
        <v>1212</v>
      </c>
      <c r="L141" s="28" t="s">
        <v>78</v>
      </c>
      <c r="M141" s="196" t="s">
        <v>0</v>
      </c>
      <c r="N141" s="196" t="s">
        <v>1229</v>
      </c>
      <c r="O141" s="40" t="s">
        <v>0</v>
      </c>
      <c r="P141" s="39">
        <v>42776</v>
      </c>
      <c r="Q141" s="28" t="s">
        <v>1299</v>
      </c>
      <c r="R141" s="199"/>
      <c r="S141" s="40" t="s">
        <v>0</v>
      </c>
      <c r="T141" s="41">
        <v>42794</v>
      </c>
      <c r="U141" s="28" t="s">
        <v>1299</v>
      </c>
      <c r="V141" s="199"/>
      <c r="W141" s="40"/>
      <c r="X141" s="41"/>
      <c r="Y141" s="40"/>
      <c r="Z141" s="40"/>
      <c r="AA141" s="40"/>
      <c r="AB141" s="41"/>
      <c r="AC141" s="40"/>
      <c r="AD141" s="40"/>
      <c r="AE141" s="40"/>
      <c r="AF141" s="41"/>
      <c r="AG141" s="40"/>
      <c r="AH141" s="40"/>
      <c r="AI141" s="196"/>
      <c r="AJ141" s="140" t="str">
        <f t="shared" si="10"/>
        <v/>
      </c>
      <c r="AK141" s="15"/>
      <c r="AL141" s="15"/>
      <c r="AM141" s="136"/>
      <c r="AN141" s="137" t="str">
        <f t="shared" si="11"/>
        <v/>
      </c>
      <c r="AO141" s="139"/>
      <c r="AP141" s="139"/>
      <c r="AQ141" s="139"/>
      <c r="AR141" s="139"/>
    </row>
    <row r="142" spans="2:44" s="13" customFormat="1" ht="180">
      <c r="B142" s="28" t="s">
        <v>113</v>
      </c>
      <c r="C142" s="25"/>
      <c r="D142" s="199" t="s">
        <v>1131</v>
      </c>
      <c r="E142" s="199" t="s">
        <v>112</v>
      </c>
      <c r="F142" s="32" t="s">
        <v>1</v>
      </c>
      <c r="G142" s="32" t="s">
        <v>1307</v>
      </c>
      <c r="H142" s="32" t="s">
        <v>1310</v>
      </c>
      <c r="I142" s="27"/>
      <c r="J142" s="26" t="s">
        <v>79</v>
      </c>
      <c r="K142" s="27" t="s">
        <v>1212</v>
      </c>
      <c r="L142" s="28" t="s">
        <v>78</v>
      </c>
      <c r="M142" s="196" t="s">
        <v>0</v>
      </c>
      <c r="N142" s="196" t="s">
        <v>1229</v>
      </c>
      <c r="O142" s="40" t="s">
        <v>0</v>
      </c>
      <c r="P142" s="39">
        <v>42776</v>
      </c>
      <c r="Q142" s="28" t="s">
        <v>1299</v>
      </c>
      <c r="R142" s="199"/>
      <c r="S142" s="40" t="s">
        <v>0</v>
      </c>
      <c r="T142" s="41">
        <v>42794</v>
      </c>
      <c r="U142" s="28" t="s">
        <v>1299</v>
      </c>
      <c r="V142" s="199"/>
      <c r="W142" s="40"/>
      <c r="X142" s="41"/>
      <c r="Y142" s="40"/>
      <c r="Z142" s="40"/>
      <c r="AA142" s="40"/>
      <c r="AB142" s="41"/>
      <c r="AC142" s="40"/>
      <c r="AD142" s="40"/>
      <c r="AE142" s="40"/>
      <c r="AF142" s="41"/>
      <c r="AG142" s="40"/>
      <c r="AH142" s="40"/>
      <c r="AI142" s="196"/>
      <c r="AJ142" s="140" t="str">
        <f t="shared" si="10"/>
        <v/>
      </c>
      <c r="AK142" s="15"/>
      <c r="AL142" s="15"/>
      <c r="AM142" s="136"/>
      <c r="AN142" s="137" t="str">
        <f t="shared" si="11"/>
        <v/>
      </c>
      <c r="AO142" s="139"/>
      <c r="AP142" s="139"/>
      <c r="AQ142" s="139"/>
      <c r="AR142" s="139"/>
    </row>
    <row r="143" spans="2:44" s="13" customFormat="1" ht="150">
      <c r="B143" s="28" t="s">
        <v>111</v>
      </c>
      <c r="C143" s="25"/>
      <c r="D143" s="199" t="s">
        <v>1132</v>
      </c>
      <c r="E143" s="199" t="s">
        <v>1133</v>
      </c>
      <c r="F143" s="32" t="s">
        <v>1</v>
      </c>
      <c r="G143" s="32" t="s">
        <v>1307</v>
      </c>
      <c r="H143" s="32" t="s">
        <v>1310</v>
      </c>
      <c r="I143" s="27"/>
      <c r="J143" s="26" t="s">
        <v>79</v>
      </c>
      <c r="K143" s="27" t="s">
        <v>1212</v>
      </c>
      <c r="L143" s="28" t="s">
        <v>78</v>
      </c>
      <c r="M143" s="196" t="s">
        <v>0</v>
      </c>
      <c r="N143" s="196" t="s">
        <v>1229</v>
      </c>
      <c r="O143" s="40" t="s">
        <v>0</v>
      </c>
      <c r="P143" s="39">
        <v>42776</v>
      </c>
      <c r="Q143" s="28" t="s">
        <v>1299</v>
      </c>
      <c r="R143" s="199"/>
      <c r="S143" s="40" t="s">
        <v>0</v>
      </c>
      <c r="T143" s="41">
        <v>42794</v>
      </c>
      <c r="U143" s="28" t="s">
        <v>1299</v>
      </c>
      <c r="V143" s="199"/>
      <c r="W143" s="40"/>
      <c r="X143" s="41"/>
      <c r="Y143" s="40"/>
      <c r="Z143" s="40"/>
      <c r="AA143" s="40"/>
      <c r="AB143" s="41"/>
      <c r="AC143" s="40"/>
      <c r="AD143" s="40"/>
      <c r="AE143" s="40"/>
      <c r="AF143" s="41"/>
      <c r="AG143" s="40"/>
      <c r="AH143" s="40"/>
      <c r="AI143" s="196"/>
      <c r="AJ143" s="140" t="str">
        <f t="shared" si="10"/>
        <v/>
      </c>
      <c r="AK143" s="15"/>
      <c r="AL143" s="15"/>
      <c r="AM143" s="136"/>
      <c r="AN143" s="137" t="str">
        <f t="shared" si="11"/>
        <v/>
      </c>
      <c r="AO143" s="139"/>
      <c r="AP143" s="139"/>
      <c r="AQ143" s="139"/>
      <c r="AR143" s="139"/>
    </row>
    <row r="144" spans="2:44" s="13" customFormat="1" ht="150">
      <c r="B144" s="28" t="s">
        <v>110</v>
      </c>
      <c r="C144" s="25"/>
      <c r="D144" s="199" t="s">
        <v>1134</v>
      </c>
      <c r="E144" s="199" t="s">
        <v>109</v>
      </c>
      <c r="F144" s="32" t="s">
        <v>1</v>
      </c>
      <c r="G144" s="32" t="s">
        <v>1307</v>
      </c>
      <c r="H144" s="32" t="s">
        <v>1310</v>
      </c>
      <c r="I144" s="27"/>
      <c r="J144" s="26" t="s">
        <v>79</v>
      </c>
      <c r="K144" s="27" t="s">
        <v>1212</v>
      </c>
      <c r="L144" s="28" t="s">
        <v>78</v>
      </c>
      <c r="M144" s="196" t="s">
        <v>0</v>
      </c>
      <c r="N144" s="196" t="s">
        <v>1229</v>
      </c>
      <c r="O144" s="40" t="s">
        <v>0</v>
      </c>
      <c r="P144" s="39">
        <v>42776</v>
      </c>
      <c r="Q144" s="28" t="s">
        <v>1299</v>
      </c>
      <c r="R144" s="199"/>
      <c r="S144" s="40" t="s">
        <v>0</v>
      </c>
      <c r="T144" s="41">
        <v>42794</v>
      </c>
      <c r="U144" s="28" t="s">
        <v>1299</v>
      </c>
      <c r="V144" s="199"/>
      <c r="W144" s="40"/>
      <c r="X144" s="41"/>
      <c r="Y144" s="40"/>
      <c r="Z144" s="40"/>
      <c r="AA144" s="40"/>
      <c r="AB144" s="41"/>
      <c r="AC144" s="40"/>
      <c r="AD144" s="40"/>
      <c r="AE144" s="40"/>
      <c r="AF144" s="41"/>
      <c r="AG144" s="40"/>
      <c r="AH144" s="40"/>
      <c r="AI144" s="196"/>
      <c r="AJ144" s="140" t="str">
        <f t="shared" si="10"/>
        <v/>
      </c>
      <c r="AK144" s="15"/>
      <c r="AL144" s="15"/>
      <c r="AM144" s="136"/>
      <c r="AN144" s="137" t="str">
        <f t="shared" si="11"/>
        <v/>
      </c>
      <c r="AO144" s="139"/>
      <c r="AP144" s="139"/>
      <c r="AQ144" s="139"/>
      <c r="AR144" s="139"/>
    </row>
    <row r="145" spans="1:44" s="13" customFormat="1" ht="195">
      <c r="B145" s="199" t="s">
        <v>108</v>
      </c>
      <c r="C145" s="25" t="s">
        <v>107</v>
      </c>
      <c r="D145" s="199" t="s">
        <v>106</v>
      </c>
      <c r="E145" s="199" t="s">
        <v>105</v>
      </c>
      <c r="F145" s="32" t="s">
        <v>1</v>
      </c>
      <c r="G145" s="32" t="s">
        <v>1307</v>
      </c>
      <c r="H145" s="32" t="s">
        <v>1310</v>
      </c>
      <c r="I145" s="27"/>
      <c r="J145" s="26" t="s">
        <v>79</v>
      </c>
      <c r="K145" s="27" t="s">
        <v>1212</v>
      </c>
      <c r="L145" s="28" t="s">
        <v>78</v>
      </c>
      <c r="M145" s="196" t="s">
        <v>0</v>
      </c>
      <c r="N145" s="196" t="s">
        <v>1229</v>
      </c>
      <c r="O145" s="40" t="s">
        <v>0</v>
      </c>
      <c r="P145" s="39">
        <v>42776</v>
      </c>
      <c r="Q145" s="28" t="s">
        <v>1299</v>
      </c>
      <c r="R145" s="199"/>
      <c r="S145" s="40" t="s">
        <v>0</v>
      </c>
      <c r="T145" s="41">
        <v>42794</v>
      </c>
      <c r="U145" s="28" t="s">
        <v>1299</v>
      </c>
      <c r="V145" s="199"/>
      <c r="W145" s="40"/>
      <c r="X145" s="41"/>
      <c r="Y145" s="40"/>
      <c r="Z145" s="40"/>
      <c r="AA145" s="40"/>
      <c r="AB145" s="41"/>
      <c r="AC145" s="40"/>
      <c r="AD145" s="40"/>
      <c r="AE145" s="40"/>
      <c r="AF145" s="41"/>
      <c r="AG145" s="40"/>
      <c r="AH145" s="40"/>
      <c r="AI145" s="196"/>
      <c r="AJ145" s="140" t="str">
        <f t="shared" ref="AJ145:AJ182" si="12">IF(AI145&gt;0, IF(AI145&gt;=14,"D",IF(AI145&gt;=8,"N","E")),"")</f>
        <v/>
      </c>
      <c r="AK145" s="15"/>
      <c r="AL145" s="15"/>
      <c r="AM145" s="136"/>
      <c r="AN145" s="137" t="str">
        <f t="shared" ref="AN145:AN182" si="13">IF(AM145&gt;0, IF(AM145&gt;=14,"D",IF(AM145&gt;=8,"N","E")),"")</f>
        <v/>
      </c>
      <c r="AO145" s="139"/>
      <c r="AP145" s="139"/>
      <c r="AQ145" s="139"/>
      <c r="AR145" s="139"/>
    </row>
    <row r="146" spans="1:44" s="13" customFormat="1" ht="15">
      <c r="B146" s="22" t="s">
        <v>104</v>
      </c>
      <c r="C146" s="23"/>
      <c r="D146" s="23"/>
      <c r="E146" s="23"/>
      <c r="F146" s="24"/>
      <c r="G146" s="24"/>
      <c r="H146" s="24"/>
      <c r="I146" s="23"/>
      <c r="J146" s="23"/>
      <c r="K146" s="23"/>
      <c r="L146" s="24" t="s">
        <v>103</v>
      </c>
      <c r="M146" s="23"/>
      <c r="N146" s="23"/>
      <c r="O146" s="102"/>
      <c r="P146" s="104"/>
      <c r="Q146" s="102"/>
      <c r="R146" s="102"/>
      <c r="S146" s="102"/>
      <c r="T146" s="102"/>
      <c r="U146" s="102"/>
      <c r="V146" s="102"/>
      <c r="W146" s="102"/>
      <c r="X146" s="102"/>
      <c r="Y146" s="102"/>
      <c r="Z146" s="105"/>
      <c r="AA146" s="102"/>
      <c r="AB146" s="102"/>
      <c r="AC146" s="102"/>
      <c r="AD146" s="105"/>
      <c r="AE146" s="102"/>
      <c r="AF146" s="102"/>
      <c r="AG146" s="102"/>
      <c r="AH146" s="105"/>
      <c r="AI146" s="196"/>
      <c r="AJ146" s="140" t="str">
        <f t="shared" si="12"/>
        <v/>
      </c>
      <c r="AK146" s="15"/>
      <c r="AL146" s="15"/>
      <c r="AM146" s="136"/>
      <c r="AN146" s="137" t="str">
        <f t="shared" si="13"/>
        <v/>
      </c>
      <c r="AO146" s="139"/>
      <c r="AP146" s="139"/>
      <c r="AQ146" s="139"/>
      <c r="AR146" s="139"/>
    </row>
    <row r="147" spans="1:44" s="13" customFormat="1" ht="285">
      <c r="B147" s="199" t="s">
        <v>102</v>
      </c>
      <c r="C147" s="199" t="s">
        <v>101</v>
      </c>
      <c r="D147" s="199" t="s">
        <v>100</v>
      </c>
      <c r="E147" s="199" t="s">
        <v>99</v>
      </c>
      <c r="F147" s="32" t="s">
        <v>1</v>
      </c>
      <c r="G147" s="32" t="s">
        <v>1307</v>
      </c>
      <c r="H147" s="32" t="s">
        <v>1310</v>
      </c>
      <c r="I147" s="44" t="s">
        <v>90</v>
      </c>
      <c r="J147" s="26" t="s">
        <v>79</v>
      </c>
      <c r="K147" s="27" t="s">
        <v>1212</v>
      </c>
      <c r="L147" s="28" t="s">
        <v>78</v>
      </c>
      <c r="M147" s="196" t="s">
        <v>0</v>
      </c>
      <c r="N147" s="196" t="s">
        <v>1229</v>
      </c>
      <c r="O147" s="40" t="s">
        <v>0</v>
      </c>
      <c r="P147" s="39">
        <v>42776</v>
      </c>
      <c r="Q147" s="28" t="s">
        <v>1299</v>
      </c>
      <c r="R147" s="199"/>
      <c r="S147" s="40" t="s">
        <v>0</v>
      </c>
      <c r="T147" s="41">
        <v>42794</v>
      </c>
      <c r="U147" s="28" t="s">
        <v>1299</v>
      </c>
      <c r="V147" s="199"/>
      <c r="W147" s="40"/>
      <c r="X147" s="41"/>
      <c r="Y147" s="40"/>
      <c r="Z147" s="40"/>
      <c r="AA147" s="40"/>
      <c r="AB147" s="41"/>
      <c r="AC147" s="40"/>
      <c r="AD147" s="40"/>
      <c r="AE147" s="40"/>
      <c r="AF147" s="41"/>
      <c r="AG147" s="40"/>
      <c r="AH147" s="40"/>
      <c r="AI147" s="196"/>
      <c r="AJ147" s="140" t="str">
        <f t="shared" si="12"/>
        <v/>
      </c>
      <c r="AK147" s="15"/>
      <c r="AL147" s="15"/>
      <c r="AM147" s="136"/>
      <c r="AN147" s="137" t="str">
        <f t="shared" si="13"/>
        <v/>
      </c>
      <c r="AO147" s="139"/>
      <c r="AP147" s="139"/>
      <c r="AQ147" s="139"/>
      <c r="AR147" s="139"/>
    </row>
    <row r="148" spans="1:44" s="13" customFormat="1" ht="180">
      <c r="B148" s="51" t="s">
        <v>98</v>
      </c>
      <c r="C148" s="199"/>
      <c r="D148" s="199" t="s">
        <v>1135</v>
      </c>
      <c r="E148" s="199" t="s">
        <v>1136</v>
      </c>
      <c r="F148" s="32" t="s">
        <v>1</v>
      </c>
      <c r="G148" s="32" t="s">
        <v>1307</v>
      </c>
      <c r="H148" s="32" t="s">
        <v>1310</v>
      </c>
      <c r="I148" s="44" t="s">
        <v>90</v>
      </c>
      <c r="J148" s="26" t="s">
        <v>79</v>
      </c>
      <c r="K148" s="27" t="s">
        <v>1212</v>
      </c>
      <c r="L148" s="28" t="s">
        <v>78</v>
      </c>
      <c r="M148" s="196" t="s">
        <v>0</v>
      </c>
      <c r="N148" s="196" t="s">
        <v>1229</v>
      </c>
      <c r="O148" s="40" t="s">
        <v>0</v>
      </c>
      <c r="P148" s="39">
        <v>42776</v>
      </c>
      <c r="Q148" s="28" t="s">
        <v>1299</v>
      </c>
      <c r="R148" s="199"/>
      <c r="S148" s="40" t="s">
        <v>0</v>
      </c>
      <c r="T148" s="41">
        <v>42794</v>
      </c>
      <c r="U148" s="28" t="s">
        <v>1299</v>
      </c>
      <c r="V148" s="199"/>
      <c r="W148" s="40"/>
      <c r="X148" s="41"/>
      <c r="Y148" s="40"/>
      <c r="Z148" s="40"/>
      <c r="AA148" s="40"/>
      <c r="AB148" s="41"/>
      <c r="AC148" s="40"/>
      <c r="AD148" s="40"/>
      <c r="AE148" s="40"/>
      <c r="AF148" s="41"/>
      <c r="AG148" s="40"/>
      <c r="AH148" s="40"/>
      <c r="AI148" s="196"/>
      <c r="AJ148" s="140" t="str">
        <f t="shared" si="12"/>
        <v/>
      </c>
      <c r="AK148" s="15"/>
      <c r="AL148" s="15"/>
      <c r="AM148" s="136"/>
      <c r="AN148" s="137" t="str">
        <f t="shared" si="13"/>
        <v/>
      </c>
      <c r="AO148" s="139"/>
      <c r="AP148" s="139"/>
      <c r="AQ148" s="139"/>
      <c r="AR148" s="139"/>
    </row>
    <row r="149" spans="1:44" s="13" customFormat="1" ht="195">
      <c r="B149" s="51" t="s">
        <v>97</v>
      </c>
      <c r="C149" s="199"/>
      <c r="D149" s="199" t="s">
        <v>1137</v>
      </c>
      <c r="E149" s="199" t="s">
        <v>1138</v>
      </c>
      <c r="F149" s="32" t="s">
        <v>1</v>
      </c>
      <c r="G149" s="32" t="s">
        <v>1307</v>
      </c>
      <c r="H149" s="32" t="s">
        <v>1310</v>
      </c>
      <c r="I149" s="44" t="s">
        <v>90</v>
      </c>
      <c r="J149" s="26" t="s">
        <v>79</v>
      </c>
      <c r="K149" s="27" t="s">
        <v>1212</v>
      </c>
      <c r="L149" s="28" t="s">
        <v>78</v>
      </c>
      <c r="M149" s="196" t="s">
        <v>0</v>
      </c>
      <c r="N149" s="196" t="s">
        <v>1229</v>
      </c>
      <c r="O149" s="40" t="s">
        <v>0</v>
      </c>
      <c r="P149" s="39">
        <v>42776</v>
      </c>
      <c r="Q149" s="28" t="s">
        <v>1299</v>
      </c>
      <c r="R149" s="199"/>
      <c r="S149" s="40" t="s">
        <v>0</v>
      </c>
      <c r="T149" s="41">
        <v>42794</v>
      </c>
      <c r="U149" s="28" t="s">
        <v>1299</v>
      </c>
      <c r="V149" s="199"/>
      <c r="W149" s="40"/>
      <c r="X149" s="41"/>
      <c r="Y149" s="40"/>
      <c r="Z149" s="40"/>
      <c r="AA149" s="40"/>
      <c r="AB149" s="41"/>
      <c r="AC149" s="40"/>
      <c r="AD149" s="40"/>
      <c r="AE149" s="40"/>
      <c r="AF149" s="41"/>
      <c r="AG149" s="40"/>
      <c r="AH149" s="40"/>
      <c r="AI149" s="196"/>
      <c r="AJ149" s="140" t="str">
        <f t="shared" si="12"/>
        <v/>
      </c>
      <c r="AK149" s="15"/>
      <c r="AL149" s="15"/>
      <c r="AM149" s="136"/>
      <c r="AN149" s="137" t="str">
        <f t="shared" si="13"/>
        <v/>
      </c>
      <c r="AO149" s="139"/>
      <c r="AP149" s="139"/>
      <c r="AQ149" s="139"/>
      <c r="AR149" s="139"/>
    </row>
    <row r="150" spans="1:44" s="13" customFormat="1" ht="195">
      <c r="B150" s="51" t="s">
        <v>96</v>
      </c>
      <c r="C150" s="199"/>
      <c r="D150" s="199" t="s">
        <v>1139</v>
      </c>
      <c r="E150" s="199" t="s">
        <v>1140</v>
      </c>
      <c r="F150" s="32" t="s">
        <v>1</v>
      </c>
      <c r="G150" s="32" t="s">
        <v>1307</v>
      </c>
      <c r="H150" s="32" t="s">
        <v>1310</v>
      </c>
      <c r="I150" s="44" t="s">
        <v>90</v>
      </c>
      <c r="J150" s="26" t="s">
        <v>79</v>
      </c>
      <c r="K150" s="27" t="s">
        <v>1212</v>
      </c>
      <c r="L150" s="28" t="s">
        <v>78</v>
      </c>
      <c r="M150" s="196" t="s">
        <v>0</v>
      </c>
      <c r="N150" s="196" t="s">
        <v>1229</v>
      </c>
      <c r="O150" s="40" t="s">
        <v>0</v>
      </c>
      <c r="P150" s="39">
        <v>42776</v>
      </c>
      <c r="Q150" s="28" t="s">
        <v>1299</v>
      </c>
      <c r="R150" s="199"/>
      <c r="S150" s="40" t="s">
        <v>0</v>
      </c>
      <c r="T150" s="41">
        <v>42794</v>
      </c>
      <c r="U150" s="28" t="s">
        <v>1299</v>
      </c>
      <c r="V150" s="199"/>
      <c r="W150" s="40"/>
      <c r="X150" s="41"/>
      <c r="Y150" s="40"/>
      <c r="Z150" s="40"/>
      <c r="AA150" s="40"/>
      <c r="AB150" s="41"/>
      <c r="AC150" s="40"/>
      <c r="AD150" s="40"/>
      <c r="AE150" s="40"/>
      <c r="AF150" s="41"/>
      <c r="AG150" s="40"/>
      <c r="AH150" s="40"/>
      <c r="AI150" s="196"/>
      <c r="AJ150" s="140" t="str">
        <f t="shared" si="12"/>
        <v/>
      </c>
      <c r="AK150" s="15"/>
      <c r="AL150" s="15"/>
      <c r="AM150" s="136"/>
      <c r="AN150" s="137" t="str">
        <f t="shared" si="13"/>
        <v/>
      </c>
      <c r="AO150" s="139"/>
      <c r="AP150" s="139"/>
      <c r="AQ150" s="139"/>
      <c r="AR150" s="139"/>
    </row>
    <row r="151" spans="1:44" s="13" customFormat="1" ht="195">
      <c r="B151" s="51" t="s">
        <v>95</v>
      </c>
      <c r="C151" s="199"/>
      <c r="D151" s="199" t="s">
        <v>1141</v>
      </c>
      <c r="E151" s="199" t="s">
        <v>1142</v>
      </c>
      <c r="F151" s="32" t="s">
        <v>1</v>
      </c>
      <c r="G151" s="32" t="s">
        <v>1307</v>
      </c>
      <c r="H151" s="32" t="s">
        <v>1310</v>
      </c>
      <c r="I151" s="44" t="s">
        <v>90</v>
      </c>
      <c r="J151" s="26" t="s">
        <v>79</v>
      </c>
      <c r="K151" s="27" t="s">
        <v>1212</v>
      </c>
      <c r="L151" s="28" t="s">
        <v>78</v>
      </c>
      <c r="M151" s="196" t="s">
        <v>0</v>
      </c>
      <c r="N151" s="196" t="s">
        <v>1229</v>
      </c>
      <c r="O151" s="40" t="s">
        <v>0</v>
      </c>
      <c r="P151" s="39">
        <v>42776</v>
      </c>
      <c r="Q151" s="28" t="s">
        <v>1299</v>
      </c>
      <c r="R151" s="199"/>
      <c r="S151" s="40" t="s">
        <v>0</v>
      </c>
      <c r="T151" s="41">
        <v>42794</v>
      </c>
      <c r="U151" s="28" t="s">
        <v>1299</v>
      </c>
      <c r="V151" s="199"/>
      <c r="W151" s="40"/>
      <c r="X151" s="41"/>
      <c r="Y151" s="40"/>
      <c r="Z151" s="40"/>
      <c r="AA151" s="40"/>
      <c r="AB151" s="41"/>
      <c r="AC151" s="40"/>
      <c r="AD151" s="40"/>
      <c r="AE151" s="40"/>
      <c r="AF151" s="41"/>
      <c r="AG151" s="40"/>
      <c r="AH151" s="40"/>
      <c r="AI151" s="196"/>
      <c r="AJ151" s="140" t="str">
        <f t="shared" si="12"/>
        <v/>
      </c>
      <c r="AK151" s="15"/>
      <c r="AL151" s="15"/>
      <c r="AM151" s="136"/>
      <c r="AN151" s="137" t="str">
        <f t="shared" si="13"/>
        <v/>
      </c>
      <c r="AO151" s="139"/>
      <c r="AP151" s="139"/>
      <c r="AQ151" s="139"/>
      <c r="AR151" s="139"/>
    </row>
    <row r="152" spans="1:44" s="13" customFormat="1" ht="195">
      <c r="B152" s="51" t="s">
        <v>94</v>
      </c>
      <c r="C152" s="199"/>
      <c r="D152" s="199" t="s">
        <v>1143</v>
      </c>
      <c r="E152" s="199" t="s">
        <v>1144</v>
      </c>
      <c r="F152" s="32" t="s">
        <v>1</v>
      </c>
      <c r="G152" s="32" t="s">
        <v>1307</v>
      </c>
      <c r="H152" s="32" t="s">
        <v>1310</v>
      </c>
      <c r="I152" s="44" t="s">
        <v>90</v>
      </c>
      <c r="J152" s="26" t="s">
        <v>79</v>
      </c>
      <c r="K152" s="27" t="s">
        <v>1212</v>
      </c>
      <c r="L152" s="28" t="s">
        <v>78</v>
      </c>
      <c r="M152" s="196" t="s">
        <v>0</v>
      </c>
      <c r="N152" s="196" t="s">
        <v>1229</v>
      </c>
      <c r="O152" s="40" t="s">
        <v>0</v>
      </c>
      <c r="P152" s="39">
        <v>42776</v>
      </c>
      <c r="Q152" s="28" t="s">
        <v>1299</v>
      </c>
      <c r="R152" s="199"/>
      <c r="S152" s="40" t="s">
        <v>0</v>
      </c>
      <c r="T152" s="41">
        <v>42794</v>
      </c>
      <c r="U152" s="28" t="s">
        <v>1299</v>
      </c>
      <c r="V152" s="199"/>
      <c r="W152" s="40"/>
      <c r="X152" s="41"/>
      <c r="Y152" s="40"/>
      <c r="Z152" s="40"/>
      <c r="AA152" s="40"/>
      <c r="AB152" s="41"/>
      <c r="AC152" s="40"/>
      <c r="AD152" s="40"/>
      <c r="AE152" s="40"/>
      <c r="AF152" s="41"/>
      <c r="AG152" s="40"/>
      <c r="AH152" s="40"/>
      <c r="AI152" s="196"/>
      <c r="AJ152" s="140" t="str">
        <f t="shared" si="12"/>
        <v/>
      </c>
      <c r="AK152" s="15"/>
      <c r="AL152" s="15"/>
      <c r="AM152" s="136"/>
      <c r="AN152" s="137" t="str">
        <f t="shared" si="13"/>
        <v/>
      </c>
      <c r="AO152" s="139"/>
      <c r="AP152" s="139"/>
      <c r="AQ152" s="139"/>
      <c r="AR152" s="139"/>
    </row>
    <row r="153" spans="1:44" s="13" customFormat="1" ht="195">
      <c r="B153" s="51" t="s">
        <v>93</v>
      </c>
      <c r="C153" s="199"/>
      <c r="D153" s="199" t="s">
        <v>1145</v>
      </c>
      <c r="E153" s="199" t="s">
        <v>1146</v>
      </c>
      <c r="F153" s="32" t="s">
        <v>1</v>
      </c>
      <c r="G153" s="32" t="s">
        <v>1307</v>
      </c>
      <c r="H153" s="32" t="s">
        <v>1310</v>
      </c>
      <c r="I153" s="44" t="s">
        <v>90</v>
      </c>
      <c r="J153" s="26" t="s">
        <v>79</v>
      </c>
      <c r="K153" s="27" t="s">
        <v>1212</v>
      </c>
      <c r="L153" s="28" t="s">
        <v>78</v>
      </c>
      <c r="M153" s="196" t="s">
        <v>0</v>
      </c>
      <c r="N153" s="196" t="s">
        <v>1229</v>
      </c>
      <c r="O153" s="40" t="s">
        <v>0</v>
      </c>
      <c r="P153" s="39">
        <v>42776</v>
      </c>
      <c r="Q153" s="28" t="s">
        <v>1299</v>
      </c>
      <c r="R153" s="199"/>
      <c r="S153" s="40" t="s">
        <v>0</v>
      </c>
      <c r="T153" s="41">
        <v>42794</v>
      </c>
      <c r="U153" s="28" t="s">
        <v>1299</v>
      </c>
      <c r="V153" s="199"/>
      <c r="W153" s="40"/>
      <c r="X153" s="41"/>
      <c r="Y153" s="40"/>
      <c r="Z153" s="40"/>
      <c r="AA153" s="40"/>
      <c r="AB153" s="41"/>
      <c r="AC153" s="40"/>
      <c r="AD153" s="40"/>
      <c r="AE153" s="40"/>
      <c r="AF153" s="41"/>
      <c r="AG153" s="40"/>
      <c r="AH153" s="40"/>
      <c r="AI153" s="196"/>
      <c r="AJ153" s="140" t="str">
        <f t="shared" si="12"/>
        <v/>
      </c>
      <c r="AK153" s="15"/>
      <c r="AL153" s="15"/>
      <c r="AM153" s="136"/>
      <c r="AN153" s="137" t="str">
        <f t="shared" si="13"/>
        <v/>
      </c>
      <c r="AO153" s="139"/>
      <c r="AP153" s="139"/>
      <c r="AQ153" s="139"/>
      <c r="AR153" s="139"/>
    </row>
    <row r="154" spans="1:44" s="13" customFormat="1" ht="105">
      <c r="B154" s="51" t="s">
        <v>92</v>
      </c>
      <c r="C154" s="199"/>
      <c r="D154" s="199" t="s">
        <v>1147</v>
      </c>
      <c r="E154" s="199" t="s">
        <v>91</v>
      </c>
      <c r="F154" s="32" t="s">
        <v>1</v>
      </c>
      <c r="G154" s="32" t="s">
        <v>1307</v>
      </c>
      <c r="H154" s="32" t="s">
        <v>1310</v>
      </c>
      <c r="I154" s="44" t="s">
        <v>90</v>
      </c>
      <c r="J154" s="26" t="s">
        <v>79</v>
      </c>
      <c r="K154" s="27" t="s">
        <v>1212</v>
      </c>
      <c r="L154" s="28" t="s">
        <v>78</v>
      </c>
      <c r="M154" s="196" t="s">
        <v>0</v>
      </c>
      <c r="N154" s="196" t="s">
        <v>1229</v>
      </c>
      <c r="O154" s="40" t="s">
        <v>0</v>
      </c>
      <c r="P154" s="39">
        <v>42776</v>
      </c>
      <c r="Q154" s="28" t="s">
        <v>1299</v>
      </c>
      <c r="R154" s="199"/>
      <c r="S154" s="40" t="s">
        <v>0</v>
      </c>
      <c r="T154" s="41">
        <v>42794</v>
      </c>
      <c r="U154" s="28" t="s">
        <v>1299</v>
      </c>
      <c r="V154" s="199"/>
      <c r="W154" s="40"/>
      <c r="X154" s="41"/>
      <c r="Y154" s="40"/>
      <c r="Z154" s="40"/>
      <c r="AA154" s="40"/>
      <c r="AB154" s="41"/>
      <c r="AC154" s="40"/>
      <c r="AD154" s="40"/>
      <c r="AE154" s="40"/>
      <c r="AF154" s="41"/>
      <c r="AG154" s="40"/>
      <c r="AH154" s="40"/>
      <c r="AI154" s="196"/>
      <c r="AJ154" s="140" t="str">
        <f t="shared" si="12"/>
        <v/>
      </c>
      <c r="AK154" s="15"/>
      <c r="AL154" s="15"/>
      <c r="AM154" s="136"/>
      <c r="AN154" s="137" t="str">
        <f t="shared" si="13"/>
        <v/>
      </c>
      <c r="AO154" s="139"/>
      <c r="AP154" s="139"/>
      <c r="AQ154" s="139"/>
      <c r="AR154" s="139"/>
    </row>
    <row r="155" spans="1:44" s="13" customFormat="1" ht="120">
      <c r="B155" s="199" t="s">
        <v>89</v>
      </c>
      <c r="C155" s="199" t="s">
        <v>88</v>
      </c>
      <c r="D155" s="199" t="s">
        <v>87</v>
      </c>
      <c r="E155" s="40" t="s">
        <v>83</v>
      </c>
      <c r="F155" s="32" t="s">
        <v>1</v>
      </c>
      <c r="G155" s="32" t="s">
        <v>1307</v>
      </c>
      <c r="H155" s="32" t="s">
        <v>1310</v>
      </c>
      <c r="I155" s="40" t="s">
        <v>1231</v>
      </c>
      <c r="J155" s="26" t="s">
        <v>79</v>
      </c>
      <c r="K155" s="27" t="s">
        <v>1212</v>
      </c>
      <c r="L155" s="28" t="s">
        <v>78</v>
      </c>
      <c r="M155" s="196" t="s">
        <v>18</v>
      </c>
      <c r="N155" s="196" t="s">
        <v>1229</v>
      </c>
      <c r="O155" s="196" t="s">
        <v>18</v>
      </c>
      <c r="P155" s="39">
        <v>42776</v>
      </c>
      <c r="Q155" s="28" t="s">
        <v>1299</v>
      </c>
      <c r="R155" s="123" t="s">
        <v>1247</v>
      </c>
      <c r="S155" s="212" t="s">
        <v>18</v>
      </c>
      <c r="T155" s="41">
        <v>42794</v>
      </c>
      <c r="U155" s="28" t="s">
        <v>1299</v>
      </c>
      <c r="V155" s="216" t="s">
        <v>1247</v>
      </c>
      <c r="X155" s="41"/>
      <c r="Y155" s="40"/>
      <c r="Z155" s="40"/>
      <c r="AA155" s="40"/>
      <c r="AB155" s="41"/>
      <c r="AC155" s="40"/>
      <c r="AD155" s="40"/>
      <c r="AE155" s="40"/>
      <c r="AF155" s="41"/>
      <c r="AG155" s="40"/>
      <c r="AH155" s="40"/>
      <c r="AI155" s="196"/>
      <c r="AJ155" s="140" t="str">
        <f t="shared" si="12"/>
        <v/>
      </c>
      <c r="AK155" s="15"/>
      <c r="AL155" s="15"/>
      <c r="AM155" s="136"/>
      <c r="AN155" s="137" t="str">
        <f t="shared" si="13"/>
        <v/>
      </c>
      <c r="AO155" s="139"/>
      <c r="AP155" s="139"/>
      <c r="AQ155" s="139"/>
      <c r="AR155" s="139"/>
    </row>
    <row r="156" spans="1:44" s="13" customFormat="1" ht="75">
      <c r="B156" s="51" t="s">
        <v>86</v>
      </c>
      <c r="C156" s="199"/>
      <c r="D156" s="199" t="s">
        <v>85</v>
      </c>
      <c r="E156" s="199" t="s">
        <v>80</v>
      </c>
      <c r="F156" s="32" t="s">
        <v>1</v>
      </c>
      <c r="G156" s="32" t="s">
        <v>1307</v>
      </c>
      <c r="H156" s="32" t="s">
        <v>1310</v>
      </c>
      <c r="I156" s="40" t="s">
        <v>1231</v>
      </c>
      <c r="J156" s="26" t="s">
        <v>79</v>
      </c>
      <c r="K156" s="27" t="s">
        <v>1212</v>
      </c>
      <c r="L156" s="28" t="s">
        <v>78</v>
      </c>
      <c r="M156" s="196" t="s">
        <v>18</v>
      </c>
      <c r="N156" s="196" t="s">
        <v>1229</v>
      </c>
      <c r="O156" s="196" t="s">
        <v>18</v>
      </c>
      <c r="P156" s="39">
        <v>42776</v>
      </c>
      <c r="Q156" s="28" t="s">
        <v>1299</v>
      </c>
      <c r="R156" s="123" t="s">
        <v>1247</v>
      </c>
      <c r="S156" s="212" t="s">
        <v>18</v>
      </c>
      <c r="T156" s="41">
        <v>42794</v>
      </c>
      <c r="U156" s="28" t="s">
        <v>1299</v>
      </c>
      <c r="V156" s="123" t="s">
        <v>1247</v>
      </c>
      <c r="X156" s="41"/>
      <c r="Y156" s="40"/>
      <c r="Z156" s="40"/>
      <c r="AA156" s="40"/>
      <c r="AB156" s="41"/>
      <c r="AC156" s="40"/>
      <c r="AD156" s="40"/>
      <c r="AE156" s="40"/>
      <c r="AF156" s="41"/>
      <c r="AG156" s="40"/>
      <c r="AH156" s="40"/>
      <c r="AI156" s="196"/>
      <c r="AJ156" s="140" t="str">
        <f t="shared" si="12"/>
        <v/>
      </c>
      <c r="AK156" s="15"/>
      <c r="AL156" s="15"/>
      <c r="AM156" s="136"/>
      <c r="AN156" s="137" t="str">
        <f t="shared" si="13"/>
        <v/>
      </c>
      <c r="AO156" s="139"/>
      <c r="AP156" s="139"/>
      <c r="AQ156" s="139"/>
      <c r="AR156" s="139"/>
    </row>
    <row r="157" spans="1:44" s="13" customFormat="1" ht="135">
      <c r="B157" s="51" t="s">
        <v>84</v>
      </c>
      <c r="C157" s="199"/>
      <c r="D157" s="199" t="s">
        <v>1148</v>
      </c>
      <c r="E157" s="40" t="s">
        <v>83</v>
      </c>
      <c r="F157" s="32" t="s">
        <v>1</v>
      </c>
      <c r="G157" s="32" t="s">
        <v>1307</v>
      </c>
      <c r="H157" s="32" t="s">
        <v>1310</v>
      </c>
      <c r="I157" s="40" t="s">
        <v>1231</v>
      </c>
      <c r="J157" s="26" t="s">
        <v>79</v>
      </c>
      <c r="K157" s="27" t="s">
        <v>1212</v>
      </c>
      <c r="L157" s="28" t="s">
        <v>78</v>
      </c>
      <c r="M157" s="196" t="s">
        <v>18</v>
      </c>
      <c r="N157" s="196" t="s">
        <v>1229</v>
      </c>
      <c r="O157" s="196" t="s">
        <v>18</v>
      </c>
      <c r="P157" s="39">
        <v>42776</v>
      </c>
      <c r="Q157" s="28" t="s">
        <v>1299</v>
      </c>
      <c r="R157" s="123" t="s">
        <v>1247</v>
      </c>
      <c r="S157" s="212" t="s">
        <v>18</v>
      </c>
      <c r="T157" s="41">
        <v>42794</v>
      </c>
      <c r="U157" s="28" t="s">
        <v>1299</v>
      </c>
      <c r="V157" s="123" t="s">
        <v>1247</v>
      </c>
      <c r="X157" s="41"/>
      <c r="Y157" s="40"/>
      <c r="Z157" s="40"/>
      <c r="AA157" s="40"/>
      <c r="AB157" s="41"/>
      <c r="AC157" s="40"/>
      <c r="AD157" s="40"/>
      <c r="AE157" s="40"/>
      <c r="AF157" s="41"/>
      <c r="AG157" s="40"/>
      <c r="AH157" s="40"/>
      <c r="AI157" s="196"/>
      <c r="AJ157" s="140" t="str">
        <f t="shared" si="12"/>
        <v/>
      </c>
      <c r="AK157" s="15"/>
      <c r="AL157" s="15"/>
      <c r="AM157" s="136"/>
      <c r="AN157" s="137" t="str">
        <f t="shared" si="13"/>
        <v/>
      </c>
      <c r="AO157" s="139"/>
      <c r="AP157" s="139"/>
      <c r="AQ157" s="139"/>
      <c r="AR157" s="139"/>
    </row>
    <row r="158" spans="1:44" s="13" customFormat="1" ht="75">
      <c r="B158" s="51" t="s">
        <v>82</v>
      </c>
      <c r="C158" s="199"/>
      <c r="D158" s="199" t="s">
        <v>81</v>
      </c>
      <c r="E158" s="199" t="s">
        <v>80</v>
      </c>
      <c r="F158" s="32" t="s">
        <v>1</v>
      </c>
      <c r="G158" s="32" t="s">
        <v>1307</v>
      </c>
      <c r="H158" s="32" t="s">
        <v>1310</v>
      </c>
      <c r="I158" s="40" t="s">
        <v>1231</v>
      </c>
      <c r="J158" s="26" t="s">
        <v>79</v>
      </c>
      <c r="K158" s="27" t="s">
        <v>1212</v>
      </c>
      <c r="L158" s="28" t="s">
        <v>78</v>
      </c>
      <c r="M158" s="196" t="s">
        <v>18</v>
      </c>
      <c r="N158" s="196" t="s">
        <v>1229</v>
      </c>
      <c r="O158" s="196" t="s">
        <v>18</v>
      </c>
      <c r="P158" s="39">
        <v>42776</v>
      </c>
      <c r="Q158" s="28" t="s">
        <v>1299</v>
      </c>
      <c r="R158" s="123" t="s">
        <v>1247</v>
      </c>
      <c r="S158" s="212" t="s">
        <v>18</v>
      </c>
      <c r="T158" s="41">
        <v>42794</v>
      </c>
      <c r="U158" s="28" t="s">
        <v>1299</v>
      </c>
      <c r="V158" s="123" t="s">
        <v>1247</v>
      </c>
      <c r="X158" s="41"/>
      <c r="Y158" s="40"/>
      <c r="Z158" s="40"/>
      <c r="AA158" s="40"/>
      <c r="AB158" s="41"/>
      <c r="AC158" s="40"/>
      <c r="AD158" s="40"/>
      <c r="AE158" s="40"/>
      <c r="AF158" s="41"/>
      <c r="AG158" s="40"/>
      <c r="AH158" s="40"/>
      <c r="AI158" s="196"/>
      <c r="AJ158" s="140" t="str">
        <f t="shared" si="12"/>
        <v/>
      </c>
      <c r="AK158" s="15"/>
      <c r="AL158" s="15"/>
      <c r="AM158" s="136"/>
      <c r="AN158" s="137" t="str">
        <f t="shared" si="13"/>
        <v/>
      </c>
      <c r="AO158" s="139"/>
      <c r="AP158" s="139"/>
      <c r="AQ158" s="139"/>
      <c r="AR158" s="139"/>
    </row>
    <row r="159" spans="1:44" s="13" customFormat="1" ht="409.5">
      <c r="A159" s="35"/>
      <c r="B159" s="60" t="s">
        <v>77</v>
      </c>
      <c r="C159" s="196" t="s">
        <v>76</v>
      </c>
      <c r="D159" s="52" t="s">
        <v>75</v>
      </c>
      <c r="E159" s="97" t="s">
        <v>74</v>
      </c>
      <c r="F159" s="196"/>
      <c r="G159" s="32" t="s">
        <v>1307</v>
      </c>
      <c r="H159" s="32" t="s">
        <v>1310</v>
      </c>
      <c r="I159" s="196"/>
      <c r="J159" s="54" t="s">
        <v>58</v>
      </c>
      <c r="K159" s="53">
        <v>5.2</v>
      </c>
      <c r="L159" s="196" t="s">
        <v>53</v>
      </c>
      <c r="M159" s="196" t="s">
        <v>0</v>
      </c>
      <c r="N159" s="196" t="s">
        <v>27</v>
      </c>
      <c r="O159" s="196" t="s">
        <v>0</v>
      </c>
      <c r="P159" s="39">
        <v>42782</v>
      </c>
      <c r="Q159" s="199" t="s">
        <v>27</v>
      </c>
      <c r="R159" s="196"/>
      <c r="S159" s="40" t="s">
        <v>0</v>
      </c>
      <c r="T159" s="31">
        <v>42796</v>
      </c>
      <c r="U159" s="210" t="s">
        <v>1315</v>
      </c>
      <c r="V159" s="196"/>
      <c r="W159" s="196"/>
      <c r="X159" s="39"/>
      <c r="Y159" s="196"/>
      <c r="Z159" s="196"/>
      <c r="AA159" s="196"/>
      <c r="AB159" s="39"/>
      <c r="AC159" s="196"/>
      <c r="AD159" s="196"/>
      <c r="AE159" s="196"/>
      <c r="AF159" s="39"/>
      <c r="AG159" s="196"/>
      <c r="AH159" s="196"/>
      <c r="AI159" s="196">
        <v>45</v>
      </c>
      <c r="AJ159" s="140" t="str">
        <f t="shared" si="12"/>
        <v>D</v>
      </c>
      <c r="AK159" s="15"/>
      <c r="AL159" s="15"/>
      <c r="AM159" s="136">
        <v>60</v>
      </c>
      <c r="AN159" s="137" t="str">
        <f t="shared" si="13"/>
        <v>D</v>
      </c>
      <c r="AO159" s="139"/>
      <c r="AP159" s="139"/>
      <c r="AQ159" s="139"/>
      <c r="AR159" s="139"/>
    </row>
    <row r="160" spans="1:44" s="13" customFormat="1" ht="409.5" customHeight="1">
      <c r="A160" s="35"/>
      <c r="B160" s="60" t="s">
        <v>72</v>
      </c>
      <c r="C160" s="222" t="s">
        <v>71</v>
      </c>
      <c r="D160" s="52" t="s">
        <v>70</v>
      </c>
      <c r="E160" s="57"/>
      <c r="F160" s="196"/>
      <c r="G160" s="32" t="s">
        <v>1307</v>
      </c>
      <c r="H160" s="32" t="s">
        <v>1310</v>
      </c>
      <c r="I160" s="52"/>
      <c r="J160" s="54" t="s">
        <v>67</v>
      </c>
      <c r="K160" s="53">
        <v>5.2</v>
      </c>
      <c r="L160" s="196" t="s">
        <v>53</v>
      </c>
      <c r="M160" s="196" t="s">
        <v>0</v>
      </c>
      <c r="N160" s="196" t="s">
        <v>27</v>
      </c>
      <c r="O160" s="196" t="s">
        <v>0</v>
      </c>
      <c r="P160" s="39">
        <v>42783</v>
      </c>
      <c r="Q160" s="199" t="s">
        <v>27</v>
      </c>
      <c r="R160" s="196"/>
      <c r="S160" s="40" t="s">
        <v>0</v>
      </c>
      <c r="T160" s="31">
        <v>42794</v>
      </c>
      <c r="U160" s="210" t="s">
        <v>1315</v>
      </c>
      <c r="V160" s="196"/>
      <c r="W160" s="196"/>
      <c r="X160" s="39"/>
      <c r="Y160" s="196"/>
      <c r="Z160" s="196"/>
      <c r="AA160" s="196"/>
      <c r="AB160" s="39"/>
      <c r="AC160" s="196"/>
      <c r="AD160" s="196"/>
      <c r="AE160" s="196"/>
      <c r="AF160" s="39"/>
      <c r="AG160" s="196"/>
      <c r="AH160" s="196"/>
      <c r="AI160" s="196">
        <v>7</v>
      </c>
      <c r="AJ160" s="140" t="str">
        <f t="shared" si="12"/>
        <v>E</v>
      </c>
      <c r="AK160" s="15"/>
      <c r="AL160" s="15"/>
      <c r="AM160" s="136">
        <v>7</v>
      </c>
      <c r="AN160" s="137" t="str">
        <f t="shared" si="13"/>
        <v>E</v>
      </c>
      <c r="AO160" s="139"/>
      <c r="AP160" s="139"/>
      <c r="AQ160" s="139"/>
      <c r="AR160" s="139"/>
    </row>
    <row r="161" spans="1:44" s="13" customFormat="1" ht="315">
      <c r="A161" s="35"/>
      <c r="B161" s="60" t="s">
        <v>69</v>
      </c>
      <c r="C161" s="222"/>
      <c r="D161" s="52" t="s">
        <v>68</v>
      </c>
      <c r="E161" s="57"/>
      <c r="F161" s="196"/>
      <c r="G161" s="32" t="s">
        <v>1307</v>
      </c>
      <c r="H161" s="32" t="s">
        <v>1310</v>
      </c>
      <c r="I161" s="196"/>
      <c r="J161" s="54" t="s">
        <v>67</v>
      </c>
      <c r="K161" s="53">
        <v>5.2</v>
      </c>
      <c r="L161" s="196" t="s">
        <v>53</v>
      </c>
      <c r="M161" s="196" t="s">
        <v>0</v>
      </c>
      <c r="N161" s="196" t="s">
        <v>27</v>
      </c>
      <c r="O161" s="196" t="s">
        <v>0</v>
      </c>
      <c r="P161" s="39">
        <v>42783</v>
      </c>
      <c r="Q161" s="199" t="s">
        <v>27</v>
      </c>
      <c r="R161" s="196"/>
      <c r="S161" s="40" t="s">
        <v>0</v>
      </c>
      <c r="T161" s="31">
        <v>42794</v>
      </c>
      <c r="U161" s="210" t="s">
        <v>1315</v>
      </c>
      <c r="V161" s="196"/>
      <c r="W161" s="196"/>
      <c r="X161" s="39"/>
      <c r="Y161" s="196"/>
      <c r="Z161" s="196"/>
      <c r="AA161" s="196"/>
      <c r="AB161" s="39"/>
      <c r="AC161" s="196"/>
      <c r="AD161" s="196"/>
      <c r="AE161" s="196"/>
      <c r="AF161" s="39"/>
      <c r="AG161" s="196"/>
      <c r="AH161" s="196"/>
      <c r="AI161" s="196">
        <v>7</v>
      </c>
      <c r="AJ161" s="140" t="str">
        <f t="shared" si="12"/>
        <v>E</v>
      </c>
      <c r="AK161" s="15"/>
      <c r="AL161" s="15"/>
      <c r="AM161" s="136">
        <v>7</v>
      </c>
      <c r="AN161" s="137" t="str">
        <f t="shared" si="13"/>
        <v>E</v>
      </c>
      <c r="AO161" s="139"/>
      <c r="AP161" s="139"/>
      <c r="AQ161" s="139"/>
      <c r="AR161" s="139"/>
    </row>
    <row r="162" spans="1:44" s="13" customFormat="1" ht="409.5" customHeight="1">
      <c r="A162" s="35"/>
      <c r="B162" s="60" t="s">
        <v>66</v>
      </c>
      <c r="C162" s="222" t="s">
        <v>65</v>
      </c>
      <c r="D162" s="52" t="s">
        <v>64</v>
      </c>
      <c r="E162" s="57" t="s">
        <v>63</v>
      </c>
      <c r="F162" s="196"/>
      <c r="G162" s="32" t="s">
        <v>1307</v>
      </c>
      <c r="H162" s="32" t="s">
        <v>1310</v>
      </c>
      <c r="I162" s="52"/>
      <c r="J162" s="54" t="s">
        <v>58</v>
      </c>
      <c r="K162" s="53">
        <v>5.2</v>
      </c>
      <c r="L162" s="196" t="s">
        <v>53</v>
      </c>
      <c r="M162" s="196" t="s">
        <v>0</v>
      </c>
      <c r="N162" s="196" t="s">
        <v>27</v>
      </c>
      <c r="O162" s="196" t="s">
        <v>0</v>
      </c>
      <c r="P162" s="39">
        <v>42788</v>
      </c>
      <c r="Q162" s="199" t="s">
        <v>27</v>
      </c>
      <c r="R162" s="196"/>
      <c r="S162" s="40" t="s">
        <v>0</v>
      </c>
      <c r="T162" s="31">
        <v>42796</v>
      </c>
      <c r="U162" s="215" t="s">
        <v>1315</v>
      </c>
      <c r="V162" s="196"/>
      <c r="W162" s="196"/>
      <c r="X162" s="39"/>
      <c r="Y162" s="196"/>
      <c r="Z162" s="196"/>
      <c r="AA162" s="196"/>
      <c r="AB162" s="39"/>
      <c r="AC162" s="196"/>
      <c r="AD162" s="196"/>
      <c r="AE162" s="196"/>
      <c r="AF162" s="39"/>
      <c r="AG162" s="196"/>
      <c r="AH162" s="196"/>
      <c r="AI162" s="196">
        <v>10</v>
      </c>
      <c r="AJ162" s="140" t="str">
        <f t="shared" si="12"/>
        <v>N</v>
      </c>
      <c r="AK162" s="15"/>
      <c r="AL162" s="15"/>
      <c r="AM162" s="136">
        <v>15</v>
      </c>
      <c r="AN162" s="137" t="str">
        <f t="shared" si="13"/>
        <v>D</v>
      </c>
      <c r="AO162" s="139"/>
      <c r="AP162" s="139"/>
      <c r="AQ162" s="139"/>
      <c r="AR162" s="139"/>
    </row>
    <row r="163" spans="1:44" s="13" customFormat="1" ht="180">
      <c r="A163" s="35"/>
      <c r="B163" s="60" t="s">
        <v>62</v>
      </c>
      <c r="C163" s="222"/>
      <c r="D163" s="52" t="s">
        <v>61</v>
      </c>
      <c r="E163" s="57"/>
      <c r="F163" s="196"/>
      <c r="G163" s="32" t="s">
        <v>1307</v>
      </c>
      <c r="H163" s="32" t="s">
        <v>1310</v>
      </c>
      <c r="I163" s="52"/>
      <c r="J163" s="54" t="s">
        <v>58</v>
      </c>
      <c r="K163" s="53">
        <v>5.2</v>
      </c>
      <c r="L163" s="196" t="s">
        <v>53</v>
      </c>
      <c r="M163" s="196" t="s">
        <v>0</v>
      </c>
      <c r="N163" s="196" t="s">
        <v>27</v>
      </c>
      <c r="O163" s="206" t="s">
        <v>0</v>
      </c>
      <c r="P163" s="39">
        <v>42788</v>
      </c>
      <c r="Q163" s="207" t="s">
        <v>27</v>
      </c>
      <c r="R163" s="196"/>
      <c r="S163" s="40" t="s">
        <v>0</v>
      </c>
      <c r="T163" s="31">
        <v>42796</v>
      </c>
      <c r="U163" s="215" t="s">
        <v>1315</v>
      </c>
      <c r="V163" s="196"/>
      <c r="W163" s="196"/>
      <c r="X163" s="39"/>
      <c r="Y163" s="196"/>
      <c r="Z163" s="196"/>
      <c r="AA163" s="196"/>
      <c r="AB163" s="39"/>
      <c r="AC163" s="196"/>
      <c r="AD163" s="196"/>
      <c r="AE163" s="196"/>
      <c r="AF163" s="39"/>
      <c r="AG163" s="196"/>
      <c r="AH163" s="196"/>
      <c r="AI163" s="196">
        <v>6</v>
      </c>
      <c r="AJ163" s="140" t="str">
        <f t="shared" si="12"/>
        <v>E</v>
      </c>
      <c r="AK163" s="15"/>
      <c r="AL163" s="15"/>
      <c r="AM163" s="136">
        <v>10</v>
      </c>
      <c r="AN163" s="137" t="str">
        <f t="shared" si="13"/>
        <v>N</v>
      </c>
      <c r="AO163" s="139"/>
      <c r="AP163" s="139"/>
      <c r="AQ163" s="139"/>
      <c r="AR163" s="139"/>
    </row>
    <row r="164" spans="1:44" s="13" customFormat="1" ht="128.25" customHeight="1">
      <c r="A164" s="35"/>
      <c r="B164" s="60" t="s">
        <v>60</v>
      </c>
      <c r="C164" s="222"/>
      <c r="D164" s="52" t="s">
        <v>59</v>
      </c>
      <c r="E164" s="57"/>
      <c r="F164" s="196"/>
      <c r="G164" s="32" t="s">
        <v>1307</v>
      </c>
      <c r="H164" s="32" t="s">
        <v>1310</v>
      </c>
      <c r="I164" s="52"/>
      <c r="J164" s="54" t="s">
        <v>58</v>
      </c>
      <c r="K164" s="53">
        <v>5.2</v>
      </c>
      <c r="L164" s="196" t="s">
        <v>53</v>
      </c>
      <c r="M164" s="196" t="s">
        <v>0</v>
      </c>
      <c r="N164" s="196" t="s">
        <v>27</v>
      </c>
      <c r="O164" s="206" t="s">
        <v>0</v>
      </c>
      <c r="P164" s="39">
        <v>42788</v>
      </c>
      <c r="Q164" s="207" t="s">
        <v>27</v>
      </c>
      <c r="R164" s="196"/>
      <c r="S164" s="40" t="s">
        <v>0</v>
      </c>
      <c r="T164" s="31">
        <v>42796</v>
      </c>
      <c r="U164" s="215" t="s">
        <v>1315</v>
      </c>
      <c r="V164" s="196"/>
      <c r="W164" s="196"/>
      <c r="X164" s="39"/>
      <c r="Y164" s="196"/>
      <c r="Z164" s="196"/>
      <c r="AA164" s="196"/>
      <c r="AB164" s="39"/>
      <c r="AC164" s="196"/>
      <c r="AD164" s="196"/>
      <c r="AE164" s="196"/>
      <c r="AF164" s="39"/>
      <c r="AG164" s="196"/>
      <c r="AH164" s="196"/>
      <c r="AI164" s="196">
        <v>6</v>
      </c>
      <c r="AJ164" s="140" t="str">
        <f t="shared" si="12"/>
        <v>E</v>
      </c>
      <c r="AK164" s="15"/>
      <c r="AL164" s="15"/>
      <c r="AM164" s="136">
        <v>10</v>
      </c>
      <c r="AN164" s="137" t="str">
        <f t="shared" si="13"/>
        <v>N</v>
      </c>
      <c r="AO164" s="139"/>
      <c r="AP164" s="139"/>
      <c r="AQ164" s="139"/>
      <c r="AR164" s="139"/>
    </row>
    <row r="165" spans="1:44" ht="240">
      <c r="A165" s="202"/>
      <c r="B165" s="203" t="s">
        <v>57</v>
      </c>
      <c r="C165" s="203"/>
      <c r="D165" s="204" t="s">
        <v>56</v>
      </c>
      <c r="E165" s="204" t="s">
        <v>55</v>
      </c>
      <c r="F165" s="204"/>
      <c r="G165" s="32" t="s">
        <v>1307</v>
      </c>
      <c r="H165" s="32" t="s">
        <v>1310</v>
      </c>
      <c r="I165" s="204"/>
      <c r="J165" s="204" t="s">
        <v>54</v>
      </c>
      <c r="K165" s="27" t="s">
        <v>1212</v>
      </c>
      <c r="L165" s="196" t="s">
        <v>53</v>
      </c>
      <c r="M165" s="204" t="s">
        <v>0</v>
      </c>
      <c r="N165" s="196" t="s">
        <v>27</v>
      </c>
      <c r="O165" s="204" t="s">
        <v>0</v>
      </c>
      <c r="P165" s="39">
        <v>42782</v>
      </c>
      <c r="Q165" s="199" t="s">
        <v>27</v>
      </c>
      <c r="R165" s="204"/>
      <c r="S165" s="204" t="s">
        <v>0</v>
      </c>
      <c r="T165" s="39">
        <v>42794</v>
      </c>
      <c r="U165" s="204" t="s">
        <v>1315</v>
      </c>
      <c r="V165" s="205"/>
      <c r="W165" s="204"/>
      <c r="X165" s="39"/>
      <c r="Y165" s="203"/>
      <c r="Z165" s="205"/>
      <c r="AA165" s="204"/>
      <c r="AB165" s="39"/>
      <c r="AC165" s="203"/>
      <c r="AD165" s="205"/>
      <c r="AE165" s="204"/>
      <c r="AF165" s="39"/>
      <c r="AG165" s="203"/>
      <c r="AH165" s="205"/>
      <c r="AI165" s="196">
        <v>6</v>
      </c>
      <c r="AJ165" s="140" t="str">
        <f t="shared" si="12"/>
        <v>E</v>
      </c>
      <c r="AK165" s="15"/>
      <c r="AL165" s="15"/>
      <c r="AM165" s="136">
        <v>10</v>
      </c>
      <c r="AN165" s="137" t="str">
        <f t="shared" si="13"/>
        <v>N</v>
      </c>
      <c r="AO165" s="139"/>
      <c r="AP165" s="139"/>
      <c r="AQ165" s="139"/>
      <c r="AR165" s="139"/>
    </row>
    <row r="166" spans="1:44" ht="210">
      <c r="A166" s="35"/>
      <c r="B166" s="55">
        <v>6624</v>
      </c>
      <c r="C166" s="196" t="s">
        <v>25</v>
      </c>
      <c r="D166" s="56" t="s">
        <v>52</v>
      </c>
      <c r="E166" s="196" t="s">
        <v>51</v>
      </c>
      <c r="F166" s="196" t="s">
        <v>1</v>
      </c>
      <c r="G166" s="32" t="s">
        <v>1307</v>
      </c>
      <c r="H166" s="32" t="s">
        <v>1310</v>
      </c>
      <c r="I166" s="217" t="s">
        <v>1317</v>
      </c>
      <c r="J166" s="26" t="s">
        <v>28</v>
      </c>
      <c r="K166" s="27" t="s">
        <v>1212</v>
      </c>
      <c r="L166" s="196" t="s">
        <v>53</v>
      </c>
      <c r="M166" s="196" t="s">
        <v>0</v>
      </c>
      <c r="N166" s="196" t="s">
        <v>27</v>
      </c>
      <c r="O166" s="204" t="s">
        <v>0</v>
      </c>
      <c r="P166" s="39">
        <v>42782</v>
      </c>
      <c r="Q166" s="199" t="s">
        <v>27</v>
      </c>
      <c r="R166" s="196"/>
      <c r="S166" s="196" t="s">
        <v>0</v>
      </c>
      <c r="T166" s="39">
        <v>42794</v>
      </c>
      <c r="U166" s="196" t="s">
        <v>1315</v>
      </c>
      <c r="V166" s="196"/>
      <c r="W166" s="196"/>
      <c r="X166" s="39"/>
      <c r="Y166" s="196"/>
      <c r="Z166" s="196"/>
      <c r="AA166" s="196"/>
      <c r="AB166" s="39"/>
      <c r="AC166" s="196"/>
      <c r="AD166" s="196"/>
      <c r="AE166" s="196"/>
      <c r="AF166" s="39"/>
      <c r="AG166" s="196"/>
      <c r="AH166" s="196"/>
      <c r="AI166" s="196">
        <v>6</v>
      </c>
      <c r="AJ166" s="140" t="str">
        <f t="shared" si="12"/>
        <v>E</v>
      </c>
      <c r="AK166" s="15"/>
      <c r="AL166" s="15"/>
      <c r="AM166" s="136">
        <v>15</v>
      </c>
      <c r="AN166" s="137" t="str">
        <f t="shared" si="13"/>
        <v>D</v>
      </c>
      <c r="AO166" s="139"/>
      <c r="AP166" s="139"/>
      <c r="AQ166" s="139"/>
      <c r="AR166" s="139"/>
    </row>
    <row r="167" spans="1:44" ht="150">
      <c r="A167" s="35"/>
      <c r="B167" s="55">
        <v>6724</v>
      </c>
      <c r="C167" s="196" t="s">
        <v>25</v>
      </c>
      <c r="D167" s="56" t="s">
        <v>50</v>
      </c>
      <c r="E167" s="40" t="s">
        <v>49</v>
      </c>
      <c r="F167" s="196" t="s">
        <v>1</v>
      </c>
      <c r="G167" s="32" t="s">
        <v>1307</v>
      </c>
      <c r="H167" s="32" t="s">
        <v>1310</v>
      </c>
      <c r="I167" s="40" t="s">
        <v>1232</v>
      </c>
      <c r="J167" s="26" t="s">
        <v>28</v>
      </c>
      <c r="K167" s="27" t="s">
        <v>1212</v>
      </c>
      <c r="L167" s="196" t="s">
        <v>53</v>
      </c>
      <c r="M167" s="196" t="s">
        <v>0</v>
      </c>
      <c r="N167" s="196" t="s">
        <v>27</v>
      </c>
      <c r="O167" s="204" t="s">
        <v>18</v>
      </c>
      <c r="P167" s="39">
        <v>42782</v>
      </c>
      <c r="Q167" s="199" t="s">
        <v>27</v>
      </c>
      <c r="R167" s="196" t="s">
        <v>1232</v>
      </c>
      <c r="S167" s="204" t="s">
        <v>0</v>
      </c>
      <c r="T167" s="39">
        <v>42794</v>
      </c>
      <c r="U167" s="209" t="s">
        <v>1315</v>
      </c>
      <c r="V167" s="209"/>
      <c r="W167" s="196"/>
      <c r="X167" s="39"/>
      <c r="Y167" s="196"/>
      <c r="Z167" s="196"/>
      <c r="AA167" s="196"/>
      <c r="AB167" s="39"/>
      <c r="AC167" s="196"/>
      <c r="AD167" s="196"/>
      <c r="AE167" s="196"/>
      <c r="AF167" s="39"/>
      <c r="AG167" s="196"/>
      <c r="AH167" s="196"/>
      <c r="AI167" s="196"/>
      <c r="AJ167" s="140" t="str">
        <f t="shared" si="12"/>
        <v/>
      </c>
      <c r="AK167" s="15"/>
      <c r="AL167" s="15"/>
      <c r="AM167" s="136">
        <v>10</v>
      </c>
      <c r="AN167" s="137" t="str">
        <f t="shared" si="13"/>
        <v>N</v>
      </c>
      <c r="AO167" s="139"/>
      <c r="AP167" s="139"/>
      <c r="AQ167" s="139"/>
      <c r="AR167" s="139"/>
    </row>
    <row r="168" spans="1:44" ht="345">
      <c r="A168" s="35"/>
      <c r="B168" s="55" t="s">
        <v>48</v>
      </c>
      <c r="C168" s="222" t="s">
        <v>25</v>
      </c>
      <c r="D168" s="56" t="s">
        <v>47</v>
      </c>
      <c r="E168" s="57" t="s">
        <v>46</v>
      </c>
      <c r="F168" s="196" t="s">
        <v>1</v>
      </c>
      <c r="G168" s="32" t="s">
        <v>1307</v>
      </c>
      <c r="H168" s="32" t="s">
        <v>1310</v>
      </c>
      <c r="I168" s="196"/>
      <c r="J168" s="26" t="s">
        <v>28</v>
      </c>
      <c r="K168" s="27" t="s">
        <v>1212</v>
      </c>
      <c r="L168" s="196" t="s">
        <v>53</v>
      </c>
      <c r="M168" s="196" t="s">
        <v>0</v>
      </c>
      <c r="N168" s="196" t="s">
        <v>27</v>
      </c>
      <c r="O168" s="204" t="s">
        <v>0</v>
      </c>
      <c r="P168" s="39">
        <v>42782</v>
      </c>
      <c r="Q168" s="199" t="s">
        <v>27</v>
      </c>
      <c r="R168" s="196"/>
      <c r="S168" s="196" t="s">
        <v>0</v>
      </c>
      <c r="T168" s="39">
        <v>42794</v>
      </c>
      <c r="U168" s="196" t="s">
        <v>1315</v>
      </c>
      <c r="V168" s="196"/>
      <c r="W168" s="79"/>
      <c r="X168" s="39"/>
      <c r="Y168" s="39"/>
      <c r="Z168" s="196"/>
      <c r="AA168" s="79"/>
      <c r="AB168" s="39"/>
      <c r="AC168" s="39"/>
      <c r="AD168" s="196"/>
      <c r="AE168" s="79"/>
      <c r="AF168" s="39"/>
      <c r="AG168" s="39"/>
      <c r="AH168" s="196"/>
      <c r="AI168" s="196"/>
      <c r="AJ168" s="140">
        <v>6</v>
      </c>
      <c r="AK168" s="15"/>
      <c r="AL168" s="15"/>
      <c r="AM168" s="136">
        <v>10</v>
      </c>
      <c r="AN168" s="137" t="str">
        <f t="shared" si="13"/>
        <v>N</v>
      </c>
      <c r="AO168" s="139"/>
      <c r="AP168" s="139"/>
      <c r="AQ168" s="139"/>
      <c r="AR168" s="139"/>
    </row>
    <row r="169" spans="1:44" ht="345">
      <c r="A169" s="35"/>
      <c r="B169" s="55" t="s">
        <v>45</v>
      </c>
      <c r="C169" s="222"/>
      <c r="D169" s="56" t="s">
        <v>44</v>
      </c>
      <c r="E169" s="57" t="s">
        <v>43</v>
      </c>
      <c r="F169" s="196" t="s">
        <v>1</v>
      </c>
      <c r="G169" s="32" t="s">
        <v>1307</v>
      </c>
      <c r="H169" s="32" t="s">
        <v>1310</v>
      </c>
      <c r="I169" s="196"/>
      <c r="J169" s="26" t="s">
        <v>28</v>
      </c>
      <c r="K169" s="27" t="s">
        <v>1212</v>
      </c>
      <c r="L169" s="196" t="s">
        <v>53</v>
      </c>
      <c r="M169" s="196" t="s">
        <v>0</v>
      </c>
      <c r="N169" s="196" t="s">
        <v>27</v>
      </c>
      <c r="O169" s="204" t="s">
        <v>0</v>
      </c>
      <c r="P169" s="39">
        <v>42782</v>
      </c>
      <c r="Q169" s="199" t="s">
        <v>27</v>
      </c>
      <c r="R169" s="196"/>
      <c r="S169" s="196" t="s">
        <v>0</v>
      </c>
      <c r="T169" s="39">
        <v>42794</v>
      </c>
      <c r="U169" s="196" t="s">
        <v>1315</v>
      </c>
      <c r="V169" s="196"/>
      <c r="W169" s="79"/>
      <c r="X169" s="39"/>
      <c r="Y169" s="39"/>
      <c r="Z169" s="196"/>
      <c r="AA169" s="79"/>
      <c r="AB169" s="39"/>
      <c r="AC169" s="39"/>
      <c r="AD169" s="196"/>
      <c r="AE169" s="79"/>
      <c r="AF169" s="39"/>
      <c r="AG169" s="39"/>
      <c r="AH169" s="196"/>
      <c r="AI169" s="196"/>
      <c r="AJ169" s="140">
        <v>6</v>
      </c>
      <c r="AK169" s="15"/>
      <c r="AL169" s="15"/>
      <c r="AM169" s="136">
        <v>10</v>
      </c>
      <c r="AN169" s="137" t="str">
        <f t="shared" si="13"/>
        <v>N</v>
      </c>
      <c r="AO169" s="139"/>
      <c r="AP169" s="139"/>
      <c r="AQ169" s="139"/>
      <c r="AR169" s="139"/>
    </row>
    <row r="170" spans="1:44" ht="195">
      <c r="A170" s="35"/>
      <c r="B170" s="55">
        <v>6854</v>
      </c>
      <c r="C170" s="196" t="s">
        <v>25</v>
      </c>
      <c r="D170" s="56" t="s">
        <v>42</v>
      </c>
      <c r="E170" s="44" t="s">
        <v>1149</v>
      </c>
      <c r="F170" s="196"/>
      <c r="G170" s="32" t="s">
        <v>1307</v>
      </c>
      <c r="H170" s="32" t="s">
        <v>1310</v>
      </c>
      <c r="I170" s="196"/>
      <c r="J170" s="26" t="s">
        <v>28</v>
      </c>
      <c r="K170" s="27" t="s">
        <v>1212</v>
      </c>
      <c r="L170" s="196" t="s">
        <v>53</v>
      </c>
      <c r="M170" s="196" t="s">
        <v>0</v>
      </c>
      <c r="N170" s="196" t="s">
        <v>27</v>
      </c>
      <c r="O170" s="204" t="s">
        <v>0</v>
      </c>
      <c r="P170" s="39">
        <v>42782</v>
      </c>
      <c r="Q170" s="199" t="s">
        <v>27</v>
      </c>
      <c r="R170" s="196"/>
      <c r="S170" s="25" t="s">
        <v>0</v>
      </c>
      <c r="T170" s="58">
        <v>42794</v>
      </c>
      <c r="U170" s="25" t="s">
        <v>1315</v>
      </c>
      <c r="V170" s="196"/>
      <c r="W170" s="196"/>
      <c r="X170" s="39"/>
      <c r="Y170" s="196"/>
      <c r="Z170" s="196"/>
      <c r="AA170" s="196"/>
      <c r="AB170" s="39"/>
      <c r="AC170" s="196"/>
      <c r="AD170" s="196"/>
      <c r="AE170" s="196"/>
      <c r="AF170" s="39"/>
      <c r="AG170" s="196"/>
      <c r="AH170" s="196"/>
      <c r="AI170" s="196"/>
      <c r="AJ170" s="140">
        <v>6</v>
      </c>
      <c r="AK170" s="15"/>
      <c r="AL170" s="15"/>
      <c r="AM170" s="136">
        <v>10</v>
      </c>
      <c r="AN170" s="137" t="str">
        <f t="shared" si="13"/>
        <v>N</v>
      </c>
      <c r="AO170" s="139"/>
      <c r="AP170" s="139"/>
      <c r="AQ170" s="139"/>
      <c r="AR170" s="139"/>
    </row>
    <row r="171" spans="1:44" ht="135">
      <c r="A171" s="35"/>
      <c r="B171" s="61" t="s">
        <v>26</v>
      </c>
      <c r="C171" s="199" t="s">
        <v>25</v>
      </c>
      <c r="D171" s="199" t="s">
        <v>24</v>
      </c>
      <c r="E171" s="27" t="s">
        <v>23</v>
      </c>
      <c r="F171" s="40" t="s">
        <v>1</v>
      </c>
      <c r="G171" s="32" t="s">
        <v>1307</v>
      </c>
      <c r="H171" s="32" t="s">
        <v>1310</v>
      </c>
      <c r="I171" s="199" t="s">
        <v>19</v>
      </c>
      <c r="J171" s="26" t="s">
        <v>28</v>
      </c>
      <c r="K171" s="27" t="s">
        <v>1212</v>
      </c>
      <c r="L171" s="40" t="s">
        <v>41</v>
      </c>
      <c r="M171" s="40" t="s">
        <v>0</v>
      </c>
      <c r="N171" s="196" t="s">
        <v>1230</v>
      </c>
      <c r="O171" s="199" t="s">
        <v>0</v>
      </c>
      <c r="P171" s="31">
        <v>42780</v>
      </c>
      <c r="Q171" s="40" t="s">
        <v>1301</v>
      </c>
      <c r="R171" s="199"/>
      <c r="S171" s="40" t="s">
        <v>0</v>
      </c>
      <c r="T171" s="41">
        <v>42795</v>
      </c>
      <c r="U171" s="40" t="s">
        <v>1301</v>
      </c>
      <c r="V171" s="199"/>
      <c r="W171" s="40"/>
      <c r="X171" s="41"/>
      <c r="Y171" s="40"/>
      <c r="Z171" s="199"/>
      <c r="AA171" s="40"/>
      <c r="AB171" s="41"/>
      <c r="AC171" s="40"/>
      <c r="AD171" s="199"/>
      <c r="AE171" s="40"/>
      <c r="AF171" s="41"/>
      <c r="AG171" s="40"/>
      <c r="AH171" s="199"/>
      <c r="AI171" s="196"/>
      <c r="AJ171" s="140" t="str">
        <f t="shared" si="12"/>
        <v/>
      </c>
      <c r="AK171" s="15"/>
      <c r="AL171" s="15"/>
      <c r="AM171" s="136"/>
      <c r="AN171" s="137" t="str">
        <f t="shared" si="13"/>
        <v/>
      </c>
      <c r="AO171" s="139"/>
      <c r="AP171" s="139"/>
      <c r="AQ171" s="139"/>
      <c r="AR171" s="139"/>
    </row>
    <row r="172" spans="1:44" ht="75">
      <c r="A172" s="35"/>
      <c r="B172" s="199" t="s">
        <v>22</v>
      </c>
      <c r="C172" s="199" t="s">
        <v>25</v>
      </c>
      <c r="D172" s="199" t="s">
        <v>21</v>
      </c>
      <c r="E172" s="27" t="s">
        <v>20</v>
      </c>
      <c r="F172" s="40" t="s">
        <v>1</v>
      </c>
      <c r="G172" s="32" t="s">
        <v>1307</v>
      </c>
      <c r="H172" s="32" t="s">
        <v>1310</v>
      </c>
      <c r="I172" s="199" t="s">
        <v>19</v>
      </c>
      <c r="J172" s="26" t="s">
        <v>28</v>
      </c>
      <c r="K172" s="27" t="s">
        <v>1212</v>
      </c>
      <c r="L172" s="40" t="s">
        <v>41</v>
      </c>
      <c r="M172" s="40" t="s">
        <v>0</v>
      </c>
      <c r="N172" s="196" t="s">
        <v>1230</v>
      </c>
      <c r="O172" s="199" t="s">
        <v>0</v>
      </c>
      <c r="P172" s="31">
        <v>42780</v>
      </c>
      <c r="Q172" s="40" t="s">
        <v>1301</v>
      </c>
      <c r="R172" s="199"/>
      <c r="S172" s="40" t="s">
        <v>0</v>
      </c>
      <c r="T172" s="41">
        <v>42795</v>
      </c>
      <c r="U172" s="40" t="s">
        <v>1301</v>
      </c>
      <c r="V172" s="199"/>
      <c r="W172" s="40"/>
      <c r="X172" s="41"/>
      <c r="Y172" s="40"/>
      <c r="Z172" s="199"/>
      <c r="AA172" s="40"/>
      <c r="AB172" s="41"/>
      <c r="AC172" s="40"/>
      <c r="AD172" s="199"/>
      <c r="AE172" s="40"/>
      <c r="AF172" s="41"/>
      <c r="AG172" s="40"/>
      <c r="AH172" s="199"/>
      <c r="AI172" s="196"/>
      <c r="AJ172" s="140" t="str">
        <f t="shared" si="12"/>
        <v/>
      </c>
      <c r="AK172" s="15"/>
      <c r="AL172" s="15"/>
      <c r="AM172" s="136"/>
      <c r="AN172" s="137" t="str">
        <f t="shared" si="13"/>
        <v/>
      </c>
      <c r="AO172" s="139"/>
      <c r="AP172" s="139"/>
      <c r="AQ172" s="139"/>
      <c r="AR172" s="139"/>
    </row>
    <row r="173" spans="1:44" ht="409.5">
      <c r="A173" s="35"/>
      <c r="B173" s="196" t="s">
        <v>40</v>
      </c>
      <c r="C173" s="196" t="s">
        <v>25</v>
      </c>
      <c r="D173" s="196" t="s">
        <v>39</v>
      </c>
      <c r="E173" s="57" t="s">
        <v>38</v>
      </c>
      <c r="F173" s="196" t="s">
        <v>1</v>
      </c>
      <c r="G173" s="32" t="s">
        <v>1307</v>
      </c>
      <c r="H173" s="32" t="s">
        <v>1310</v>
      </c>
      <c r="I173" s="196"/>
      <c r="J173" s="26" t="s">
        <v>28</v>
      </c>
      <c r="K173" s="27" t="s">
        <v>1212</v>
      </c>
      <c r="L173" s="196" t="s">
        <v>53</v>
      </c>
      <c r="M173" s="196" t="s">
        <v>0</v>
      </c>
      <c r="N173" s="196" t="s">
        <v>27</v>
      </c>
      <c r="O173" s="204" t="s">
        <v>0</v>
      </c>
      <c r="P173" s="39">
        <v>42782</v>
      </c>
      <c r="Q173" s="199" t="s">
        <v>27</v>
      </c>
      <c r="R173" s="48"/>
      <c r="S173" s="25" t="s">
        <v>0</v>
      </c>
      <c r="T173" s="58">
        <v>42794</v>
      </c>
      <c r="U173" s="25" t="s">
        <v>1315</v>
      </c>
      <c r="V173" s="48"/>
      <c r="W173" s="56"/>
      <c r="X173" s="39"/>
      <c r="Y173" s="39"/>
      <c r="Z173" s="48"/>
      <c r="AA173" s="56"/>
      <c r="AB173" s="39"/>
      <c r="AC173" s="39"/>
      <c r="AD173" s="48"/>
      <c r="AE173" s="56"/>
      <c r="AF173" s="39"/>
      <c r="AG173" s="39"/>
      <c r="AH173" s="48"/>
      <c r="AI173" s="196"/>
      <c r="AJ173" s="140">
        <v>6</v>
      </c>
      <c r="AK173" s="15"/>
      <c r="AL173" s="15"/>
      <c r="AM173" s="136">
        <v>10</v>
      </c>
      <c r="AN173" s="137" t="str">
        <f t="shared" si="13"/>
        <v>N</v>
      </c>
      <c r="AO173" s="139"/>
      <c r="AP173" s="139"/>
      <c r="AQ173" s="139"/>
      <c r="AR173" s="139"/>
    </row>
    <row r="174" spans="1:44" ht="315">
      <c r="A174" s="35"/>
      <c r="B174" s="40" t="s">
        <v>37</v>
      </c>
      <c r="C174" s="40" t="s">
        <v>25</v>
      </c>
      <c r="D174" s="40" t="s">
        <v>36</v>
      </c>
      <c r="E174" s="44" t="s">
        <v>1150</v>
      </c>
      <c r="F174" s="40" t="s">
        <v>1</v>
      </c>
      <c r="G174" s="32" t="s">
        <v>1307</v>
      </c>
      <c r="H174" s="32" t="s">
        <v>1310</v>
      </c>
      <c r="I174" s="44" t="s">
        <v>35</v>
      </c>
      <c r="J174" s="26" t="s">
        <v>28</v>
      </c>
      <c r="K174" s="27" t="s">
        <v>1212</v>
      </c>
      <c r="L174" s="196" t="s">
        <v>53</v>
      </c>
      <c r="M174" s="40" t="s">
        <v>0</v>
      </c>
      <c r="N174" s="196" t="s">
        <v>27</v>
      </c>
      <c r="O174" s="204" t="s">
        <v>0</v>
      </c>
      <c r="P174" s="39">
        <v>42782</v>
      </c>
      <c r="Q174" s="199" t="s">
        <v>27</v>
      </c>
      <c r="R174" s="40"/>
      <c r="S174" s="25" t="s">
        <v>0</v>
      </c>
      <c r="T174" s="58">
        <v>42794</v>
      </c>
      <c r="U174" s="25" t="s">
        <v>1315</v>
      </c>
      <c r="V174" s="40"/>
      <c r="W174" s="196"/>
      <c r="X174" s="39"/>
      <c r="Y174" s="196"/>
      <c r="Z174" s="40"/>
      <c r="AA174" s="196"/>
      <c r="AB174" s="39"/>
      <c r="AC174" s="196"/>
      <c r="AD174" s="40"/>
      <c r="AE174" s="196"/>
      <c r="AF174" s="39"/>
      <c r="AG174" s="196"/>
      <c r="AH174" s="40"/>
      <c r="AI174" s="196"/>
      <c r="AJ174" s="140">
        <v>6</v>
      </c>
      <c r="AK174" s="15"/>
      <c r="AL174" s="15"/>
      <c r="AM174" s="136">
        <v>10</v>
      </c>
      <c r="AN174" s="137" t="str">
        <f t="shared" si="13"/>
        <v>N</v>
      </c>
      <c r="AO174" s="139"/>
      <c r="AP174" s="139"/>
      <c r="AQ174" s="139"/>
      <c r="AR174" s="139"/>
    </row>
    <row r="175" spans="1:44" ht="114" customHeight="1">
      <c r="A175" s="35"/>
      <c r="B175" s="55" t="s">
        <v>34</v>
      </c>
      <c r="C175" s="196" t="s">
        <v>25</v>
      </c>
      <c r="D175" s="56" t="s">
        <v>33</v>
      </c>
      <c r="E175" s="57" t="s">
        <v>32</v>
      </c>
      <c r="F175" s="196" t="s">
        <v>1</v>
      </c>
      <c r="G175" s="32" t="s">
        <v>1307</v>
      </c>
      <c r="H175" s="32" t="s">
        <v>1310</v>
      </c>
      <c r="I175" s="217" t="s">
        <v>1318</v>
      </c>
      <c r="J175" s="26" t="s">
        <v>28</v>
      </c>
      <c r="K175" s="27" t="s">
        <v>1212</v>
      </c>
      <c r="L175" s="196" t="s">
        <v>53</v>
      </c>
      <c r="M175" s="196" t="s">
        <v>0</v>
      </c>
      <c r="N175" s="196" t="s">
        <v>27</v>
      </c>
      <c r="O175" s="204" t="s">
        <v>0</v>
      </c>
      <c r="P175" s="39">
        <v>42782</v>
      </c>
      <c r="Q175" s="199" t="s">
        <v>27</v>
      </c>
      <c r="R175" s="196"/>
      <c r="S175" s="25" t="s">
        <v>0</v>
      </c>
      <c r="T175" s="58">
        <v>42794</v>
      </c>
      <c r="U175" s="25" t="s">
        <v>1315</v>
      </c>
      <c r="V175" s="196"/>
      <c r="W175" s="79"/>
      <c r="X175" s="39"/>
      <c r="Y175" s="39"/>
      <c r="Z175" s="196"/>
      <c r="AA175" s="79"/>
      <c r="AB175" s="39"/>
      <c r="AC175" s="39"/>
      <c r="AD175" s="196"/>
      <c r="AE175" s="79"/>
      <c r="AF175" s="39"/>
      <c r="AG175" s="39"/>
      <c r="AH175" s="196"/>
      <c r="AI175" s="196"/>
      <c r="AJ175" s="140">
        <v>6</v>
      </c>
      <c r="AK175" s="15"/>
      <c r="AL175" s="15"/>
      <c r="AM175" s="136">
        <v>10</v>
      </c>
      <c r="AN175" s="137" t="str">
        <f t="shared" si="13"/>
        <v>N</v>
      </c>
      <c r="AO175" s="139"/>
      <c r="AP175" s="139"/>
      <c r="AQ175" s="139"/>
      <c r="AR175" s="139"/>
    </row>
    <row r="176" spans="1:44" ht="90">
      <c r="A176" s="35"/>
      <c r="B176" s="55" t="s">
        <v>31</v>
      </c>
      <c r="C176" s="196" t="s">
        <v>25</v>
      </c>
      <c r="D176" s="56" t="s">
        <v>30</v>
      </c>
      <c r="E176" s="57" t="s">
        <v>29</v>
      </c>
      <c r="F176" s="196" t="s">
        <v>1</v>
      </c>
      <c r="G176" s="32" t="s">
        <v>1307</v>
      </c>
      <c r="H176" s="32" t="s">
        <v>1310</v>
      </c>
      <c r="I176" s="196"/>
      <c r="J176" s="26" t="s">
        <v>28</v>
      </c>
      <c r="K176" s="27" t="s">
        <v>1212</v>
      </c>
      <c r="L176" s="196" t="s">
        <v>53</v>
      </c>
      <c r="M176" s="196" t="s">
        <v>0</v>
      </c>
      <c r="N176" s="196" t="s">
        <v>27</v>
      </c>
      <c r="O176" s="204" t="s">
        <v>0</v>
      </c>
      <c r="P176" s="39">
        <v>42782</v>
      </c>
      <c r="Q176" s="199" t="s">
        <v>27</v>
      </c>
      <c r="R176" s="196"/>
      <c r="S176" s="25" t="s">
        <v>0</v>
      </c>
      <c r="T176" s="58">
        <v>42794</v>
      </c>
      <c r="U176" s="25" t="s">
        <v>1315</v>
      </c>
      <c r="V176" s="196"/>
      <c r="W176" s="79"/>
      <c r="X176" s="39"/>
      <c r="Y176" s="39"/>
      <c r="Z176" s="196"/>
      <c r="AA176" s="79"/>
      <c r="AB176" s="39"/>
      <c r="AC176" s="39"/>
      <c r="AD176" s="196"/>
      <c r="AE176" s="79"/>
      <c r="AF176" s="39"/>
      <c r="AG176" s="39"/>
      <c r="AH176" s="196"/>
      <c r="AI176" s="196"/>
      <c r="AJ176" s="140">
        <v>6</v>
      </c>
      <c r="AK176" s="15"/>
      <c r="AL176" s="15"/>
      <c r="AM176" s="136">
        <v>10</v>
      </c>
      <c r="AN176" s="137" t="str">
        <f t="shared" si="13"/>
        <v>N</v>
      </c>
      <c r="AO176" s="139"/>
      <c r="AP176" s="139"/>
      <c r="AQ176" s="139"/>
      <c r="AR176" s="139"/>
    </row>
    <row r="177" spans="1:40" ht="135">
      <c r="A177" s="35"/>
      <c r="B177" s="32" t="s">
        <v>26</v>
      </c>
      <c r="C177" s="222" t="s">
        <v>25</v>
      </c>
      <c r="D177" s="196" t="s">
        <v>24</v>
      </c>
      <c r="E177" s="57" t="s">
        <v>23</v>
      </c>
      <c r="F177" s="32" t="s">
        <v>1</v>
      </c>
      <c r="G177" s="32" t="s">
        <v>1307</v>
      </c>
      <c r="H177" s="32" t="s">
        <v>1310</v>
      </c>
      <c r="I177" s="32" t="s">
        <v>19</v>
      </c>
      <c r="J177" s="26" t="s">
        <v>3</v>
      </c>
      <c r="K177" s="27" t="s">
        <v>1212</v>
      </c>
      <c r="L177" s="32" t="s">
        <v>2</v>
      </c>
      <c r="M177" s="80" t="s">
        <v>0</v>
      </c>
      <c r="N177" s="196" t="s">
        <v>1226</v>
      </c>
      <c r="O177" s="40" t="s">
        <v>0</v>
      </c>
      <c r="P177" s="41">
        <v>42780</v>
      </c>
      <c r="Q177" s="40" t="s">
        <v>1300</v>
      </c>
      <c r="R177" s="199"/>
      <c r="S177" s="40" t="s">
        <v>0</v>
      </c>
      <c r="T177" s="41">
        <v>42795</v>
      </c>
      <c r="U177" s="40" t="s">
        <v>1300</v>
      </c>
      <c r="V177" s="199"/>
      <c r="W177" s="40"/>
      <c r="X177" s="41"/>
      <c r="Y177" s="40"/>
      <c r="Z177" s="199"/>
      <c r="AA177" s="40"/>
      <c r="AB177" s="41"/>
      <c r="AC177" s="40"/>
      <c r="AD177" s="199"/>
      <c r="AE177" s="40"/>
      <c r="AF177" s="41"/>
      <c r="AG177" s="40"/>
      <c r="AH177" s="199"/>
      <c r="AI177" s="196"/>
      <c r="AJ177" s="140" t="str">
        <f t="shared" si="12"/>
        <v/>
      </c>
      <c r="AK177" s="15"/>
      <c r="AL177" s="15"/>
      <c r="AM177" s="136"/>
      <c r="AN177" s="137" t="str">
        <f t="shared" si="13"/>
        <v/>
      </c>
    </row>
    <row r="178" spans="1:40" ht="75">
      <c r="A178" s="35"/>
      <c r="B178" s="32" t="s">
        <v>22</v>
      </c>
      <c r="C178" s="222"/>
      <c r="D178" s="196" t="s">
        <v>21</v>
      </c>
      <c r="E178" s="57" t="s">
        <v>20</v>
      </c>
      <c r="F178" s="32" t="s">
        <v>1</v>
      </c>
      <c r="G178" s="32" t="s">
        <v>1307</v>
      </c>
      <c r="H178" s="32" t="s">
        <v>1310</v>
      </c>
      <c r="I178" s="32" t="s">
        <v>19</v>
      </c>
      <c r="J178" s="26" t="s">
        <v>3</v>
      </c>
      <c r="K178" s="27" t="s">
        <v>1212</v>
      </c>
      <c r="L178" s="32" t="s">
        <v>2</v>
      </c>
      <c r="M178" s="80" t="s">
        <v>0</v>
      </c>
      <c r="N178" s="196" t="s">
        <v>1226</v>
      </c>
      <c r="O178" s="40" t="s">
        <v>0</v>
      </c>
      <c r="P178" s="41">
        <v>42780</v>
      </c>
      <c r="Q178" s="40" t="s">
        <v>1300</v>
      </c>
      <c r="R178" s="199"/>
      <c r="S178" s="40" t="s">
        <v>0</v>
      </c>
      <c r="T178" s="41">
        <v>42795</v>
      </c>
      <c r="U178" s="40" t="s">
        <v>1300</v>
      </c>
      <c r="V178" s="199"/>
      <c r="W178" s="40"/>
      <c r="X178" s="41"/>
      <c r="Y178" s="40"/>
      <c r="Z178" s="199"/>
      <c r="AA178" s="40"/>
      <c r="AB178" s="41"/>
      <c r="AC178" s="40"/>
      <c r="AD178" s="199"/>
      <c r="AE178" s="40"/>
      <c r="AF178" s="41"/>
      <c r="AG178" s="40"/>
      <c r="AH178" s="199"/>
      <c r="AI178" s="196"/>
      <c r="AJ178" s="140" t="str">
        <f t="shared" si="12"/>
        <v/>
      </c>
      <c r="AK178" s="15"/>
      <c r="AL178" s="15"/>
      <c r="AM178" s="136"/>
      <c r="AN178" s="137" t="str">
        <f t="shared" si="13"/>
        <v/>
      </c>
    </row>
    <row r="179" spans="1:40" ht="180">
      <c r="A179" s="35"/>
      <c r="B179" s="197" t="s">
        <v>17</v>
      </c>
      <c r="C179" s="218" t="s">
        <v>16</v>
      </c>
      <c r="D179" s="56" t="s">
        <v>15</v>
      </c>
      <c r="E179" s="81" t="s">
        <v>14</v>
      </c>
      <c r="F179" s="32" t="s">
        <v>1</v>
      </c>
      <c r="G179" s="32" t="s">
        <v>1307</v>
      </c>
      <c r="H179" s="32" t="s">
        <v>1310</v>
      </c>
      <c r="I179" s="32"/>
      <c r="J179" s="26" t="s">
        <v>3</v>
      </c>
      <c r="K179" s="27" t="s">
        <v>1212</v>
      </c>
      <c r="L179" s="32" t="s">
        <v>2</v>
      </c>
      <c r="M179" s="80" t="s">
        <v>0</v>
      </c>
      <c r="N179" s="196" t="s">
        <v>1226</v>
      </c>
      <c r="O179" s="40" t="s">
        <v>0</v>
      </c>
      <c r="P179" s="41">
        <v>42780</v>
      </c>
      <c r="Q179" s="40" t="s">
        <v>1300</v>
      </c>
      <c r="R179" s="40"/>
      <c r="S179" s="40" t="s">
        <v>0</v>
      </c>
      <c r="T179" s="41">
        <v>42795</v>
      </c>
      <c r="U179" s="40" t="s">
        <v>1300</v>
      </c>
      <c r="V179" s="40"/>
      <c r="W179" s="40"/>
      <c r="X179" s="41"/>
      <c r="Y179" s="40"/>
      <c r="Z179" s="40"/>
      <c r="AA179" s="40"/>
      <c r="AB179" s="41"/>
      <c r="AC179" s="40"/>
      <c r="AD179" s="40"/>
      <c r="AE179" s="40"/>
      <c r="AF179" s="41"/>
      <c r="AG179" s="40"/>
      <c r="AH179" s="40"/>
      <c r="AI179" s="196"/>
      <c r="AJ179" s="140" t="str">
        <f t="shared" si="12"/>
        <v/>
      </c>
      <c r="AK179" s="15"/>
      <c r="AL179" s="15"/>
      <c r="AM179" s="136"/>
      <c r="AN179" s="137" t="str">
        <f t="shared" si="13"/>
        <v/>
      </c>
    </row>
    <row r="180" spans="1:40" ht="165">
      <c r="A180" s="35"/>
      <c r="B180" s="197" t="s">
        <v>13</v>
      </c>
      <c r="C180" s="218"/>
      <c r="D180" s="56" t="s">
        <v>12</v>
      </c>
      <c r="E180" s="81" t="s">
        <v>11</v>
      </c>
      <c r="F180" s="32" t="s">
        <v>1</v>
      </c>
      <c r="G180" s="32" t="s">
        <v>1307</v>
      </c>
      <c r="H180" s="32" t="s">
        <v>1310</v>
      </c>
      <c r="I180" s="32"/>
      <c r="J180" s="26" t="s">
        <v>3</v>
      </c>
      <c r="K180" s="27" t="s">
        <v>1212</v>
      </c>
      <c r="L180" s="32" t="s">
        <v>2</v>
      </c>
      <c r="M180" s="80" t="s">
        <v>0</v>
      </c>
      <c r="N180" s="196" t="s">
        <v>1226</v>
      </c>
      <c r="O180" s="40" t="s">
        <v>0</v>
      </c>
      <c r="P180" s="41">
        <v>42780</v>
      </c>
      <c r="Q180" s="40" t="s">
        <v>1300</v>
      </c>
      <c r="R180" s="40"/>
      <c r="S180" s="40" t="s">
        <v>0</v>
      </c>
      <c r="T180" s="41">
        <v>42795</v>
      </c>
      <c r="U180" s="40" t="s">
        <v>1300</v>
      </c>
      <c r="V180" s="40"/>
      <c r="W180" s="40"/>
      <c r="X180" s="41"/>
      <c r="Y180" s="40"/>
      <c r="Z180" s="40"/>
      <c r="AA180" s="40"/>
      <c r="AB180" s="41"/>
      <c r="AC180" s="40"/>
      <c r="AD180" s="40"/>
      <c r="AE180" s="40"/>
      <c r="AF180" s="41"/>
      <c r="AG180" s="40"/>
      <c r="AH180" s="40"/>
      <c r="AI180" s="196"/>
      <c r="AJ180" s="140" t="str">
        <f t="shared" si="12"/>
        <v/>
      </c>
      <c r="AK180" s="15"/>
      <c r="AL180" s="15"/>
      <c r="AM180" s="136"/>
      <c r="AN180" s="137" t="str">
        <f t="shared" si="13"/>
        <v/>
      </c>
    </row>
    <row r="181" spans="1:40" ht="135">
      <c r="A181" s="35"/>
      <c r="B181" s="197" t="s">
        <v>10</v>
      </c>
      <c r="C181" s="218"/>
      <c r="D181" s="56" t="s">
        <v>9</v>
      </c>
      <c r="E181" s="81" t="s">
        <v>8</v>
      </c>
      <c r="F181" s="32" t="s">
        <v>1</v>
      </c>
      <c r="G181" s="32" t="s">
        <v>1307</v>
      </c>
      <c r="H181" s="32" t="s">
        <v>1310</v>
      </c>
      <c r="I181" s="32"/>
      <c r="J181" s="26" t="s">
        <v>3</v>
      </c>
      <c r="K181" s="27" t="s">
        <v>1212</v>
      </c>
      <c r="L181" s="32" t="s">
        <v>2</v>
      </c>
      <c r="M181" s="80" t="s">
        <v>0</v>
      </c>
      <c r="N181" s="196" t="s">
        <v>1226</v>
      </c>
      <c r="O181" s="40" t="s">
        <v>0</v>
      </c>
      <c r="P181" s="41">
        <v>42780</v>
      </c>
      <c r="Q181" s="40" t="s">
        <v>1300</v>
      </c>
      <c r="R181" s="40"/>
      <c r="S181" s="40" t="s">
        <v>0</v>
      </c>
      <c r="T181" s="41">
        <v>42795</v>
      </c>
      <c r="U181" s="40" t="s">
        <v>1300</v>
      </c>
      <c r="V181" s="40"/>
      <c r="W181" s="40"/>
      <c r="X181" s="41"/>
      <c r="Y181" s="40"/>
      <c r="Z181" s="40"/>
      <c r="AA181" s="40"/>
      <c r="AB181" s="41"/>
      <c r="AC181" s="40"/>
      <c r="AD181" s="40"/>
      <c r="AE181" s="40"/>
      <c r="AF181" s="41"/>
      <c r="AG181" s="40"/>
      <c r="AH181" s="40"/>
      <c r="AI181" s="196"/>
      <c r="AJ181" s="140" t="str">
        <f t="shared" si="12"/>
        <v/>
      </c>
      <c r="AK181" s="15"/>
      <c r="AL181" s="15"/>
      <c r="AM181" s="136"/>
      <c r="AN181" s="137" t="str">
        <f t="shared" si="13"/>
        <v/>
      </c>
    </row>
    <row r="182" spans="1:40" ht="180">
      <c r="A182" s="35"/>
      <c r="B182" s="32" t="s">
        <v>7</v>
      </c>
      <c r="C182" s="196" t="s">
        <v>6</v>
      </c>
      <c r="D182" s="196" t="s">
        <v>5</v>
      </c>
      <c r="E182" s="57" t="s">
        <v>4</v>
      </c>
      <c r="F182" s="32" t="s">
        <v>1</v>
      </c>
      <c r="G182" s="32" t="s">
        <v>1307</v>
      </c>
      <c r="H182" s="32" t="s">
        <v>1310</v>
      </c>
      <c r="I182" s="32"/>
      <c r="J182" s="26" t="s">
        <v>3</v>
      </c>
      <c r="K182" s="27" t="s">
        <v>1212</v>
      </c>
      <c r="L182" s="32" t="s">
        <v>2</v>
      </c>
      <c r="M182" s="80" t="s">
        <v>0</v>
      </c>
      <c r="N182" s="196" t="s">
        <v>1226</v>
      </c>
      <c r="O182" s="40" t="s">
        <v>0</v>
      </c>
      <c r="P182" s="41">
        <v>42780</v>
      </c>
      <c r="Q182" s="40" t="s">
        <v>1300</v>
      </c>
      <c r="R182" s="40"/>
      <c r="S182" s="40" t="s">
        <v>0</v>
      </c>
      <c r="T182" s="41">
        <v>42795</v>
      </c>
      <c r="U182" s="40" t="s">
        <v>1300</v>
      </c>
      <c r="V182" s="40"/>
      <c r="W182" s="40"/>
      <c r="X182" s="41"/>
      <c r="Y182" s="40"/>
      <c r="Z182" s="40"/>
      <c r="AA182" s="40"/>
      <c r="AB182" s="41"/>
      <c r="AC182" s="40"/>
      <c r="AD182" s="40"/>
      <c r="AE182" s="40"/>
      <c r="AF182" s="41"/>
      <c r="AG182" s="40"/>
      <c r="AH182" s="40"/>
      <c r="AI182" s="196"/>
      <c r="AJ182" s="140" t="str">
        <f t="shared" si="12"/>
        <v/>
      </c>
      <c r="AK182" s="15"/>
      <c r="AL182" s="15"/>
      <c r="AM182" s="136"/>
      <c r="AN182" s="137" t="str">
        <f t="shared" si="13"/>
        <v/>
      </c>
    </row>
    <row r="183" spans="1:40" ht="15">
      <c r="A183" s="13"/>
      <c r="B183" s="13"/>
      <c r="C183" s="13"/>
      <c r="D183" s="13"/>
      <c r="E183" s="13"/>
      <c r="F183" s="16"/>
      <c r="G183" s="16"/>
      <c r="H183" s="16"/>
      <c r="I183" s="14"/>
      <c r="J183" s="34"/>
      <c r="K183" s="34"/>
      <c r="L183" s="16"/>
      <c r="M183" s="16"/>
      <c r="N183" s="16"/>
      <c r="O183" s="35"/>
      <c r="P183" s="35"/>
      <c r="Q183" s="35"/>
      <c r="R183" s="35"/>
      <c r="S183" s="35"/>
      <c r="T183" s="35"/>
      <c r="U183" s="35"/>
      <c r="V183" s="35"/>
      <c r="W183" s="35"/>
      <c r="X183" s="35"/>
      <c r="Y183" s="35"/>
      <c r="Z183" s="35"/>
      <c r="AA183" s="35"/>
      <c r="AB183" s="35"/>
      <c r="AC183" s="35"/>
      <c r="AD183" s="35"/>
      <c r="AE183" s="35"/>
      <c r="AF183" s="35"/>
      <c r="AG183" s="35"/>
      <c r="AH183" s="35"/>
      <c r="AI183" s="59"/>
      <c r="AJ183" s="35"/>
      <c r="AK183" s="15"/>
      <c r="AL183" s="15"/>
      <c r="AM183" s="139"/>
      <c r="AN183" s="139"/>
    </row>
  </sheetData>
  <sheetProtection selectLockedCells="1" selectUnlockedCells="1"/>
  <autoFilter ref="A14:AR182"/>
  <mergeCells count="19">
    <mergeCell ref="AM11:AN11"/>
    <mergeCell ref="O12:R12"/>
    <mergeCell ref="S12:V12"/>
    <mergeCell ref="W12:Z12"/>
    <mergeCell ref="AA12:AD12"/>
    <mergeCell ref="AE12:AH12"/>
    <mergeCell ref="O11:R11"/>
    <mergeCell ref="S11:V11"/>
    <mergeCell ref="W11:Z11"/>
    <mergeCell ref="AA11:AD11"/>
    <mergeCell ref="AE11:AH11"/>
    <mergeCell ref="AI11:AJ11"/>
    <mergeCell ref="C179:C181"/>
    <mergeCell ref="G13:H13"/>
    <mergeCell ref="M13:N13"/>
    <mergeCell ref="C160:C161"/>
    <mergeCell ref="C162:C164"/>
    <mergeCell ref="C168:C169"/>
    <mergeCell ref="C177:C178"/>
  </mergeCells>
  <conditionalFormatting sqref="B148:B164 C37:C43 C51:C54 C56:C57 C17:C35">
    <cfRule type="cellIs" dxfId="1" priority="1" stopIfTrue="1" operator="equal">
      <formula>"TD"</formula>
    </cfRule>
  </conditionalFormatting>
  <hyperlinks>
    <hyperlink ref="L3" location="PCL_Summary!A1" display="PCL_Summary!A1"/>
    <hyperlink ref="L2" location="Test_Report_Summary!A1" display="Test_Report_Summary"/>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36"/>
  <sheetViews>
    <sheetView zoomScale="70" zoomScaleNormal="70" workbookViewId="0">
      <pane ySplit="14" topLeftCell="A15" activePane="bottomLeft" state="frozen"/>
      <selection pane="bottomLeft" activeCell="G117" sqref="G117"/>
    </sheetView>
  </sheetViews>
  <sheetFormatPr defaultColWidth="9.140625" defaultRowHeight="15" outlineLevelRow="1"/>
  <cols>
    <col min="1" max="1" width="1.7109375" style="13" customWidth="1"/>
    <col min="2" max="2" width="14.140625" style="13" customWidth="1"/>
    <col min="3" max="3" width="19.7109375" style="13" customWidth="1"/>
    <col min="4" max="4" width="52" style="13" customWidth="1"/>
    <col min="5" max="5" width="27.85546875" style="13" customWidth="1"/>
    <col min="6" max="8" width="12.5703125" style="16" customWidth="1"/>
    <col min="9" max="9" width="12.42578125" style="14" customWidth="1"/>
    <col min="10" max="10" width="14.7109375" style="34" bestFit="1" customWidth="1"/>
    <col min="11" max="11" width="9.7109375" style="34" customWidth="1"/>
    <col min="12" max="12" width="12.5703125" style="16" bestFit="1" customWidth="1"/>
    <col min="13" max="14" width="12.5703125" style="16" customWidth="1"/>
    <col min="15" max="16" width="11.28515625" style="35" customWidth="1"/>
    <col min="17" max="17" width="17.28515625" style="35" customWidth="1"/>
    <col min="18" max="18" width="15.140625" style="35" customWidth="1"/>
    <col min="19" max="34" width="11.28515625" style="35" customWidth="1"/>
    <col min="35" max="35" width="15.42578125" style="35" customWidth="1"/>
    <col min="36" max="36" width="11.28515625" style="35" customWidth="1"/>
    <col min="37" max="37" width="9.140625" style="15"/>
    <col min="38" max="38" width="4.85546875" style="15" customWidth="1"/>
    <col min="39" max="39" width="14.140625" style="139" customWidth="1"/>
    <col min="40" max="40" width="18.5703125" style="139" customWidth="1"/>
    <col min="41" max="41" width="11" style="139" bestFit="1" customWidth="1"/>
    <col min="42" max="42" width="12.140625" style="139" bestFit="1" customWidth="1"/>
    <col min="43" max="43" width="9.140625" style="139"/>
    <col min="44" max="44" width="10.5703125" style="139" bestFit="1" customWidth="1"/>
    <col min="45" max="16384" width="9.140625" style="15"/>
  </cols>
  <sheetData>
    <row r="1" spans="1:44" s="128" customFormat="1" ht="15.75" outlineLevel="1" thickBot="1">
      <c r="A1" s="133" t="s">
        <v>440</v>
      </c>
      <c r="B1" s="133"/>
      <c r="C1" s="127">
        <f>COUNTA($D$15:$D$1000)-COUNTIF($K$15:$K$1000,"-")</f>
        <v>110</v>
      </c>
      <c r="D1" s="149" t="s">
        <v>1222</v>
      </c>
      <c r="E1" s="150">
        <f>COUNTIF($L$15:$L$1000,D1)</f>
        <v>0</v>
      </c>
      <c r="F1" s="127"/>
      <c r="G1" s="127"/>
      <c r="H1" s="127"/>
      <c r="I1" s="127"/>
      <c r="J1" s="127"/>
      <c r="K1" s="129"/>
      <c r="L1" s="127"/>
      <c r="M1" s="127"/>
      <c r="N1" s="127"/>
      <c r="O1" s="151" t="s">
        <v>1215</v>
      </c>
      <c r="P1" s="151">
        <f>COUNTIFS(Q15:Q1000,"*RVC*")</f>
        <v>0</v>
      </c>
      <c r="Q1" s="151" t="s">
        <v>895</v>
      </c>
      <c r="R1" s="151">
        <f>COUNTIFS(Q15:Q1000,"*GCS*")</f>
        <v>110</v>
      </c>
      <c r="S1" s="151" t="s">
        <v>1215</v>
      </c>
      <c r="T1" s="151">
        <f>COUNTIFS(U15:U1000,"*RVC*")</f>
        <v>0</v>
      </c>
      <c r="U1" s="151" t="s">
        <v>895</v>
      </c>
      <c r="V1" s="151">
        <f>COUNTIFS(U15:U1000,"*GCS*")</f>
        <v>110</v>
      </c>
      <c r="W1" s="151" t="s">
        <v>1215</v>
      </c>
      <c r="X1" s="151">
        <f>COUNTIFS(Y15:Y1000,"*RVC*")</f>
        <v>0</v>
      </c>
      <c r="Y1" s="151" t="s">
        <v>895</v>
      </c>
      <c r="Z1" s="151">
        <f>COUNTIFS(Y15:Y1000,"*GCS*")</f>
        <v>0</v>
      </c>
      <c r="AA1" s="151" t="s">
        <v>1215</v>
      </c>
      <c r="AB1" s="151">
        <f>COUNTIFS(AC15:AC1000,"*RVC*")</f>
        <v>0</v>
      </c>
      <c r="AC1" s="151" t="s">
        <v>895</v>
      </c>
      <c r="AD1" s="151">
        <f>COUNTIFS(AC15:AC1000,"*GCS*")</f>
        <v>0</v>
      </c>
      <c r="AE1" s="151" t="s">
        <v>1215</v>
      </c>
      <c r="AF1" s="151">
        <f>COUNTIFS(AG15:AG1000,"*RVC*")</f>
        <v>0</v>
      </c>
      <c r="AG1" s="151" t="s">
        <v>895</v>
      </c>
      <c r="AH1" s="151">
        <f>COUNTIFS(AG15:AG1000,"*GCS*")</f>
        <v>0</v>
      </c>
      <c r="AI1" s="127"/>
      <c r="AJ1" s="152"/>
    </row>
    <row r="2" spans="1:44" s="146" customFormat="1" ht="16.5" customHeight="1" outlineLevel="1">
      <c r="A2" s="153"/>
      <c r="B2" s="153" t="s">
        <v>425</v>
      </c>
      <c r="C2" s="145">
        <f>SUM(COUNTIF($L$15:$L$1000,{"*Ju*","*RCP*"}))</f>
        <v>109</v>
      </c>
      <c r="D2" s="99" t="s">
        <v>1223</v>
      </c>
      <c r="E2" s="100">
        <f>COUNTIF($L$15:$L$1000,D2)</f>
        <v>0</v>
      </c>
      <c r="F2" s="145"/>
      <c r="G2" s="145"/>
      <c r="H2" s="145"/>
      <c r="I2" s="145"/>
      <c r="J2" s="145"/>
      <c r="L2" s="154"/>
      <c r="M2" s="145"/>
      <c r="N2" s="145"/>
      <c r="O2" s="155"/>
      <c r="P2" s="156" t="s">
        <v>439</v>
      </c>
      <c r="Q2" s="156" t="s">
        <v>425</v>
      </c>
      <c r="R2" s="157" t="s">
        <v>438</v>
      </c>
      <c r="S2" s="155"/>
      <c r="T2" s="156" t="s">
        <v>439</v>
      </c>
      <c r="U2" s="156" t="s">
        <v>425</v>
      </c>
      <c r="V2" s="157" t="s">
        <v>438</v>
      </c>
      <c r="W2" s="155"/>
      <c r="X2" s="156" t="s">
        <v>439</v>
      </c>
      <c r="Y2" s="156" t="s">
        <v>425</v>
      </c>
      <c r="Z2" s="157" t="s">
        <v>438</v>
      </c>
      <c r="AA2" s="155"/>
      <c r="AB2" s="156" t="s">
        <v>439</v>
      </c>
      <c r="AC2" s="156" t="s">
        <v>425</v>
      </c>
      <c r="AD2" s="157" t="s">
        <v>438</v>
      </c>
      <c r="AE2" s="155"/>
      <c r="AF2" s="156" t="s">
        <v>439</v>
      </c>
      <c r="AG2" s="156" t="s">
        <v>425</v>
      </c>
      <c r="AH2" s="157" t="s">
        <v>438</v>
      </c>
      <c r="AI2" s="118" t="s">
        <v>1240</v>
      </c>
      <c r="AJ2" s="119" t="s">
        <v>423</v>
      </c>
      <c r="AK2" s="118" t="s">
        <v>1241</v>
      </c>
      <c r="AM2" s="158" t="s">
        <v>1264</v>
      </c>
      <c r="AN2" s="159">
        <f>Summary!P2</f>
        <v>1</v>
      </c>
      <c r="AO2" s="118" t="s">
        <v>1265</v>
      </c>
      <c r="AP2" s="118" t="s">
        <v>1266</v>
      </c>
      <c r="AQ2" s="118" t="s">
        <v>1267</v>
      </c>
      <c r="AR2" s="118" t="s">
        <v>1258</v>
      </c>
    </row>
    <row r="3" spans="1:44" s="146" customFormat="1" ht="16.5" customHeight="1" outlineLevel="1">
      <c r="A3" s="153"/>
      <c r="B3" s="153" t="s">
        <v>438</v>
      </c>
      <c r="C3" s="145">
        <f>C1-C2</f>
        <v>1</v>
      </c>
      <c r="D3" s="160"/>
      <c r="E3" s="148"/>
      <c r="F3" s="161"/>
      <c r="G3" s="161"/>
      <c r="H3" s="142" t="s">
        <v>1258</v>
      </c>
      <c r="I3" s="143" t="s">
        <v>1259</v>
      </c>
      <c r="J3" s="144" t="s">
        <v>1240</v>
      </c>
      <c r="L3" s="162"/>
      <c r="M3" s="163" t="s">
        <v>1215</v>
      </c>
      <c r="N3" s="163">
        <f>COUNTIFS($N$15:$N$1000,"*RVC*")</f>
        <v>0</v>
      </c>
      <c r="O3" s="164" t="s">
        <v>437</v>
      </c>
      <c r="P3" s="165">
        <f>SUM(Q3:R3)</f>
        <v>110</v>
      </c>
      <c r="Q3" s="166">
        <f>SUM(Q4:Q5)</f>
        <v>109</v>
      </c>
      <c r="R3" s="167">
        <f>SUM(R4:R5)</f>
        <v>1</v>
      </c>
      <c r="S3" s="164" t="s">
        <v>437</v>
      </c>
      <c r="T3" s="165">
        <f>SUM(U3:V3)</f>
        <v>110</v>
      </c>
      <c r="U3" s="166">
        <f>SUM(U4:U5)</f>
        <v>109</v>
      </c>
      <c r="V3" s="167">
        <f>SUM(V4:V5)</f>
        <v>1</v>
      </c>
      <c r="W3" s="164" t="s">
        <v>437</v>
      </c>
      <c r="X3" s="165">
        <f>SUM(Y3:Z3)</f>
        <v>0</v>
      </c>
      <c r="Y3" s="166">
        <f>SUM(Y4:Y5)</f>
        <v>0</v>
      </c>
      <c r="Z3" s="167">
        <f>SUM(Z4:Z5)</f>
        <v>0</v>
      </c>
      <c r="AA3" s="164" t="s">
        <v>437</v>
      </c>
      <c r="AB3" s="165">
        <f>SUM(AC3:AD3)</f>
        <v>0</v>
      </c>
      <c r="AC3" s="166">
        <f>SUM(AC4:AC5)</f>
        <v>0</v>
      </c>
      <c r="AD3" s="167">
        <f>SUM(AD4:AD5)</f>
        <v>0</v>
      </c>
      <c r="AE3" s="164" t="s">
        <v>437</v>
      </c>
      <c r="AF3" s="165">
        <f>SUM(AG3:AH3)</f>
        <v>0</v>
      </c>
      <c r="AG3" s="166">
        <f>SUM(AG4:AG5)</f>
        <v>0</v>
      </c>
      <c r="AH3" s="168">
        <f>SUM(AH4:AH5)</f>
        <v>0</v>
      </c>
      <c r="AI3" s="120">
        <f ca="1">SUMIFS($AI$15:$AI$1500,$L$15:$L$1500,"*Manual*", INDIRECT(VLOOKUP($AN$2,$AM$3:$AN$7,2,FALSE)),"*"&amp;AJ3&amp;"*")</f>
        <v>0</v>
      </c>
      <c r="AJ3" s="120" t="s">
        <v>1242</v>
      </c>
      <c r="AK3" s="121">
        <f ca="1">COUNTIFS($L$15:$L$1500, "*Manual*", INDIRECT(VLOOKUP($AN$2,$AM$3:$AN$7,2,FALSE)),  "*"&amp;AJ3&amp;"*")</f>
        <v>1</v>
      </c>
      <c r="AM3" s="141">
        <v>1</v>
      </c>
      <c r="AN3" s="141" t="s">
        <v>1268</v>
      </c>
      <c r="AO3" s="141">
        <f ca="1">SUMIFS($AI$15:$AI$1500,$L$15:$L$1500,"*Manual*", INDIRECT(AN3),"&lt;&gt;"&amp;"")</f>
        <v>0</v>
      </c>
      <c r="AP3" s="141">
        <f ca="1">COUNTIFS($L$15:$L$1500,"*Manual*",INDIRECT(AN3),"&lt;&gt;"&amp;"")</f>
        <v>1</v>
      </c>
      <c r="AQ3" s="141">
        <f ca="1">IFERROR(AO3/AP3,0)</f>
        <v>0</v>
      </c>
      <c r="AR3" s="141" t="str">
        <f ca="1">IF(AQ3&gt;0,IF(AQ3&gt;=14,"D",IF(AQ3&gt;=8,"N","E")),"NOT-YET")</f>
        <v>NOT-YET</v>
      </c>
    </row>
    <row r="4" spans="1:44" s="146" customFormat="1" ht="16.5" customHeight="1" outlineLevel="1">
      <c r="C4" s="145"/>
      <c r="D4" s="160"/>
      <c r="E4" s="148"/>
      <c r="H4" s="145" t="s">
        <v>1260</v>
      </c>
      <c r="I4" s="146">
        <f ca="1">COUNTIFS($L$15:$L$1500,"*Manual*",INDIRECT(VLOOKUP($AN$2,$AM$3:$AN$7,2,FALSE)),  "&lt;&gt;"&amp;"", $AI$15:$AI$1500,"*"&amp;H4&amp;"*")</f>
        <v>0</v>
      </c>
      <c r="J4" s="147">
        <f ca="1">SUMIFS($AI$15:$AI$1500,$L$15:$L$1500,"*Manual*", INDIRECT(VLOOKUP($AN$2,$AM$3:$AN$7,2,FALSE)),"&lt;&gt;"&amp;"",$AJ$15:$AJ$1500,"*"&amp;H4&amp;"*")</f>
        <v>0</v>
      </c>
      <c r="M4" s="163" t="s">
        <v>895</v>
      </c>
      <c r="N4" s="163">
        <f>COUNTIFS($N$15:$N$1000,"*GCS*")</f>
        <v>110</v>
      </c>
      <c r="O4" s="169" t="s">
        <v>0</v>
      </c>
      <c r="P4" s="170">
        <f>COUNTIF(O$15:O$1000,O4)</f>
        <v>110</v>
      </c>
      <c r="Q4" s="166">
        <f>SUM(COUNTIFS(Q$15:Q$2500,{"*Ju*","*RCP*"},O$15:O$2500,O4))</f>
        <v>109</v>
      </c>
      <c r="R4" s="171">
        <f>P4-Q4</f>
        <v>1</v>
      </c>
      <c r="S4" s="169" t="s">
        <v>0</v>
      </c>
      <c r="T4" s="170">
        <f>COUNTIF(S$15:S$1000,S4)</f>
        <v>110</v>
      </c>
      <c r="U4" s="166">
        <f>SUM(COUNTIFS(U$15:U$2500,{"*Ju*","*RCP*"},S$15:S$2500,S4))</f>
        <v>109</v>
      </c>
      <c r="V4" s="171">
        <f>T4-U4</f>
        <v>1</v>
      </c>
      <c r="W4" s="169" t="s">
        <v>0</v>
      </c>
      <c r="X4" s="170">
        <f>COUNTIF(W$15:W$1000,W4)</f>
        <v>0</v>
      </c>
      <c r="Y4" s="166">
        <f>SUM(COUNTIFS(Y$15:Y$2500,{"*Ju*","*RCP*"},W$15:W$2500,W4))</f>
        <v>0</v>
      </c>
      <c r="Z4" s="171">
        <f>X4-Y4</f>
        <v>0</v>
      </c>
      <c r="AA4" s="169" t="s">
        <v>0</v>
      </c>
      <c r="AB4" s="170">
        <f>COUNTIF(AA$15:AA$1000,AA4)</f>
        <v>0</v>
      </c>
      <c r="AC4" s="166">
        <f>SUM(COUNTIFS(AC$15:AC$2500,{"*Ju*","*RCP*"},AA$15:AA$2500,AA4))</f>
        <v>0</v>
      </c>
      <c r="AD4" s="171">
        <f>AB4-AC4</f>
        <v>0</v>
      </c>
      <c r="AE4" s="169" t="s">
        <v>0</v>
      </c>
      <c r="AF4" s="170">
        <f>COUNTIF(AE$15:AE$1000,AE4)</f>
        <v>0</v>
      </c>
      <c r="AG4" s="166">
        <f>SUM(COUNTIFS(AG$15:AG$2500,{"*Ju*","*RCP*"},AE$15:AE$2500,AE4))</f>
        <v>0</v>
      </c>
      <c r="AH4" s="172">
        <f>AF4-AG4</f>
        <v>0</v>
      </c>
      <c r="AI4" s="120">
        <f t="shared" ref="AI4:AI8" ca="1" si="0">SUMIFS($AI$15:$AI$1500,$L$15:$L$1500,"*Manual*", INDIRECT(VLOOKUP($AN$2,$AM$3:$AN$7,2,FALSE)),"*"&amp;AJ4&amp;"*")</f>
        <v>0</v>
      </c>
      <c r="AJ4" s="120" t="s">
        <v>1243</v>
      </c>
      <c r="AK4" s="121">
        <f t="shared" ref="AK4:AK9" ca="1" si="1">COUNTIFS($L$15:$L$1500, "*Manual*", INDIRECT(VLOOKUP($AN$2,$AM$3:$AN$7,2,FALSE)),  "*"&amp;AJ4&amp;"*")</f>
        <v>0</v>
      </c>
      <c r="AM4" s="141">
        <v>2</v>
      </c>
      <c r="AN4" s="141" t="s">
        <v>1269</v>
      </c>
      <c r="AO4" s="141">
        <f t="shared" ref="AO4:AO7" ca="1" si="2">SUMIFS($AI$15:$AI$1500,$L$15:$L$1500,"*Manual*", INDIRECT(AN4),"&lt;&gt;"&amp;"")</f>
        <v>0</v>
      </c>
      <c r="AP4" s="141">
        <f t="shared" ref="AP4:AP7" ca="1" si="3">COUNTIFS($L$15:$L$1500,"*Manual*",INDIRECT(AN4),"&lt;&gt;"&amp;"")</f>
        <v>1</v>
      </c>
      <c r="AQ4" s="141">
        <f t="shared" ref="AQ4:AQ7" ca="1" si="4">IFERROR(AO4/AP4,0)</f>
        <v>0</v>
      </c>
      <c r="AR4" s="141" t="str">
        <f t="shared" ref="AR4:AR7" ca="1" si="5">IF(AQ4&gt;0,IF(AQ4&gt;=14,"D",IF(AQ4&gt;=8,"N","E")),"NOT-YET")</f>
        <v>NOT-YET</v>
      </c>
    </row>
    <row r="5" spans="1:44" s="146" customFormat="1" ht="16.5" customHeight="1" outlineLevel="1">
      <c r="C5" s="145"/>
      <c r="D5" s="160"/>
      <c r="E5" s="148"/>
      <c r="H5" s="145" t="s">
        <v>1261</v>
      </c>
      <c r="I5" s="146">
        <f t="shared" ref="I5:I6" ca="1" si="6">COUNTIFS($L$15:$L$1500,"*Manual*",INDIRECT(VLOOKUP($AN$2,$AM$3:$AN$7,2,FALSE)),  "&lt;&gt;"&amp;"", $AI$15:$AI$1500,"*"&amp;H5&amp;"*")</f>
        <v>0</v>
      </c>
      <c r="J5" s="147">
        <f t="shared" ref="J5:J6" ca="1" si="7">SUMIFS($AI$15:$AI$1500,$L$15:$L$1500,"*Manual*", INDIRECT(VLOOKUP($AN$2,$AM$3:$AN$7,2,FALSE)),"&lt;&gt;"&amp;"",$AJ$15:$AJ$1500,"*"&amp;H5&amp;"*")</f>
        <v>0</v>
      </c>
      <c r="K5" s="148"/>
      <c r="M5" s="101" t="s">
        <v>0</v>
      </c>
      <c r="N5" s="101">
        <f>COUNTIFS($M$15:$M$1000,"*Pass*")</f>
        <v>110</v>
      </c>
      <c r="O5" s="173" t="s">
        <v>436</v>
      </c>
      <c r="P5" s="174">
        <f>SUM(P6:P9)</f>
        <v>0</v>
      </c>
      <c r="Q5" s="166">
        <f>SUM(Q6:Q9)</f>
        <v>0</v>
      </c>
      <c r="R5" s="171">
        <f>SUM(R6:R9)</f>
        <v>0</v>
      </c>
      <c r="S5" s="173" t="s">
        <v>436</v>
      </c>
      <c r="T5" s="174">
        <f>SUM(T6:T9)</f>
        <v>0</v>
      </c>
      <c r="U5" s="166">
        <f>SUM(U6:U9)</f>
        <v>0</v>
      </c>
      <c r="V5" s="171">
        <f>SUM(V6:V9)</f>
        <v>0</v>
      </c>
      <c r="W5" s="173" t="s">
        <v>436</v>
      </c>
      <c r="X5" s="174">
        <f>SUM(X6:X9)</f>
        <v>0</v>
      </c>
      <c r="Y5" s="166">
        <f>SUM(Y6:Y9)</f>
        <v>0</v>
      </c>
      <c r="Z5" s="171">
        <f>SUM(Z6:Z9)</f>
        <v>0</v>
      </c>
      <c r="AA5" s="173" t="s">
        <v>436</v>
      </c>
      <c r="AB5" s="174">
        <f>SUM(AB6:AB9)</f>
        <v>0</v>
      </c>
      <c r="AC5" s="166">
        <f>SUM(AC6:AC9)</f>
        <v>0</v>
      </c>
      <c r="AD5" s="171">
        <f>SUM(AD6:AD9)</f>
        <v>0</v>
      </c>
      <c r="AE5" s="173" t="s">
        <v>436</v>
      </c>
      <c r="AF5" s="174">
        <f>SUM(AF6:AF9)</f>
        <v>0</v>
      </c>
      <c r="AG5" s="166">
        <f>SUM(AG6:AG9)</f>
        <v>0</v>
      </c>
      <c r="AH5" s="172">
        <f>SUM(AH6:AH9)</f>
        <v>0</v>
      </c>
      <c r="AI5" s="120">
        <f t="shared" ca="1" si="0"/>
        <v>0</v>
      </c>
      <c r="AJ5" s="120" t="s">
        <v>1244</v>
      </c>
      <c r="AK5" s="121">
        <f t="shared" ca="1" si="1"/>
        <v>0</v>
      </c>
      <c r="AM5" s="141">
        <v>3</v>
      </c>
      <c r="AN5" s="141" t="s">
        <v>1270</v>
      </c>
      <c r="AO5" s="141">
        <f t="shared" ca="1" si="2"/>
        <v>0</v>
      </c>
      <c r="AP5" s="141">
        <f t="shared" ca="1" si="3"/>
        <v>0</v>
      </c>
      <c r="AQ5" s="141">
        <f t="shared" ca="1" si="4"/>
        <v>0</v>
      </c>
      <c r="AR5" s="141" t="str">
        <f t="shared" ca="1" si="5"/>
        <v>NOT-YET</v>
      </c>
    </row>
    <row r="6" spans="1:44" s="146" customFormat="1" ht="16.5" customHeight="1" outlineLevel="1">
      <c r="A6" s="175" t="s">
        <v>1224</v>
      </c>
      <c r="C6" s="145">
        <f>COUNTIF($K$15:$K$1000,"5.3")</f>
        <v>0</v>
      </c>
      <c r="D6" s="145"/>
      <c r="E6" s="160"/>
      <c r="H6" s="145" t="s">
        <v>1262</v>
      </c>
      <c r="I6" s="146">
        <f t="shared" ca="1" si="6"/>
        <v>0</v>
      </c>
      <c r="J6" s="147">
        <f t="shared" ca="1" si="7"/>
        <v>0</v>
      </c>
      <c r="K6" s="148"/>
      <c r="M6" s="101" t="s">
        <v>436</v>
      </c>
      <c r="N6" s="101">
        <f>COUNTIFS($M$15:$M$1000,"*Fail*")</f>
        <v>0</v>
      </c>
      <c r="O6" s="173" t="s">
        <v>435</v>
      </c>
      <c r="P6" s="174">
        <f>COUNTIF(O$15:O$1000,"*"&amp;O6&amp;"*")</f>
        <v>0</v>
      </c>
      <c r="Q6" s="166">
        <f>SUM(COUNTIFS(Q$15:Q$2500,{"*Ju*","*RCP*"},O$15:O$2500,O6))</f>
        <v>0</v>
      </c>
      <c r="R6" s="171">
        <f>P6-Q6</f>
        <v>0</v>
      </c>
      <c r="S6" s="173" t="s">
        <v>435</v>
      </c>
      <c r="T6" s="174">
        <f>COUNTIF(S$15:S$1000,"*"&amp;S6&amp;"*")</f>
        <v>0</v>
      </c>
      <c r="U6" s="166">
        <f>SUM(COUNTIFS(U$15:U$2500,{"*Ju*","*RCP*"},S$15:S$2500,S6))</f>
        <v>0</v>
      </c>
      <c r="V6" s="171">
        <f>T6-U6</f>
        <v>0</v>
      </c>
      <c r="W6" s="173" t="s">
        <v>435</v>
      </c>
      <c r="X6" s="174">
        <f>COUNTIF(W$15:W$1000,"*"&amp;W6&amp;"*")</f>
        <v>0</v>
      </c>
      <c r="Y6" s="166">
        <f>SUM(COUNTIFS(Y$15:Y$2500,{"*Ju*","*RCP*"},W$15:W$2500,W6))</f>
        <v>0</v>
      </c>
      <c r="Z6" s="171">
        <f>X6-Y6</f>
        <v>0</v>
      </c>
      <c r="AA6" s="173" t="s">
        <v>435</v>
      </c>
      <c r="AB6" s="174">
        <f>COUNTIF(AA$15:AA$1000,"*"&amp;AA6&amp;"*")</f>
        <v>0</v>
      </c>
      <c r="AC6" s="166">
        <f>SUM(COUNTIFS(AC$15:AC$2500,{"*Ju*","*RCP*"},AA$15:AA$2500,AA6))</f>
        <v>0</v>
      </c>
      <c r="AD6" s="171">
        <f>AB6-AC6</f>
        <v>0</v>
      </c>
      <c r="AE6" s="173" t="s">
        <v>435</v>
      </c>
      <c r="AF6" s="174">
        <f>COUNTIF(AE$15:AE$1000,"*"&amp;AE6&amp;"*")</f>
        <v>0</v>
      </c>
      <c r="AG6" s="166">
        <f>SUM(COUNTIFS(AG$15:AG$2500,{"*Ju*","*RCP*"},AE$15:AE$2500,AE6))</f>
        <v>0</v>
      </c>
      <c r="AH6" s="172">
        <f>AF6-AG6</f>
        <v>0</v>
      </c>
      <c r="AI6" s="120">
        <f t="shared" ca="1" si="0"/>
        <v>0</v>
      </c>
      <c r="AJ6" s="120" t="s">
        <v>1245</v>
      </c>
      <c r="AK6" s="121">
        <f t="shared" ca="1" si="1"/>
        <v>0</v>
      </c>
      <c r="AM6" s="141">
        <v>4</v>
      </c>
      <c r="AN6" s="141" t="s">
        <v>1271</v>
      </c>
      <c r="AO6" s="141">
        <f t="shared" ca="1" si="2"/>
        <v>0</v>
      </c>
      <c r="AP6" s="141">
        <f t="shared" ca="1" si="3"/>
        <v>0</v>
      </c>
      <c r="AQ6" s="141">
        <f ca="1">IFERROR(AO6/AP6,0)</f>
        <v>0</v>
      </c>
      <c r="AR6" s="141" t="str">
        <f t="shared" ca="1" si="5"/>
        <v>NOT-YET</v>
      </c>
    </row>
    <row r="7" spans="1:44" s="146" customFormat="1" ht="16.5" customHeight="1" outlineLevel="1">
      <c r="C7" s="145"/>
      <c r="D7" s="145"/>
      <c r="E7" s="160"/>
      <c r="H7" s="145"/>
      <c r="I7" s="148"/>
      <c r="K7" s="148"/>
      <c r="M7" s="101" t="s">
        <v>1225</v>
      </c>
      <c r="N7" s="101">
        <f>COUNTIFS($M$15:$M$1000,"*Skip*")</f>
        <v>0</v>
      </c>
      <c r="O7" s="173" t="s">
        <v>283</v>
      </c>
      <c r="P7" s="174">
        <f>COUNTIF(O$15:O$1000,"*"&amp;O7&amp;"*")</f>
        <v>0</v>
      </c>
      <c r="Q7" s="166">
        <f>SUM(COUNTIFS(Q$15:Q$2500,{"*Ju*","*RCP*"},O$15:O$2500,O7))</f>
        <v>0</v>
      </c>
      <c r="R7" s="171">
        <f>P7-Q7</f>
        <v>0</v>
      </c>
      <c r="S7" s="173" t="s">
        <v>283</v>
      </c>
      <c r="T7" s="174">
        <f>COUNTIF(S$15:S$1000,"*"&amp;S7&amp;"*")</f>
        <v>0</v>
      </c>
      <c r="U7" s="166">
        <f>SUM(COUNTIFS(U$15:U$2500,{"*Ju*","*RCP*"},S$15:S$2500,S7))</f>
        <v>0</v>
      </c>
      <c r="V7" s="171">
        <f>T7-U7</f>
        <v>0</v>
      </c>
      <c r="W7" s="173" t="s">
        <v>283</v>
      </c>
      <c r="X7" s="174">
        <f>COUNTIF(W$15:W$1000,"*"&amp;W7&amp;"*")</f>
        <v>0</v>
      </c>
      <c r="Y7" s="166">
        <f>SUM(COUNTIFS(Y$15:Y$2500,{"*Ju*","*RCP*"},W$15:W$2500,W7))</f>
        <v>0</v>
      </c>
      <c r="Z7" s="171">
        <f>X7-Y7</f>
        <v>0</v>
      </c>
      <c r="AA7" s="173" t="s">
        <v>283</v>
      </c>
      <c r="AB7" s="174">
        <f>COUNTIF(AA$15:AA$1000,"*"&amp;AA7&amp;"*")</f>
        <v>0</v>
      </c>
      <c r="AC7" s="166">
        <f>SUM(COUNTIFS(AC$15:AC$2500,{"*Ju*","*RCP*"},AA$15:AA$2500,AA7))</f>
        <v>0</v>
      </c>
      <c r="AD7" s="171">
        <f>AB7-AC7</f>
        <v>0</v>
      </c>
      <c r="AE7" s="173" t="s">
        <v>283</v>
      </c>
      <c r="AF7" s="174">
        <f>COUNTIF(AE$15:AE$1000,"*"&amp;AE7&amp;"*")</f>
        <v>0</v>
      </c>
      <c r="AG7" s="166">
        <f>SUM(COUNTIFS(AG$15:AG$2500,{"*Ju*","*RCP*"},AE$15:AE$2500,AE7))</f>
        <v>0</v>
      </c>
      <c r="AH7" s="172">
        <f>AF7-AG7</f>
        <v>0</v>
      </c>
      <c r="AI7" s="120">
        <f t="shared" ca="1" si="0"/>
        <v>0</v>
      </c>
      <c r="AJ7" s="120" t="s">
        <v>1246</v>
      </c>
      <c r="AK7" s="121">
        <f t="shared" ca="1" si="1"/>
        <v>0</v>
      </c>
      <c r="AM7" s="141">
        <v>5</v>
      </c>
      <c r="AN7" s="141" t="s">
        <v>1272</v>
      </c>
      <c r="AO7" s="141">
        <f t="shared" ca="1" si="2"/>
        <v>0</v>
      </c>
      <c r="AP7" s="141">
        <f t="shared" ca="1" si="3"/>
        <v>0</v>
      </c>
      <c r="AQ7" s="141">
        <f t="shared" ca="1" si="4"/>
        <v>0</v>
      </c>
      <c r="AR7" s="141" t="str">
        <f t="shared" ca="1" si="5"/>
        <v>NOT-YET</v>
      </c>
    </row>
    <row r="8" spans="1:44" s="146" customFormat="1" ht="16.5" customHeight="1" outlineLevel="1">
      <c r="C8" s="145"/>
      <c r="D8" s="145"/>
      <c r="E8" s="160"/>
      <c r="H8" s="122" t="s">
        <v>1263</v>
      </c>
      <c r="I8" s="146">
        <f ca="1">COUNTIFS($L$15:$L$1500,"*Manual*",INDIRECT(VLOOKUP($AN$2,$AM$3:$AN$7,2,FALSE)),  "&lt;&gt;"&amp;"", $AI$15:$AI$1500,"&gt;=60")</f>
        <v>0</v>
      </c>
      <c r="J8" s="147">
        <f ca="1">SUMIFS($AI$15:$AI$1500,$L$15:$L$1500,"*Manual*", INDIRECT(VLOOKUP($AN$2,$AM$3:$AN$7,2,FALSE)),"&lt;&gt;"&amp;"",$AI$15:$AI$1500,"&gt;=60")</f>
        <v>0</v>
      </c>
      <c r="K8" s="148"/>
      <c r="O8" s="173" t="s">
        <v>434</v>
      </c>
      <c r="P8" s="174">
        <f>COUNTIF(O$15:O$1000,"*"&amp;O8&amp;"*")</f>
        <v>0</v>
      </c>
      <c r="Q8" s="166">
        <f>SUM(COUNTIFS(Q$15:Q$2500,{"*Ju*","*RCP*"},O$15:O$2500,O8))</f>
        <v>0</v>
      </c>
      <c r="R8" s="171">
        <f>P8-Q8</f>
        <v>0</v>
      </c>
      <c r="S8" s="173" t="s">
        <v>434</v>
      </c>
      <c r="T8" s="174">
        <f>COUNTIF(S$15:S$1000,"*"&amp;S8&amp;"*")</f>
        <v>0</v>
      </c>
      <c r="U8" s="166">
        <f>SUM(COUNTIFS(U$15:U$2500,{"*Ju*","*RCP*"},S$15:S$2500,S8))</f>
        <v>0</v>
      </c>
      <c r="V8" s="171">
        <f>T8-U8</f>
        <v>0</v>
      </c>
      <c r="W8" s="173" t="s">
        <v>434</v>
      </c>
      <c r="X8" s="174">
        <f>COUNTIF(W$15:W$1000,"*"&amp;W8&amp;"*")</f>
        <v>0</v>
      </c>
      <c r="Y8" s="166">
        <f>SUM(COUNTIFS(Y$15:Y$2500,{"*Ju*","*RCP*"},W$15:W$2500,W8))</f>
        <v>0</v>
      </c>
      <c r="Z8" s="171">
        <f>X8-Y8</f>
        <v>0</v>
      </c>
      <c r="AA8" s="173" t="s">
        <v>434</v>
      </c>
      <c r="AB8" s="174">
        <f>COUNTIF(AA$15:AA$1000,"*"&amp;AA8&amp;"*")</f>
        <v>0</v>
      </c>
      <c r="AC8" s="166">
        <f>SUM(COUNTIFS(AC$15:AC$2500,{"*Ju*","*RCP*"},AA$15:AA$2500,AA8))</f>
        <v>0</v>
      </c>
      <c r="AD8" s="171">
        <f>AB8-AC8</f>
        <v>0</v>
      </c>
      <c r="AE8" s="173" t="s">
        <v>434</v>
      </c>
      <c r="AF8" s="174">
        <f>COUNTIF(AE$15:AE$1000,"*"&amp;AE8&amp;"*")</f>
        <v>0</v>
      </c>
      <c r="AG8" s="166">
        <f>SUM(COUNTIFS(AG$15:AG$2500,{"*Ju*","*RCP*"},AE$15:AE$2500,AE8))</f>
        <v>0</v>
      </c>
      <c r="AH8" s="172">
        <f>AF8-AG8</f>
        <v>0</v>
      </c>
      <c r="AI8" s="120">
        <f t="shared" ca="1" si="0"/>
        <v>0</v>
      </c>
      <c r="AJ8" s="120" t="s">
        <v>1276</v>
      </c>
      <c r="AK8" s="121">
        <f t="shared" ca="1" si="1"/>
        <v>0</v>
      </c>
      <c r="AO8" s="176"/>
    </row>
    <row r="9" spans="1:44" s="146" customFormat="1" ht="16.5" customHeight="1" outlineLevel="1">
      <c r="C9" s="145"/>
      <c r="D9" s="145"/>
      <c r="E9" s="160"/>
      <c r="I9" s="161"/>
      <c r="J9" s="145"/>
      <c r="K9" s="148"/>
      <c r="O9" s="173" t="s">
        <v>18</v>
      </c>
      <c r="P9" s="174">
        <f>COUNTIF(O$15:O$1000,"*"&amp;O9&amp;"*")</f>
        <v>0</v>
      </c>
      <c r="Q9" s="166">
        <f>SUM(COUNTIFS(Q$15:Q$2500,{"*Ju*","*RCP*"},O$15:O$2500,O9))</f>
        <v>0</v>
      </c>
      <c r="R9" s="171">
        <f>P9-Q9</f>
        <v>0</v>
      </c>
      <c r="S9" s="173" t="s">
        <v>18</v>
      </c>
      <c r="T9" s="174">
        <f>COUNTIF(S$15:S$1000,"*"&amp;S9&amp;"*")</f>
        <v>0</v>
      </c>
      <c r="U9" s="166">
        <f>SUM(COUNTIFS(U$15:U$2500,{"*Ju*","*RCP*"},S$15:S$2500,S9))</f>
        <v>0</v>
      </c>
      <c r="V9" s="171">
        <f>T9-U9</f>
        <v>0</v>
      </c>
      <c r="W9" s="173" t="s">
        <v>18</v>
      </c>
      <c r="X9" s="174">
        <f>COUNTIF(W$15:W$1000,"*"&amp;W9&amp;"*")</f>
        <v>0</v>
      </c>
      <c r="Y9" s="166">
        <f>SUM(COUNTIFS(Y$15:Y$2500,{"*Ju*","*RCP*"},W$15:W$2500,W9))</f>
        <v>0</v>
      </c>
      <c r="Z9" s="171">
        <f>X9-Y9</f>
        <v>0</v>
      </c>
      <c r="AA9" s="173" t="s">
        <v>18</v>
      </c>
      <c r="AB9" s="174">
        <f>COUNTIF(AA$15:AA$1000,"*"&amp;AA9&amp;"*")</f>
        <v>0</v>
      </c>
      <c r="AC9" s="166">
        <f>SUM(COUNTIFS(AC$15:AC$2500,{"*Ju*","*RCP*"},AA$15:AA$2500,AA9))</f>
        <v>0</v>
      </c>
      <c r="AD9" s="171">
        <f>AB9-AC9</f>
        <v>0</v>
      </c>
      <c r="AE9" s="173" t="s">
        <v>18</v>
      </c>
      <c r="AF9" s="174">
        <f>COUNTIF(AE$15:AE$1000,"*"&amp;AE9&amp;"*")</f>
        <v>0</v>
      </c>
      <c r="AG9" s="166">
        <f>SUM(COUNTIFS(AG$15:AG$2500,{"*Ju*","*RCP*"},AE$15:AE$2500,AE9))</f>
        <v>0</v>
      </c>
      <c r="AH9" s="172">
        <f>AF9-AG9</f>
        <v>0</v>
      </c>
      <c r="AI9" s="120">
        <f ca="1">SUMIFS($AI$15:$AI$1500,$L$15:$L$1500,"*Manual*", INDIRECT(VLOOKUP($AN$2,$AM$3:$AN$7,2,FALSE)),"*"&amp;AJ9&amp;"*")</f>
        <v>0</v>
      </c>
      <c r="AJ9" s="120" t="s">
        <v>1277</v>
      </c>
      <c r="AK9" s="121">
        <f t="shared" ca="1" si="1"/>
        <v>0</v>
      </c>
      <c r="AM9" s="177"/>
      <c r="AN9" s="177"/>
    </row>
    <row r="10" spans="1:44" s="146" customFormat="1" ht="16.5" customHeight="1" outlineLevel="1" thickBot="1">
      <c r="C10" s="145"/>
      <c r="D10" s="145"/>
      <c r="E10" s="160"/>
      <c r="I10" s="161"/>
      <c r="J10" s="145"/>
      <c r="K10" s="148"/>
      <c r="O10" s="178" t="s">
        <v>1278</v>
      </c>
      <c r="P10" s="179">
        <f>COUNTIF(O$15:O$1000,"*"&amp;O10&amp;"*")</f>
        <v>0</v>
      </c>
      <c r="Q10" s="166">
        <f>SUM(COUNTIFS(Q$15:Q$2500,{"*Ju*","*RCP*"},O$15:O$2500,O10))</f>
        <v>0</v>
      </c>
      <c r="R10" s="180">
        <f>P10-Q10</f>
        <v>0</v>
      </c>
      <c r="S10" s="178" t="s">
        <v>1278</v>
      </c>
      <c r="T10" s="179">
        <f>COUNTIF(S$15:S$1000,"*"&amp;S10&amp;"*")</f>
        <v>0</v>
      </c>
      <c r="U10" s="166">
        <f>SUM(COUNTIFS(U$15:U$2500,{"*Ju*","*RCP*"},S$15:S$2500,S10))</f>
        <v>0</v>
      </c>
      <c r="V10" s="180">
        <f>T10-U10</f>
        <v>0</v>
      </c>
      <c r="W10" s="178" t="s">
        <v>1278</v>
      </c>
      <c r="X10" s="179">
        <f>COUNTIF(W$15:W$1000,"*"&amp;W10&amp;"*")</f>
        <v>0</v>
      </c>
      <c r="Y10" s="166">
        <f>SUM(COUNTIFS(Y$15:Y$2500,{"*Ju*","*RCP*"},W$15:W$2500,W10))</f>
        <v>0</v>
      </c>
      <c r="Z10" s="180">
        <f>X10-Y10</f>
        <v>0</v>
      </c>
      <c r="AA10" s="178" t="s">
        <v>1278</v>
      </c>
      <c r="AB10" s="179">
        <f>COUNTIF(AA$15:AA$1000,"*"&amp;AA10&amp;"*")</f>
        <v>0</v>
      </c>
      <c r="AC10" s="166">
        <f>SUM(COUNTIFS(AC$15:AC$2500,{"*Ju*","*RCP*"},AA$15:AA$2500,AA10))</f>
        <v>0</v>
      </c>
      <c r="AD10" s="180">
        <f>AB10-AC10</f>
        <v>0</v>
      </c>
      <c r="AE10" s="178" t="s">
        <v>1278</v>
      </c>
      <c r="AF10" s="179">
        <f>COUNTIF(AE$15:AE$1000,"*"&amp;AE10&amp;"*")</f>
        <v>0</v>
      </c>
      <c r="AG10" s="166">
        <f>SUM(COUNTIFS(AG$15:AG$2500,{"*Ju*","*RCP*"},AE$15:AE$2500,AE10))</f>
        <v>0</v>
      </c>
      <c r="AH10" s="181">
        <f>AF10-AG10</f>
        <v>0</v>
      </c>
      <c r="AI10" s="182">
        <f ca="1">SUM(AI3:AI9)</f>
        <v>0</v>
      </c>
      <c r="AJ10" s="191">
        <f ca="1" xml:space="preserve"> IFERROR($AG$10/$AI$10,0)</f>
        <v>0</v>
      </c>
      <c r="AK10" s="183">
        <f ca="1">SUM(AK3:AK9)</f>
        <v>1</v>
      </c>
      <c r="AM10" s="147"/>
      <c r="AN10" s="147"/>
    </row>
    <row r="11" spans="1:44" s="128" customFormat="1" outlineLevel="1">
      <c r="A11" s="133"/>
      <c r="B11" s="133"/>
      <c r="C11" s="127"/>
      <c r="D11" s="127"/>
      <c r="E11" s="184"/>
      <c r="F11" s="185"/>
      <c r="G11" s="185"/>
      <c r="H11" s="185"/>
      <c r="I11" s="185"/>
      <c r="J11" s="127"/>
      <c r="K11" s="129"/>
      <c r="L11" s="185"/>
      <c r="M11" s="185"/>
      <c r="N11" s="185"/>
      <c r="O11" s="226">
        <v>1</v>
      </c>
      <c r="P11" s="226"/>
      <c r="Q11" s="226"/>
      <c r="R11" s="226"/>
      <c r="S11" s="226">
        <v>2</v>
      </c>
      <c r="T11" s="226"/>
      <c r="U11" s="226"/>
      <c r="V11" s="226"/>
      <c r="W11" s="226">
        <v>3</v>
      </c>
      <c r="X11" s="226"/>
      <c r="Y11" s="226"/>
      <c r="Z11" s="226"/>
      <c r="AA11" s="226">
        <v>4</v>
      </c>
      <c r="AB11" s="226"/>
      <c r="AC11" s="226"/>
      <c r="AD11" s="226"/>
      <c r="AE11" s="226">
        <v>5</v>
      </c>
      <c r="AF11" s="226"/>
      <c r="AG11" s="226"/>
      <c r="AH11" s="226"/>
      <c r="AI11" s="227" t="s">
        <v>1275</v>
      </c>
      <c r="AJ11" s="228"/>
      <c r="AM11" s="223" t="s">
        <v>1273</v>
      </c>
      <c r="AN11" s="224"/>
    </row>
    <row r="12" spans="1:44" s="128" customFormat="1" outlineLevel="1">
      <c r="C12" s="127"/>
      <c r="D12" s="127"/>
      <c r="E12" s="127"/>
      <c r="I12" s="185"/>
      <c r="O12" s="225" t="str">
        <f>Summary!R4</f>
        <v>e2studio_v5.4.0.001-Part1</v>
      </c>
      <c r="P12" s="225"/>
      <c r="Q12" s="225"/>
      <c r="R12" s="225"/>
      <c r="S12" s="225" t="str">
        <f>Summary!AM4</f>
        <v>e2studio_v5.4.0.005</v>
      </c>
      <c r="T12" s="225"/>
      <c r="U12" s="225"/>
      <c r="V12" s="225"/>
      <c r="W12" s="225" t="str">
        <f>Summary!BH4</f>
        <v>TBD</v>
      </c>
      <c r="X12" s="225"/>
      <c r="Y12" s="225"/>
      <c r="Z12" s="225"/>
      <c r="AA12" s="225" t="str">
        <f>Summary!CC4</f>
        <v>TBD</v>
      </c>
      <c r="AB12" s="225"/>
      <c r="AC12" s="225"/>
      <c r="AD12" s="225"/>
      <c r="AE12" s="225" t="str">
        <f>Summary!CX4</f>
        <v>TBD</v>
      </c>
      <c r="AF12" s="225"/>
      <c r="AG12" s="225"/>
      <c r="AH12" s="225"/>
      <c r="AI12" s="130">
        <f>SUM(AI15:AI1500)</f>
        <v>0</v>
      </c>
      <c r="AJ12" s="130" t="str">
        <f ca="1">IF($AJ$10&gt;0,IF($AJ$10&gt;=14,"D",IF($AJ$10&gt;=8,"N","E")),"NOT-YET")</f>
        <v>NOT-YET</v>
      </c>
      <c r="AK12" s="12"/>
      <c r="AL12" s="12"/>
      <c r="AM12" s="130">
        <f>SUM($AM$15:$AM$1500)</f>
        <v>10</v>
      </c>
      <c r="AN12" s="130" t="str">
        <f>IF(AM12&gt;0,IF($AN$14&gt;=14,"D",IF($AN$14&gt;=8,"N","E")),"NOT-YET")</f>
        <v>N</v>
      </c>
    </row>
    <row r="13" spans="1:44" s="12" customFormat="1" ht="51" customHeight="1">
      <c r="A13" s="13"/>
      <c r="B13" s="17" t="s">
        <v>431</v>
      </c>
      <c r="C13" s="18" t="s">
        <v>430</v>
      </c>
      <c r="D13" s="17" t="s">
        <v>429</v>
      </c>
      <c r="E13" s="18" t="s">
        <v>428</v>
      </c>
      <c r="F13" s="188" t="s">
        <v>1209</v>
      </c>
      <c r="G13" s="219" t="s">
        <v>1283</v>
      </c>
      <c r="H13" s="220"/>
      <c r="I13" s="18" t="s">
        <v>426</v>
      </c>
      <c r="J13" s="19" t="s">
        <v>427</v>
      </c>
      <c r="K13" s="19" t="s">
        <v>1210</v>
      </c>
      <c r="L13" s="20" t="s">
        <v>425</v>
      </c>
      <c r="M13" s="221" t="s">
        <v>1281</v>
      </c>
      <c r="N13" s="221"/>
      <c r="O13" s="18" t="s">
        <v>424</v>
      </c>
      <c r="P13" s="21" t="s">
        <v>73</v>
      </c>
      <c r="Q13" s="18" t="s">
        <v>423</v>
      </c>
      <c r="R13" s="18" t="s">
        <v>422</v>
      </c>
      <c r="S13" s="18" t="s">
        <v>424</v>
      </c>
      <c r="T13" s="21" t="s">
        <v>73</v>
      </c>
      <c r="U13" s="18" t="s">
        <v>423</v>
      </c>
      <c r="V13" s="18" t="s">
        <v>422</v>
      </c>
      <c r="W13" s="18" t="s">
        <v>424</v>
      </c>
      <c r="X13" s="21" t="s">
        <v>73</v>
      </c>
      <c r="Y13" s="18" t="s">
        <v>423</v>
      </c>
      <c r="Z13" s="18" t="s">
        <v>422</v>
      </c>
      <c r="AA13" s="18" t="s">
        <v>424</v>
      </c>
      <c r="AB13" s="21" t="s">
        <v>73</v>
      </c>
      <c r="AC13" s="18" t="s">
        <v>423</v>
      </c>
      <c r="AD13" s="18" t="s">
        <v>422</v>
      </c>
      <c r="AE13" s="18" t="s">
        <v>424</v>
      </c>
      <c r="AF13" s="21" t="s">
        <v>73</v>
      </c>
      <c r="AG13" s="18" t="s">
        <v>423</v>
      </c>
      <c r="AH13" s="18" t="s">
        <v>422</v>
      </c>
      <c r="AI13" s="18" t="s">
        <v>1237</v>
      </c>
      <c r="AJ13" s="18" t="s">
        <v>432</v>
      </c>
      <c r="AM13" s="131" t="s">
        <v>1237</v>
      </c>
      <c r="AN13" s="132" t="s">
        <v>432</v>
      </c>
      <c r="AO13" s="133"/>
      <c r="AP13" s="133"/>
      <c r="AQ13" s="133"/>
      <c r="AR13" s="133"/>
    </row>
    <row r="14" spans="1:44" s="12" customFormat="1" ht="30">
      <c r="A14" s="13"/>
      <c r="B14" s="17"/>
      <c r="C14" s="18"/>
      <c r="D14" s="17"/>
      <c r="E14" s="18"/>
      <c r="F14" s="188"/>
      <c r="G14" s="124" t="s">
        <v>1284</v>
      </c>
      <c r="H14" s="125" t="s">
        <v>1282</v>
      </c>
      <c r="I14" s="18"/>
      <c r="J14" s="19"/>
      <c r="K14" s="19"/>
      <c r="L14" s="20"/>
      <c r="M14" s="188" t="s">
        <v>424</v>
      </c>
      <c r="N14" s="188" t="s">
        <v>1213</v>
      </c>
      <c r="O14" s="18"/>
      <c r="P14" s="21"/>
      <c r="Q14" s="18"/>
      <c r="R14" s="18"/>
      <c r="S14" s="18"/>
      <c r="T14" s="21"/>
      <c r="U14" s="18"/>
      <c r="V14" s="18"/>
      <c r="W14" s="18"/>
      <c r="X14" s="21"/>
      <c r="Y14" s="18"/>
      <c r="Z14" s="18"/>
      <c r="AA14" s="18"/>
      <c r="AB14" s="21"/>
      <c r="AC14" s="18"/>
      <c r="AD14" s="18"/>
      <c r="AE14" s="18"/>
      <c r="AF14" s="21"/>
      <c r="AG14" s="18"/>
      <c r="AH14" s="18"/>
      <c r="AI14" s="18"/>
      <c r="AJ14" s="18"/>
      <c r="AM14" s="134" t="s">
        <v>1274</v>
      </c>
      <c r="AN14" s="135">
        <f>IFERROR($AM$12/COUNTIF($AM$15:$AM$1500, "&gt;0"),0)</f>
        <v>10</v>
      </c>
      <c r="AO14" s="133"/>
      <c r="AP14" s="133"/>
      <c r="AQ14" s="133"/>
      <c r="AR14" s="133"/>
    </row>
    <row r="15" spans="1:44">
      <c r="B15" s="22" t="s">
        <v>900</v>
      </c>
      <c r="C15" s="22"/>
      <c r="D15" s="22"/>
      <c r="E15" s="22"/>
      <c r="F15" s="24"/>
      <c r="G15" s="24"/>
      <c r="H15" s="24"/>
      <c r="I15" s="22"/>
      <c r="J15" s="22"/>
      <c r="K15" s="22"/>
      <c r="L15" s="24" t="s">
        <v>103</v>
      </c>
      <c r="M15" s="22"/>
      <c r="N15" s="22"/>
      <c r="O15" s="36"/>
      <c r="P15" s="36"/>
      <c r="Q15" s="36"/>
      <c r="R15" s="36"/>
      <c r="S15" s="36"/>
      <c r="T15" s="36"/>
      <c r="U15" s="36"/>
      <c r="V15" s="36"/>
      <c r="W15" s="36"/>
      <c r="X15" s="36"/>
      <c r="Y15" s="36"/>
      <c r="Z15" s="36"/>
      <c r="AA15" s="36"/>
      <c r="AB15" s="36"/>
      <c r="AC15" s="36"/>
      <c r="AD15" s="36"/>
      <c r="AE15" s="36"/>
      <c r="AF15" s="36"/>
      <c r="AG15" s="36"/>
      <c r="AH15" s="36"/>
      <c r="AI15" s="186"/>
      <c r="AJ15" s="140"/>
      <c r="AK15" s="187"/>
      <c r="AL15" s="187"/>
      <c r="AM15" s="136"/>
      <c r="AN15" s="137" t="str">
        <f>IF(AM15&gt;0, IF(AM15&gt;=14,"D",IF(AM15&gt;=8,"N","E")),"")</f>
        <v/>
      </c>
      <c r="AO15" s="138"/>
      <c r="AP15" s="138"/>
      <c r="AQ15" s="138"/>
      <c r="AR15" s="138"/>
    </row>
    <row r="16" spans="1:44" s="13" customFormat="1" ht="135">
      <c r="B16" s="51" t="s">
        <v>899</v>
      </c>
      <c r="C16" s="229" t="s">
        <v>898</v>
      </c>
      <c r="D16" s="62" t="s">
        <v>1164</v>
      </c>
      <c r="E16" s="62" t="s">
        <v>1165</v>
      </c>
      <c r="F16" s="28" t="s">
        <v>1</v>
      </c>
      <c r="G16" s="28" t="s">
        <v>1251</v>
      </c>
      <c r="H16" s="28" t="s">
        <v>1252</v>
      </c>
      <c r="I16" s="40"/>
      <c r="J16" s="26" t="s">
        <v>79</v>
      </c>
      <c r="K16" s="90" t="s">
        <v>1212</v>
      </c>
      <c r="L16" s="28" t="s">
        <v>655</v>
      </c>
      <c r="M16" s="28" t="s">
        <v>0</v>
      </c>
      <c r="N16" s="28" t="s">
        <v>1235</v>
      </c>
      <c r="O16" s="85" t="s">
        <v>0</v>
      </c>
      <c r="P16" s="31">
        <v>42773</v>
      </c>
      <c r="Q16" s="85" t="s">
        <v>1292</v>
      </c>
      <c r="R16" s="85" t="s">
        <v>1291</v>
      </c>
      <c r="S16" s="211" t="s">
        <v>0</v>
      </c>
      <c r="T16" s="31">
        <v>42794</v>
      </c>
      <c r="U16" s="211" t="s">
        <v>1292</v>
      </c>
      <c r="V16" s="85"/>
      <c r="W16" s="85"/>
      <c r="X16" s="31"/>
      <c r="Y16" s="85"/>
      <c r="Z16" s="85"/>
      <c r="AA16" s="86"/>
      <c r="AB16" s="31"/>
      <c r="AC16" s="86"/>
      <c r="AD16" s="86"/>
      <c r="AE16" s="86"/>
      <c r="AF16" s="31"/>
      <c r="AG16" s="86"/>
      <c r="AH16" s="86"/>
      <c r="AI16" s="126"/>
      <c r="AJ16" s="140" t="str">
        <f>IF(AI16&gt;0, IF(AI16&gt;=14,"D",IF(AI16&gt;=8,"N","E")),"")</f>
        <v/>
      </c>
      <c r="AK16" s="15"/>
      <c r="AL16" s="15"/>
      <c r="AM16" s="136"/>
      <c r="AN16" s="137" t="str">
        <f>IF(AM16&gt;0, IF(AM16&gt;=14,"D",IF(AM16&gt;=8,"N","E")),"")</f>
        <v/>
      </c>
      <c r="AO16" s="138"/>
      <c r="AP16" s="138"/>
      <c r="AQ16" s="138"/>
      <c r="AR16" s="138"/>
    </row>
    <row r="17" spans="2:44" s="13" customFormat="1" ht="30">
      <c r="B17" s="51" t="s">
        <v>897</v>
      </c>
      <c r="C17" s="229"/>
      <c r="D17" s="62" t="s">
        <v>875</v>
      </c>
      <c r="E17" s="62" t="s">
        <v>874</v>
      </c>
      <c r="F17" s="32" t="s">
        <v>1</v>
      </c>
      <c r="G17" s="28" t="s">
        <v>1251</v>
      </c>
      <c r="H17" s="28" t="s">
        <v>1252</v>
      </c>
      <c r="I17" s="40"/>
      <c r="J17" s="26" t="s">
        <v>79</v>
      </c>
      <c r="K17" s="90" t="s">
        <v>1212</v>
      </c>
      <c r="L17" s="28" t="s">
        <v>655</v>
      </c>
      <c r="M17" s="28" t="s">
        <v>0</v>
      </c>
      <c r="N17" s="28" t="s">
        <v>1235</v>
      </c>
      <c r="O17" s="193" t="s">
        <v>0</v>
      </c>
      <c r="P17" s="31">
        <v>42773</v>
      </c>
      <c r="Q17" s="193" t="s">
        <v>1292</v>
      </c>
      <c r="R17" s="193" t="s">
        <v>1291</v>
      </c>
      <c r="S17" s="211" t="s">
        <v>0</v>
      </c>
      <c r="T17" s="31">
        <v>42794</v>
      </c>
      <c r="U17" s="211" t="s">
        <v>1292</v>
      </c>
      <c r="V17" s="85"/>
      <c r="W17" s="96"/>
      <c r="X17" s="31"/>
      <c r="Y17" s="96"/>
      <c r="Z17" s="85"/>
      <c r="AA17" s="86"/>
      <c r="AB17" s="31"/>
      <c r="AC17" s="86"/>
      <c r="AD17" s="86"/>
      <c r="AE17" s="86"/>
      <c r="AF17" s="31"/>
      <c r="AG17" s="86"/>
      <c r="AH17" s="86"/>
      <c r="AI17" s="126"/>
      <c r="AJ17" s="140" t="str">
        <f t="shared" ref="AJ17:AJ80" si="8">IF(AI17&gt;0, IF(AI17&gt;=14,"D",IF(AI17&gt;=8,"N","E")),"")</f>
        <v/>
      </c>
      <c r="AK17" s="15"/>
      <c r="AL17" s="15"/>
      <c r="AM17" s="136"/>
      <c r="AN17" s="137" t="str">
        <f t="shared" ref="AN17:AN80" si="9">IF(AM17&gt;0, IF(AM17&gt;=14,"D",IF(AM17&gt;=8,"N","E")),"")</f>
        <v/>
      </c>
      <c r="AO17" s="138"/>
      <c r="AP17" s="138"/>
      <c r="AQ17" s="138"/>
      <c r="AR17" s="138"/>
    </row>
    <row r="18" spans="2:44" s="13" customFormat="1" ht="135">
      <c r="B18" s="51" t="s">
        <v>896</v>
      </c>
      <c r="C18" s="229"/>
      <c r="D18" s="62" t="s">
        <v>872</v>
      </c>
      <c r="E18" s="62" t="s">
        <v>871</v>
      </c>
      <c r="F18" s="32" t="s">
        <v>1</v>
      </c>
      <c r="G18" s="28" t="s">
        <v>1251</v>
      </c>
      <c r="H18" s="28" t="s">
        <v>1252</v>
      </c>
      <c r="I18" s="63" t="s">
        <v>895</v>
      </c>
      <c r="J18" s="26" t="s">
        <v>79</v>
      </c>
      <c r="K18" s="90" t="s">
        <v>1212</v>
      </c>
      <c r="L18" s="28" t="s">
        <v>655</v>
      </c>
      <c r="M18" s="28" t="s">
        <v>0</v>
      </c>
      <c r="N18" s="28" t="s">
        <v>1235</v>
      </c>
      <c r="O18" s="193" t="s">
        <v>0</v>
      </c>
      <c r="P18" s="31">
        <v>42773</v>
      </c>
      <c r="Q18" s="193" t="s">
        <v>1292</v>
      </c>
      <c r="R18" s="193" t="s">
        <v>1291</v>
      </c>
      <c r="S18" s="211" t="s">
        <v>0</v>
      </c>
      <c r="T18" s="31">
        <v>42794</v>
      </c>
      <c r="U18" s="211" t="s">
        <v>1292</v>
      </c>
      <c r="V18" s="85"/>
      <c r="W18" s="96"/>
      <c r="X18" s="31"/>
      <c r="Y18" s="96"/>
      <c r="Z18" s="85"/>
      <c r="AA18" s="86"/>
      <c r="AB18" s="31"/>
      <c r="AC18" s="86"/>
      <c r="AD18" s="86"/>
      <c r="AE18" s="86"/>
      <c r="AF18" s="31"/>
      <c r="AG18" s="86"/>
      <c r="AH18" s="86"/>
      <c r="AI18" s="126"/>
      <c r="AJ18" s="140" t="str">
        <f t="shared" si="8"/>
        <v/>
      </c>
      <c r="AK18" s="15"/>
      <c r="AL18" s="15"/>
      <c r="AM18" s="136"/>
      <c r="AN18" s="137" t="str">
        <f t="shared" si="9"/>
        <v/>
      </c>
      <c r="AO18" s="138"/>
      <c r="AP18" s="138"/>
      <c r="AQ18" s="138"/>
      <c r="AR18" s="138"/>
    </row>
    <row r="19" spans="2:44" s="13" customFormat="1" ht="60">
      <c r="B19" s="51" t="s">
        <v>894</v>
      </c>
      <c r="C19" s="229"/>
      <c r="D19" s="62" t="s">
        <v>869</v>
      </c>
      <c r="E19" s="62" t="s">
        <v>868</v>
      </c>
      <c r="F19" s="32" t="s">
        <v>1</v>
      </c>
      <c r="G19" s="28" t="s">
        <v>1251</v>
      </c>
      <c r="H19" s="28" t="s">
        <v>1252</v>
      </c>
      <c r="I19" s="40"/>
      <c r="J19" s="26" t="s">
        <v>79</v>
      </c>
      <c r="K19" s="90" t="s">
        <v>1212</v>
      </c>
      <c r="L19" s="28" t="s">
        <v>655</v>
      </c>
      <c r="M19" s="28" t="s">
        <v>0</v>
      </c>
      <c r="N19" s="28" t="s">
        <v>1235</v>
      </c>
      <c r="O19" s="193" t="s">
        <v>0</v>
      </c>
      <c r="P19" s="31">
        <v>42773</v>
      </c>
      <c r="Q19" s="193" t="s">
        <v>1292</v>
      </c>
      <c r="R19" s="193" t="s">
        <v>1291</v>
      </c>
      <c r="S19" s="211" t="s">
        <v>0</v>
      </c>
      <c r="T19" s="31">
        <v>42794</v>
      </c>
      <c r="U19" s="211" t="s">
        <v>1292</v>
      </c>
      <c r="V19" s="85"/>
      <c r="W19" s="96"/>
      <c r="X19" s="31"/>
      <c r="Y19" s="96"/>
      <c r="Z19" s="85"/>
      <c r="AA19" s="86"/>
      <c r="AB19" s="31"/>
      <c r="AC19" s="86"/>
      <c r="AD19" s="86"/>
      <c r="AE19" s="86"/>
      <c r="AF19" s="31"/>
      <c r="AG19" s="86"/>
      <c r="AH19" s="86"/>
      <c r="AI19" s="126"/>
      <c r="AJ19" s="140" t="str">
        <f t="shared" si="8"/>
        <v/>
      </c>
      <c r="AK19" s="15"/>
      <c r="AL19" s="15"/>
      <c r="AM19" s="136"/>
      <c r="AN19" s="137" t="str">
        <f t="shared" si="9"/>
        <v/>
      </c>
      <c r="AO19" s="138"/>
      <c r="AP19" s="138"/>
      <c r="AQ19" s="138"/>
      <c r="AR19" s="138"/>
    </row>
    <row r="20" spans="2:44" s="13" customFormat="1" ht="135">
      <c r="B20" s="51" t="s">
        <v>893</v>
      </c>
      <c r="C20" s="229"/>
      <c r="D20" s="62" t="s">
        <v>866</v>
      </c>
      <c r="E20" s="62" t="s">
        <v>865</v>
      </c>
      <c r="F20" s="32" t="s">
        <v>1</v>
      </c>
      <c r="G20" s="28" t="s">
        <v>1251</v>
      </c>
      <c r="H20" s="28" t="s">
        <v>1252</v>
      </c>
      <c r="I20" s="40"/>
      <c r="J20" s="26" t="s">
        <v>79</v>
      </c>
      <c r="K20" s="90" t="s">
        <v>1212</v>
      </c>
      <c r="L20" s="28" t="s">
        <v>655</v>
      </c>
      <c r="M20" s="28" t="s">
        <v>0</v>
      </c>
      <c r="N20" s="28" t="s">
        <v>1235</v>
      </c>
      <c r="O20" s="193" t="s">
        <v>0</v>
      </c>
      <c r="P20" s="31">
        <v>42773</v>
      </c>
      <c r="Q20" s="193" t="s">
        <v>1292</v>
      </c>
      <c r="R20" s="193" t="s">
        <v>1291</v>
      </c>
      <c r="S20" s="211" t="s">
        <v>0</v>
      </c>
      <c r="T20" s="31">
        <v>42794</v>
      </c>
      <c r="U20" s="211" t="s">
        <v>1292</v>
      </c>
      <c r="V20" s="85"/>
      <c r="W20" s="96"/>
      <c r="X20" s="31"/>
      <c r="Y20" s="96"/>
      <c r="Z20" s="85"/>
      <c r="AA20" s="86"/>
      <c r="AB20" s="31"/>
      <c r="AC20" s="86"/>
      <c r="AD20" s="86"/>
      <c r="AE20" s="86"/>
      <c r="AF20" s="31"/>
      <c r="AG20" s="86"/>
      <c r="AH20" s="86"/>
      <c r="AI20" s="126"/>
      <c r="AJ20" s="140" t="str">
        <f t="shared" si="8"/>
        <v/>
      </c>
      <c r="AK20" s="15"/>
      <c r="AL20" s="15"/>
      <c r="AM20" s="136"/>
      <c r="AN20" s="137" t="str">
        <f t="shared" si="9"/>
        <v/>
      </c>
      <c r="AO20" s="138"/>
      <c r="AP20" s="138"/>
      <c r="AQ20" s="138"/>
      <c r="AR20" s="138"/>
    </row>
    <row r="21" spans="2:44" s="13" customFormat="1" ht="75">
      <c r="B21" s="51" t="s">
        <v>892</v>
      </c>
      <c r="C21" s="229"/>
      <c r="D21" s="62" t="s">
        <v>863</v>
      </c>
      <c r="E21" s="62" t="s">
        <v>862</v>
      </c>
      <c r="F21" s="32" t="s">
        <v>1</v>
      </c>
      <c r="G21" s="28" t="s">
        <v>1251</v>
      </c>
      <c r="H21" s="28" t="s">
        <v>1252</v>
      </c>
      <c r="I21" s="40"/>
      <c r="J21" s="26" t="s">
        <v>79</v>
      </c>
      <c r="K21" s="90" t="s">
        <v>1212</v>
      </c>
      <c r="L21" s="28" t="s">
        <v>655</v>
      </c>
      <c r="M21" s="28" t="s">
        <v>0</v>
      </c>
      <c r="N21" s="28" t="s">
        <v>1235</v>
      </c>
      <c r="O21" s="193" t="s">
        <v>0</v>
      </c>
      <c r="P21" s="31">
        <v>42773</v>
      </c>
      <c r="Q21" s="193" t="s">
        <v>1292</v>
      </c>
      <c r="R21" s="193" t="s">
        <v>1291</v>
      </c>
      <c r="S21" s="211" t="s">
        <v>0</v>
      </c>
      <c r="T21" s="31">
        <v>42794</v>
      </c>
      <c r="U21" s="211" t="s">
        <v>1292</v>
      </c>
      <c r="V21" s="85"/>
      <c r="W21" s="96"/>
      <c r="X21" s="31"/>
      <c r="Y21" s="96"/>
      <c r="Z21" s="85"/>
      <c r="AA21" s="86"/>
      <c r="AB21" s="31"/>
      <c r="AC21" s="86"/>
      <c r="AD21" s="86"/>
      <c r="AE21" s="86"/>
      <c r="AF21" s="31"/>
      <c r="AG21" s="86"/>
      <c r="AH21" s="86"/>
      <c r="AI21" s="126"/>
      <c r="AJ21" s="140" t="str">
        <f t="shared" si="8"/>
        <v/>
      </c>
      <c r="AK21" s="15"/>
      <c r="AL21" s="15"/>
      <c r="AM21" s="136"/>
      <c r="AN21" s="137" t="str">
        <f t="shared" si="9"/>
        <v/>
      </c>
      <c r="AO21" s="138"/>
      <c r="AP21" s="138"/>
      <c r="AQ21" s="138"/>
      <c r="AR21" s="138"/>
    </row>
    <row r="22" spans="2:44" s="13" customFormat="1" ht="135">
      <c r="B22" s="51" t="s">
        <v>891</v>
      </c>
      <c r="C22" s="229" t="s">
        <v>890</v>
      </c>
      <c r="D22" s="62" t="s">
        <v>1166</v>
      </c>
      <c r="E22" s="62" t="s">
        <v>1165</v>
      </c>
      <c r="F22" s="32" t="s">
        <v>1</v>
      </c>
      <c r="G22" s="28" t="s">
        <v>1251</v>
      </c>
      <c r="H22" s="28" t="s">
        <v>1252</v>
      </c>
      <c r="I22" s="40"/>
      <c r="J22" s="26" t="s">
        <v>79</v>
      </c>
      <c r="K22" s="90" t="s">
        <v>1212</v>
      </c>
      <c r="L22" s="28" t="s">
        <v>655</v>
      </c>
      <c r="M22" s="28" t="s">
        <v>0</v>
      </c>
      <c r="N22" s="28" t="s">
        <v>1235</v>
      </c>
      <c r="O22" s="193" t="s">
        <v>0</v>
      </c>
      <c r="P22" s="31">
        <v>42773</v>
      </c>
      <c r="Q22" s="193" t="s">
        <v>1292</v>
      </c>
      <c r="R22" s="193" t="s">
        <v>1291</v>
      </c>
      <c r="S22" s="211" t="s">
        <v>0</v>
      </c>
      <c r="T22" s="31">
        <v>42794</v>
      </c>
      <c r="U22" s="211" t="s">
        <v>1292</v>
      </c>
      <c r="V22" s="85"/>
      <c r="W22" s="96"/>
      <c r="X22" s="31"/>
      <c r="Y22" s="96"/>
      <c r="Z22" s="85"/>
      <c r="AA22" s="86"/>
      <c r="AB22" s="31"/>
      <c r="AC22" s="86"/>
      <c r="AD22" s="86"/>
      <c r="AE22" s="86"/>
      <c r="AF22" s="31"/>
      <c r="AG22" s="86"/>
      <c r="AH22" s="86"/>
      <c r="AI22" s="126"/>
      <c r="AJ22" s="140" t="str">
        <f t="shared" si="8"/>
        <v/>
      </c>
      <c r="AK22" s="15"/>
      <c r="AL22" s="15"/>
      <c r="AM22" s="136"/>
      <c r="AN22" s="137" t="str">
        <f t="shared" si="9"/>
        <v/>
      </c>
      <c r="AO22" s="138"/>
      <c r="AP22" s="138"/>
      <c r="AQ22" s="138"/>
      <c r="AR22" s="138"/>
    </row>
    <row r="23" spans="2:44" s="13" customFormat="1" ht="30">
      <c r="B23" s="51" t="s">
        <v>889</v>
      </c>
      <c r="C23" s="229"/>
      <c r="D23" s="62" t="s">
        <v>875</v>
      </c>
      <c r="E23" s="62" t="s">
        <v>874</v>
      </c>
      <c r="F23" s="32" t="s">
        <v>1</v>
      </c>
      <c r="G23" s="28" t="s">
        <v>1251</v>
      </c>
      <c r="H23" s="28" t="s">
        <v>1252</v>
      </c>
      <c r="I23" s="40"/>
      <c r="J23" s="26" t="s">
        <v>79</v>
      </c>
      <c r="K23" s="90" t="s">
        <v>1212</v>
      </c>
      <c r="L23" s="28" t="s">
        <v>655</v>
      </c>
      <c r="M23" s="28" t="s">
        <v>0</v>
      </c>
      <c r="N23" s="28" t="s">
        <v>1235</v>
      </c>
      <c r="O23" s="193" t="s">
        <v>0</v>
      </c>
      <c r="P23" s="31">
        <v>42773</v>
      </c>
      <c r="Q23" s="193" t="s">
        <v>1292</v>
      </c>
      <c r="R23" s="193" t="s">
        <v>1291</v>
      </c>
      <c r="S23" s="211" t="s">
        <v>0</v>
      </c>
      <c r="T23" s="31">
        <v>42794</v>
      </c>
      <c r="U23" s="211" t="s">
        <v>1292</v>
      </c>
      <c r="V23" s="85"/>
      <c r="W23" s="96"/>
      <c r="X23" s="31"/>
      <c r="Y23" s="96"/>
      <c r="Z23" s="85"/>
      <c r="AA23" s="86"/>
      <c r="AB23" s="31"/>
      <c r="AC23" s="86"/>
      <c r="AD23" s="86"/>
      <c r="AE23" s="86"/>
      <c r="AF23" s="31"/>
      <c r="AG23" s="86"/>
      <c r="AH23" s="86"/>
      <c r="AI23" s="126"/>
      <c r="AJ23" s="140" t="str">
        <f t="shared" si="8"/>
        <v/>
      </c>
      <c r="AK23" s="15"/>
      <c r="AL23" s="15"/>
      <c r="AM23" s="136"/>
      <c r="AN23" s="137" t="str">
        <f t="shared" si="9"/>
        <v/>
      </c>
      <c r="AO23" s="138"/>
      <c r="AP23" s="138"/>
      <c r="AQ23" s="138"/>
      <c r="AR23" s="138"/>
    </row>
    <row r="24" spans="2:44" s="13" customFormat="1" ht="135">
      <c r="B24" s="51" t="s">
        <v>888</v>
      </c>
      <c r="C24" s="229"/>
      <c r="D24" s="62" t="s">
        <v>872</v>
      </c>
      <c r="E24" s="62" t="s">
        <v>871</v>
      </c>
      <c r="F24" s="32" t="s">
        <v>1</v>
      </c>
      <c r="G24" s="28" t="s">
        <v>1251</v>
      </c>
      <c r="H24" s="28" t="s">
        <v>1252</v>
      </c>
      <c r="I24" s="40"/>
      <c r="J24" s="26" t="s">
        <v>79</v>
      </c>
      <c r="K24" s="90" t="s">
        <v>1212</v>
      </c>
      <c r="L24" s="28" t="s">
        <v>655</v>
      </c>
      <c r="M24" s="28" t="s">
        <v>0</v>
      </c>
      <c r="N24" s="28" t="s">
        <v>1235</v>
      </c>
      <c r="O24" s="193" t="s">
        <v>0</v>
      </c>
      <c r="P24" s="31">
        <v>42773</v>
      </c>
      <c r="Q24" s="193" t="s">
        <v>1292</v>
      </c>
      <c r="R24" s="193" t="s">
        <v>1291</v>
      </c>
      <c r="S24" s="211" t="s">
        <v>0</v>
      </c>
      <c r="T24" s="31">
        <v>42794</v>
      </c>
      <c r="U24" s="211" t="s">
        <v>1292</v>
      </c>
      <c r="V24" s="85"/>
      <c r="W24" s="96"/>
      <c r="X24" s="31"/>
      <c r="Y24" s="96"/>
      <c r="Z24" s="85"/>
      <c r="AA24" s="86"/>
      <c r="AB24" s="31"/>
      <c r="AC24" s="86"/>
      <c r="AD24" s="86"/>
      <c r="AE24" s="86"/>
      <c r="AF24" s="31"/>
      <c r="AG24" s="86"/>
      <c r="AH24" s="86"/>
      <c r="AI24" s="126"/>
      <c r="AJ24" s="140" t="str">
        <f t="shared" si="8"/>
        <v/>
      </c>
      <c r="AK24" s="15"/>
      <c r="AL24" s="15"/>
      <c r="AM24" s="136"/>
      <c r="AN24" s="137" t="str">
        <f t="shared" si="9"/>
        <v/>
      </c>
      <c r="AO24" s="138"/>
      <c r="AP24" s="138"/>
      <c r="AQ24" s="138"/>
      <c r="AR24" s="138"/>
    </row>
    <row r="25" spans="2:44" s="13" customFormat="1" ht="60">
      <c r="B25" s="51" t="s">
        <v>887</v>
      </c>
      <c r="C25" s="229"/>
      <c r="D25" s="62" t="s">
        <v>869</v>
      </c>
      <c r="E25" s="62" t="s">
        <v>868</v>
      </c>
      <c r="F25" s="32" t="s">
        <v>1</v>
      </c>
      <c r="G25" s="28" t="s">
        <v>1251</v>
      </c>
      <c r="H25" s="28" t="s">
        <v>1252</v>
      </c>
      <c r="I25" s="40"/>
      <c r="J25" s="26" t="s">
        <v>79</v>
      </c>
      <c r="K25" s="90" t="s">
        <v>1212</v>
      </c>
      <c r="L25" s="28" t="s">
        <v>655</v>
      </c>
      <c r="M25" s="28" t="s">
        <v>0</v>
      </c>
      <c r="N25" s="28" t="s">
        <v>1235</v>
      </c>
      <c r="O25" s="193" t="s">
        <v>0</v>
      </c>
      <c r="P25" s="31">
        <v>42773</v>
      </c>
      <c r="Q25" s="193" t="s">
        <v>1292</v>
      </c>
      <c r="R25" s="193" t="s">
        <v>1291</v>
      </c>
      <c r="S25" s="211" t="s">
        <v>0</v>
      </c>
      <c r="T25" s="31">
        <v>42794</v>
      </c>
      <c r="U25" s="211" t="s">
        <v>1292</v>
      </c>
      <c r="V25" s="85"/>
      <c r="W25" s="96"/>
      <c r="X25" s="31"/>
      <c r="Y25" s="96"/>
      <c r="Z25" s="85"/>
      <c r="AA25" s="86"/>
      <c r="AB25" s="31"/>
      <c r="AC25" s="86"/>
      <c r="AD25" s="86"/>
      <c r="AE25" s="86"/>
      <c r="AF25" s="31"/>
      <c r="AG25" s="86"/>
      <c r="AH25" s="86"/>
      <c r="AI25" s="126"/>
      <c r="AJ25" s="140" t="str">
        <f t="shared" si="8"/>
        <v/>
      </c>
      <c r="AK25" s="15"/>
      <c r="AL25" s="15"/>
      <c r="AM25" s="136"/>
      <c r="AN25" s="137" t="str">
        <f t="shared" si="9"/>
        <v/>
      </c>
      <c r="AO25" s="138"/>
      <c r="AP25" s="138"/>
      <c r="AQ25" s="138"/>
      <c r="AR25" s="138"/>
    </row>
    <row r="26" spans="2:44" s="13" customFormat="1" ht="135">
      <c r="B26" s="51" t="s">
        <v>886</v>
      </c>
      <c r="C26" s="229"/>
      <c r="D26" s="62" t="s">
        <v>866</v>
      </c>
      <c r="E26" s="62" t="s">
        <v>865</v>
      </c>
      <c r="F26" s="32" t="s">
        <v>1</v>
      </c>
      <c r="G26" s="28" t="s">
        <v>1251</v>
      </c>
      <c r="H26" s="28" t="s">
        <v>1252</v>
      </c>
      <c r="I26" s="40"/>
      <c r="J26" s="26" t="s">
        <v>79</v>
      </c>
      <c r="K26" s="90" t="s">
        <v>1212</v>
      </c>
      <c r="L26" s="28" t="s">
        <v>655</v>
      </c>
      <c r="M26" s="28" t="s">
        <v>0</v>
      </c>
      <c r="N26" s="28" t="s">
        <v>1235</v>
      </c>
      <c r="O26" s="193" t="s">
        <v>0</v>
      </c>
      <c r="P26" s="31">
        <v>42773</v>
      </c>
      <c r="Q26" s="193" t="s">
        <v>1292</v>
      </c>
      <c r="R26" s="193" t="s">
        <v>1291</v>
      </c>
      <c r="S26" s="211" t="s">
        <v>0</v>
      </c>
      <c r="T26" s="31">
        <v>42794</v>
      </c>
      <c r="U26" s="211" t="s">
        <v>1292</v>
      </c>
      <c r="V26" s="85"/>
      <c r="W26" s="96"/>
      <c r="X26" s="31"/>
      <c r="Y26" s="96"/>
      <c r="Z26" s="85"/>
      <c r="AA26" s="86"/>
      <c r="AB26" s="31"/>
      <c r="AC26" s="86"/>
      <c r="AD26" s="86"/>
      <c r="AE26" s="86"/>
      <c r="AF26" s="31"/>
      <c r="AG26" s="86"/>
      <c r="AH26" s="86"/>
      <c r="AI26" s="126"/>
      <c r="AJ26" s="140" t="str">
        <f t="shared" si="8"/>
        <v/>
      </c>
      <c r="AK26" s="15"/>
      <c r="AL26" s="15"/>
      <c r="AM26" s="136"/>
      <c r="AN26" s="137" t="str">
        <f t="shared" si="9"/>
        <v/>
      </c>
      <c r="AO26" s="138"/>
      <c r="AP26" s="138"/>
      <c r="AQ26" s="138"/>
      <c r="AR26" s="138"/>
    </row>
    <row r="27" spans="2:44" s="13" customFormat="1" ht="75">
      <c r="B27" s="51" t="s">
        <v>885</v>
      </c>
      <c r="C27" s="229"/>
      <c r="D27" s="62" t="s">
        <v>863</v>
      </c>
      <c r="E27" s="62" t="s">
        <v>862</v>
      </c>
      <c r="F27" s="32" t="s">
        <v>1</v>
      </c>
      <c r="G27" s="28" t="s">
        <v>1251</v>
      </c>
      <c r="H27" s="28" t="s">
        <v>1252</v>
      </c>
      <c r="I27" s="40"/>
      <c r="J27" s="26" t="s">
        <v>79</v>
      </c>
      <c r="K27" s="90" t="s">
        <v>1212</v>
      </c>
      <c r="L27" s="28" t="s">
        <v>655</v>
      </c>
      <c r="M27" s="28" t="s">
        <v>0</v>
      </c>
      <c r="N27" s="28" t="s">
        <v>1235</v>
      </c>
      <c r="O27" s="193" t="s">
        <v>0</v>
      </c>
      <c r="P27" s="31">
        <v>42773</v>
      </c>
      <c r="Q27" s="193" t="s">
        <v>1292</v>
      </c>
      <c r="R27" s="193" t="s">
        <v>1291</v>
      </c>
      <c r="S27" s="211" t="s">
        <v>0</v>
      </c>
      <c r="T27" s="31">
        <v>42794</v>
      </c>
      <c r="U27" s="211" t="s">
        <v>1292</v>
      </c>
      <c r="V27" s="85"/>
      <c r="W27" s="96"/>
      <c r="X27" s="31"/>
      <c r="Y27" s="96"/>
      <c r="Z27" s="85"/>
      <c r="AA27" s="86"/>
      <c r="AB27" s="31"/>
      <c r="AC27" s="86"/>
      <c r="AD27" s="86"/>
      <c r="AE27" s="86"/>
      <c r="AF27" s="31"/>
      <c r="AG27" s="86"/>
      <c r="AH27" s="86"/>
      <c r="AI27" s="126"/>
      <c r="AJ27" s="140" t="str">
        <f t="shared" si="8"/>
        <v/>
      </c>
      <c r="AK27" s="15"/>
      <c r="AL27" s="15"/>
      <c r="AM27" s="136"/>
      <c r="AN27" s="137" t="str">
        <f t="shared" si="9"/>
        <v/>
      </c>
      <c r="AO27" s="138"/>
      <c r="AP27" s="138"/>
      <c r="AQ27" s="138"/>
      <c r="AR27" s="138"/>
    </row>
    <row r="28" spans="2:44" s="13" customFormat="1" ht="135">
      <c r="B28" s="51" t="s">
        <v>884</v>
      </c>
      <c r="C28" s="229" t="s">
        <v>883</v>
      </c>
      <c r="D28" s="62" t="s">
        <v>1167</v>
      </c>
      <c r="E28" s="62" t="s">
        <v>1165</v>
      </c>
      <c r="F28" s="32" t="s">
        <v>1</v>
      </c>
      <c r="G28" s="28" t="s">
        <v>1251</v>
      </c>
      <c r="H28" s="28" t="s">
        <v>1252</v>
      </c>
      <c r="I28" s="40"/>
      <c r="J28" s="26" t="s">
        <v>79</v>
      </c>
      <c r="K28" s="90" t="s">
        <v>1212</v>
      </c>
      <c r="L28" s="28" t="s">
        <v>655</v>
      </c>
      <c r="M28" s="28" t="s">
        <v>0</v>
      </c>
      <c r="N28" s="28" t="s">
        <v>1235</v>
      </c>
      <c r="O28" s="193" t="s">
        <v>0</v>
      </c>
      <c r="P28" s="31">
        <v>42773</v>
      </c>
      <c r="Q28" s="193" t="s">
        <v>1292</v>
      </c>
      <c r="R28" s="193" t="s">
        <v>1291</v>
      </c>
      <c r="S28" s="211" t="s">
        <v>0</v>
      </c>
      <c r="T28" s="31">
        <v>42794</v>
      </c>
      <c r="U28" s="211" t="s">
        <v>1292</v>
      </c>
      <c r="V28" s="85"/>
      <c r="W28" s="96"/>
      <c r="X28" s="31"/>
      <c r="Y28" s="96"/>
      <c r="Z28" s="85"/>
      <c r="AA28" s="86"/>
      <c r="AB28" s="31"/>
      <c r="AC28" s="86"/>
      <c r="AD28" s="86"/>
      <c r="AE28" s="86"/>
      <c r="AF28" s="31"/>
      <c r="AG28" s="86"/>
      <c r="AH28" s="86"/>
      <c r="AI28" s="126"/>
      <c r="AJ28" s="140" t="str">
        <f t="shared" si="8"/>
        <v/>
      </c>
      <c r="AK28" s="15"/>
      <c r="AL28" s="15"/>
      <c r="AM28" s="136"/>
      <c r="AN28" s="137" t="str">
        <f t="shared" si="9"/>
        <v/>
      </c>
      <c r="AO28" s="138"/>
      <c r="AP28" s="138"/>
      <c r="AQ28" s="138"/>
      <c r="AR28" s="138"/>
    </row>
    <row r="29" spans="2:44" s="13" customFormat="1" ht="30">
      <c r="B29" s="51" t="s">
        <v>882</v>
      </c>
      <c r="C29" s="229"/>
      <c r="D29" s="62" t="s">
        <v>875</v>
      </c>
      <c r="E29" s="62" t="s">
        <v>874</v>
      </c>
      <c r="F29" s="32" t="s">
        <v>1</v>
      </c>
      <c r="G29" s="28" t="s">
        <v>1251</v>
      </c>
      <c r="H29" s="28" t="s">
        <v>1252</v>
      </c>
      <c r="I29" s="40"/>
      <c r="J29" s="26" t="s">
        <v>79</v>
      </c>
      <c r="K29" s="90" t="s">
        <v>1212</v>
      </c>
      <c r="L29" s="28" t="s">
        <v>655</v>
      </c>
      <c r="M29" s="28" t="s">
        <v>0</v>
      </c>
      <c r="N29" s="28" t="s">
        <v>1235</v>
      </c>
      <c r="O29" s="193" t="s">
        <v>0</v>
      </c>
      <c r="P29" s="31">
        <v>42773</v>
      </c>
      <c r="Q29" s="193" t="s">
        <v>1292</v>
      </c>
      <c r="R29" s="193" t="s">
        <v>1291</v>
      </c>
      <c r="S29" s="211" t="s">
        <v>0</v>
      </c>
      <c r="T29" s="31">
        <v>42794</v>
      </c>
      <c r="U29" s="211" t="s">
        <v>1292</v>
      </c>
      <c r="V29" s="85"/>
      <c r="W29" s="96"/>
      <c r="X29" s="31"/>
      <c r="Y29" s="96"/>
      <c r="Z29" s="85"/>
      <c r="AA29" s="86"/>
      <c r="AB29" s="31"/>
      <c r="AC29" s="86"/>
      <c r="AD29" s="86"/>
      <c r="AE29" s="86"/>
      <c r="AF29" s="31"/>
      <c r="AG29" s="86"/>
      <c r="AH29" s="86"/>
      <c r="AI29" s="126"/>
      <c r="AJ29" s="140" t="str">
        <f t="shared" si="8"/>
        <v/>
      </c>
      <c r="AK29" s="15"/>
      <c r="AL29" s="15"/>
      <c r="AM29" s="136"/>
      <c r="AN29" s="137" t="str">
        <f t="shared" si="9"/>
        <v/>
      </c>
      <c r="AO29" s="139"/>
      <c r="AP29" s="139"/>
      <c r="AQ29" s="139"/>
      <c r="AR29" s="139"/>
    </row>
    <row r="30" spans="2:44" s="13" customFormat="1" ht="135">
      <c r="B30" s="51" t="s">
        <v>881</v>
      </c>
      <c r="C30" s="229"/>
      <c r="D30" s="62" t="s">
        <v>872</v>
      </c>
      <c r="E30" s="62" t="s">
        <v>871</v>
      </c>
      <c r="F30" s="32" t="s">
        <v>1</v>
      </c>
      <c r="G30" s="28" t="s">
        <v>1251</v>
      </c>
      <c r="H30" s="28" t="s">
        <v>1252</v>
      </c>
      <c r="I30" s="40"/>
      <c r="J30" s="26" t="s">
        <v>79</v>
      </c>
      <c r="K30" s="90" t="s">
        <v>1212</v>
      </c>
      <c r="L30" s="28" t="s">
        <v>655</v>
      </c>
      <c r="M30" s="28" t="s">
        <v>0</v>
      </c>
      <c r="N30" s="28" t="s">
        <v>1235</v>
      </c>
      <c r="O30" s="193" t="s">
        <v>0</v>
      </c>
      <c r="P30" s="31">
        <v>42773</v>
      </c>
      <c r="Q30" s="193" t="s">
        <v>1292</v>
      </c>
      <c r="R30" s="193" t="s">
        <v>1291</v>
      </c>
      <c r="S30" s="211" t="s">
        <v>0</v>
      </c>
      <c r="T30" s="31">
        <v>42794</v>
      </c>
      <c r="U30" s="211" t="s">
        <v>1292</v>
      </c>
      <c r="V30" s="85"/>
      <c r="W30" s="96"/>
      <c r="X30" s="31"/>
      <c r="Y30" s="96"/>
      <c r="Z30" s="85"/>
      <c r="AA30" s="86"/>
      <c r="AB30" s="31"/>
      <c r="AC30" s="86"/>
      <c r="AD30" s="86"/>
      <c r="AE30" s="86"/>
      <c r="AF30" s="31"/>
      <c r="AG30" s="86"/>
      <c r="AH30" s="86"/>
      <c r="AI30" s="126"/>
      <c r="AJ30" s="140" t="str">
        <f t="shared" si="8"/>
        <v/>
      </c>
      <c r="AK30" s="15"/>
      <c r="AL30" s="15"/>
      <c r="AM30" s="136"/>
      <c r="AN30" s="137" t="str">
        <f t="shared" si="9"/>
        <v/>
      </c>
      <c r="AO30" s="139"/>
      <c r="AP30" s="139"/>
      <c r="AQ30" s="139"/>
      <c r="AR30" s="139"/>
    </row>
    <row r="31" spans="2:44" s="13" customFormat="1" ht="60">
      <c r="B31" s="51" t="s">
        <v>880</v>
      </c>
      <c r="C31" s="229"/>
      <c r="D31" s="62" t="s">
        <v>869</v>
      </c>
      <c r="E31" s="62" t="s">
        <v>868</v>
      </c>
      <c r="F31" s="32" t="s">
        <v>1</v>
      </c>
      <c r="G31" s="28" t="s">
        <v>1251</v>
      </c>
      <c r="H31" s="28" t="s">
        <v>1252</v>
      </c>
      <c r="I31" s="40"/>
      <c r="J31" s="26" t="s">
        <v>79</v>
      </c>
      <c r="K31" s="90" t="s">
        <v>1212</v>
      </c>
      <c r="L31" s="28" t="s">
        <v>655</v>
      </c>
      <c r="M31" s="28" t="s">
        <v>0</v>
      </c>
      <c r="N31" s="28" t="s">
        <v>1235</v>
      </c>
      <c r="O31" s="193" t="s">
        <v>0</v>
      </c>
      <c r="P31" s="31">
        <v>42773</v>
      </c>
      <c r="Q31" s="193" t="s">
        <v>1292</v>
      </c>
      <c r="R31" s="193" t="s">
        <v>1291</v>
      </c>
      <c r="S31" s="211" t="s">
        <v>0</v>
      </c>
      <c r="T31" s="31">
        <v>42794</v>
      </c>
      <c r="U31" s="211" t="s">
        <v>1292</v>
      </c>
      <c r="V31" s="85"/>
      <c r="W31" s="96"/>
      <c r="X31" s="31"/>
      <c r="Y31" s="96"/>
      <c r="Z31" s="85"/>
      <c r="AA31" s="86"/>
      <c r="AB31" s="31"/>
      <c r="AC31" s="86"/>
      <c r="AD31" s="86"/>
      <c r="AE31" s="86"/>
      <c r="AF31" s="31"/>
      <c r="AG31" s="86"/>
      <c r="AH31" s="86"/>
      <c r="AI31" s="126"/>
      <c r="AJ31" s="140" t="str">
        <f t="shared" si="8"/>
        <v/>
      </c>
      <c r="AK31" s="15"/>
      <c r="AL31" s="15"/>
      <c r="AM31" s="136"/>
      <c r="AN31" s="137" t="str">
        <f t="shared" si="9"/>
        <v/>
      </c>
      <c r="AO31" s="139"/>
      <c r="AP31" s="139"/>
      <c r="AQ31" s="139"/>
      <c r="AR31" s="139"/>
    </row>
    <row r="32" spans="2:44" s="13" customFormat="1" ht="135">
      <c r="B32" s="51" t="s">
        <v>879</v>
      </c>
      <c r="C32" s="229"/>
      <c r="D32" s="62" t="s">
        <v>866</v>
      </c>
      <c r="E32" s="62" t="s">
        <v>865</v>
      </c>
      <c r="F32" s="32" t="s">
        <v>1</v>
      </c>
      <c r="G32" s="28" t="s">
        <v>1251</v>
      </c>
      <c r="H32" s="28" t="s">
        <v>1252</v>
      </c>
      <c r="I32" s="40"/>
      <c r="J32" s="26" t="s">
        <v>79</v>
      </c>
      <c r="K32" s="90" t="s">
        <v>1212</v>
      </c>
      <c r="L32" s="28" t="s">
        <v>655</v>
      </c>
      <c r="M32" s="28" t="s">
        <v>0</v>
      </c>
      <c r="N32" s="28" t="s">
        <v>1235</v>
      </c>
      <c r="O32" s="193" t="s">
        <v>0</v>
      </c>
      <c r="P32" s="31">
        <v>42773</v>
      </c>
      <c r="Q32" s="193" t="s">
        <v>1292</v>
      </c>
      <c r="R32" s="193" t="s">
        <v>1291</v>
      </c>
      <c r="S32" s="211" t="s">
        <v>0</v>
      </c>
      <c r="T32" s="31">
        <v>42794</v>
      </c>
      <c r="U32" s="211" t="s">
        <v>1292</v>
      </c>
      <c r="V32" s="85"/>
      <c r="W32" s="96"/>
      <c r="X32" s="31"/>
      <c r="Y32" s="96"/>
      <c r="Z32" s="85"/>
      <c r="AA32" s="86"/>
      <c r="AB32" s="31"/>
      <c r="AC32" s="86"/>
      <c r="AD32" s="86"/>
      <c r="AE32" s="86"/>
      <c r="AF32" s="31"/>
      <c r="AG32" s="86"/>
      <c r="AH32" s="86"/>
      <c r="AI32" s="126"/>
      <c r="AJ32" s="140" t="str">
        <f t="shared" si="8"/>
        <v/>
      </c>
      <c r="AK32" s="15"/>
      <c r="AL32" s="15"/>
      <c r="AM32" s="136"/>
      <c r="AN32" s="137" t="str">
        <f t="shared" si="9"/>
        <v/>
      </c>
      <c r="AO32" s="139"/>
      <c r="AP32" s="139"/>
      <c r="AQ32" s="139"/>
      <c r="AR32" s="139"/>
    </row>
    <row r="33" spans="2:44" s="13" customFormat="1" ht="75">
      <c r="B33" s="51" t="s">
        <v>878</v>
      </c>
      <c r="C33" s="229"/>
      <c r="D33" s="62" t="s">
        <v>863</v>
      </c>
      <c r="E33" s="62" t="s">
        <v>862</v>
      </c>
      <c r="F33" s="32" t="s">
        <v>1</v>
      </c>
      <c r="G33" s="28" t="s">
        <v>1251</v>
      </c>
      <c r="H33" s="28" t="s">
        <v>1252</v>
      </c>
      <c r="I33" s="40"/>
      <c r="J33" s="26" t="s">
        <v>79</v>
      </c>
      <c r="K33" s="90" t="s">
        <v>1212</v>
      </c>
      <c r="L33" s="28" t="s">
        <v>655</v>
      </c>
      <c r="M33" s="28" t="s">
        <v>0</v>
      </c>
      <c r="N33" s="28" t="s">
        <v>1235</v>
      </c>
      <c r="O33" s="193" t="s">
        <v>0</v>
      </c>
      <c r="P33" s="31">
        <v>42773</v>
      </c>
      <c r="Q33" s="193" t="s">
        <v>1292</v>
      </c>
      <c r="R33" s="193" t="s">
        <v>1291</v>
      </c>
      <c r="S33" s="211" t="s">
        <v>0</v>
      </c>
      <c r="T33" s="31">
        <v>42794</v>
      </c>
      <c r="U33" s="211" t="s">
        <v>1292</v>
      </c>
      <c r="V33" s="85"/>
      <c r="W33" s="96"/>
      <c r="X33" s="31"/>
      <c r="Y33" s="96"/>
      <c r="Z33" s="85"/>
      <c r="AA33" s="86"/>
      <c r="AB33" s="31"/>
      <c r="AC33" s="86"/>
      <c r="AD33" s="86"/>
      <c r="AE33" s="86"/>
      <c r="AF33" s="31"/>
      <c r="AG33" s="86"/>
      <c r="AH33" s="86"/>
      <c r="AI33" s="126"/>
      <c r="AJ33" s="140" t="str">
        <f t="shared" si="8"/>
        <v/>
      </c>
      <c r="AK33" s="15"/>
      <c r="AL33" s="15"/>
      <c r="AM33" s="136"/>
      <c r="AN33" s="137" t="str">
        <f t="shared" si="9"/>
        <v/>
      </c>
      <c r="AO33" s="139"/>
      <c r="AP33" s="139"/>
      <c r="AQ33" s="139"/>
      <c r="AR33" s="139"/>
    </row>
    <row r="34" spans="2:44" s="13" customFormat="1" ht="120">
      <c r="B34" s="51" t="s">
        <v>877</v>
      </c>
      <c r="C34" s="229" t="s">
        <v>1168</v>
      </c>
      <c r="D34" s="62" t="s">
        <v>1169</v>
      </c>
      <c r="E34" s="62" t="s">
        <v>1170</v>
      </c>
      <c r="F34" s="32" t="s">
        <v>1</v>
      </c>
      <c r="G34" s="28" t="s">
        <v>1251</v>
      </c>
      <c r="H34" s="28" t="s">
        <v>1252</v>
      </c>
      <c r="I34" s="40"/>
      <c r="J34" s="26" t="s">
        <v>79</v>
      </c>
      <c r="K34" s="90" t="s">
        <v>1212</v>
      </c>
      <c r="L34" s="28" t="s">
        <v>655</v>
      </c>
      <c r="M34" s="28" t="s">
        <v>0</v>
      </c>
      <c r="N34" s="28" t="s">
        <v>1235</v>
      </c>
      <c r="O34" s="193" t="s">
        <v>0</v>
      </c>
      <c r="P34" s="31">
        <v>42773</v>
      </c>
      <c r="Q34" s="193" t="s">
        <v>1292</v>
      </c>
      <c r="R34" s="193" t="s">
        <v>1291</v>
      </c>
      <c r="S34" s="211" t="s">
        <v>0</v>
      </c>
      <c r="T34" s="31">
        <v>42794</v>
      </c>
      <c r="U34" s="211" t="s">
        <v>1292</v>
      </c>
      <c r="V34" s="85"/>
      <c r="W34" s="96"/>
      <c r="X34" s="31"/>
      <c r="Y34" s="96"/>
      <c r="Z34" s="85"/>
      <c r="AA34" s="86"/>
      <c r="AB34" s="31"/>
      <c r="AC34" s="86"/>
      <c r="AD34" s="86"/>
      <c r="AE34" s="86"/>
      <c r="AF34" s="31"/>
      <c r="AG34" s="86"/>
      <c r="AH34" s="86"/>
      <c r="AI34" s="126"/>
      <c r="AJ34" s="140" t="str">
        <f t="shared" si="8"/>
        <v/>
      </c>
      <c r="AK34" s="15"/>
      <c r="AL34" s="15"/>
      <c r="AM34" s="136"/>
      <c r="AN34" s="137" t="str">
        <f t="shared" si="9"/>
        <v/>
      </c>
      <c r="AO34" s="139"/>
      <c r="AP34" s="139"/>
      <c r="AQ34" s="139"/>
      <c r="AR34" s="139"/>
    </row>
    <row r="35" spans="2:44" s="13" customFormat="1" ht="30">
      <c r="B35" s="51" t="s">
        <v>876</v>
      </c>
      <c r="C35" s="229"/>
      <c r="D35" s="62" t="s">
        <v>875</v>
      </c>
      <c r="E35" s="62" t="s">
        <v>874</v>
      </c>
      <c r="F35" s="32" t="s">
        <v>1</v>
      </c>
      <c r="G35" s="28" t="s">
        <v>1251</v>
      </c>
      <c r="H35" s="28" t="s">
        <v>1252</v>
      </c>
      <c r="I35" s="40"/>
      <c r="J35" s="26" t="s">
        <v>79</v>
      </c>
      <c r="K35" s="90" t="s">
        <v>1212</v>
      </c>
      <c r="L35" s="28" t="s">
        <v>655</v>
      </c>
      <c r="M35" s="28" t="s">
        <v>0</v>
      </c>
      <c r="N35" s="28" t="s">
        <v>1235</v>
      </c>
      <c r="O35" s="193" t="s">
        <v>0</v>
      </c>
      <c r="P35" s="31">
        <v>42773</v>
      </c>
      <c r="Q35" s="193" t="s">
        <v>1292</v>
      </c>
      <c r="R35" s="193" t="s">
        <v>1291</v>
      </c>
      <c r="S35" s="211" t="s">
        <v>0</v>
      </c>
      <c r="T35" s="31">
        <v>42794</v>
      </c>
      <c r="U35" s="211" t="s">
        <v>1292</v>
      </c>
      <c r="V35" s="85"/>
      <c r="W35" s="96"/>
      <c r="X35" s="31"/>
      <c r="Y35" s="96"/>
      <c r="Z35" s="85"/>
      <c r="AA35" s="86"/>
      <c r="AB35" s="31"/>
      <c r="AC35" s="86"/>
      <c r="AD35" s="86"/>
      <c r="AE35" s="86"/>
      <c r="AF35" s="31"/>
      <c r="AG35" s="86"/>
      <c r="AH35" s="86"/>
      <c r="AI35" s="126"/>
      <c r="AJ35" s="140" t="str">
        <f t="shared" si="8"/>
        <v/>
      </c>
      <c r="AK35" s="15"/>
      <c r="AL35" s="15"/>
      <c r="AM35" s="136"/>
      <c r="AN35" s="137" t="str">
        <f t="shared" si="9"/>
        <v/>
      </c>
      <c r="AO35" s="139"/>
      <c r="AP35" s="139"/>
      <c r="AQ35" s="139"/>
      <c r="AR35" s="139"/>
    </row>
    <row r="36" spans="2:44" s="13" customFormat="1" ht="135">
      <c r="B36" s="51" t="s">
        <v>873</v>
      </c>
      <c r="C36" s="229"/>
      <c r="D36" s="62" t="s">
        <v>872</v>
      </c>
      <c r="E36" s="62" t="s">
        <v>871</v>
      </c>
      <c r="F36" s="32" t="s">
        <v>1</v>
      </c>
      <c r="G36" s="28" t="s">
        <v>1251</v>
      </c>
      <c r="H36" s="28" t="s">
        <v>1252</v>
      </c>
      <c r="I36" s="40"/>
      <c r="J36" s="26" t="s">
        <v>79</v>
      </c>
      <c r="K36" s="90" t="s">
        <v>1212</v>
      </c>
      <c r="L36" s="28" t="s">
        <v>668</v>
      </c>
      <c r="M36" s="28" t="s">
        <v>0</v>
      </c>
      <c r="N36" s="28" t="s">
        <v>1235</v>
      </c>
      <c r="O36" s="193" t="s">
        <v>0</v>
      </c>
      <c r="P36" s="31">
        <v>42773</v>
      </c>
      <c r="Q36" s="193" t="s">
        <v>1292</v>
      </c>
      <c r="R36" s="193" t="s">
        <v>1291</v>
      </c>
      <c r="S36" s="211" t="s">
        <v>0</v>
      </c>
      <c r="T36" s="31">
        <v>42794</v>
      </c>
      <c r="U36" s="211" t="s">
        <v>1292</v>
      </c>
      <c r="V36" s="85"/>
      <c r="W36" s="96"/>
      <c r="X36" s="31"/>
      <c r="Y36" s="96"/>
      <c r="Z36" s="85"/>
      <c r="AA36" s="86"/>
      <c r="AB36" s="31"/>
      <c r="AC36" s="86"/>
      <c r="AD36" s="86"/>
      <c r="AE36" s="86"/>
      <c r="AF36" s="31"/>
      <c r="AG36" s="86"/>
      <c r="AH36" s="86"/>
      <c r="AI36" s="126"/>
      <c r="AJ36" s="140" t="str">
        <f t="shared" si="8"/>
        <v/>
      </c>
      <c r="AK36" s="15"/>
      <c r="AL36" s="15"/>
      <c r="AM36" s="136"/>
      <c r="AN36" s="137" t="str">
        <f t="shared" si="9"/>
        <v/>
      </c>
      <c r="AO36" s="139"/>
      <c r="AP36" s="139"/>
      <c r="AQ36" s="139"/>
      <c r="AR36" s="139"/>
    </row>
    <row r="37" spans="2:44" s="13" customFormat="1" ht="60">
      <c r="B37" s="51" t="s">
        <v>870</v>
      </c>
      <c r="C37" s="229"/>
      <c r="D37" s="62" t="s">
        <v>869</v>
      </c>
      <c r="E37" s="62" t="s">
        <v>868</v>
      </c>
      <c r="F37" s="32" t="s">
        <v>1</v>
      </c>
      <c r="G37" s="28" t="s">
        <v>1251</v>
      </c>
      <c r="H37" s="28" t="s">
        <v>1252</v>
      </c>
      <c r="I37" s="40"/>
      <c r="J37" s="26" t="s">
        <v>79</v>
      </c>
      <c r="K37" s="90" t="s">
        <v>1212</v>
      </c>
      <c r="L37" s="28" t="s">
        <v>668</v>
      </c>
      <c r="M37" s="28" t="s">
        <v>0</v>
      </c>
      <c r="N37" s="28" t="s">
        <v>1235</v>
      </c>
      <c r="O37" s="193" t="s">
        <v>0</v>
      </c>
      <c r="P37" s="31">
        <v>42773</v>
      </c>
      <c r="Q37" s="193" t="s">
        <v>1292</v>
      </c>
      <c r="R37" s="193" t="s">
        <v>1291</v>
      </c>
      <c r="S37" s="211" t="s">
        <v>0</v>
      </c>
      <c r="T37" s="31">
        <v>42794</v>
      </c>
      <c r="U37" s="211" t="s">
        <v>1292</v>
      </c>
      <c r="V37" s="85"/>
      <c r="W37" s="96"/>
      <c r="X37" s="31"/>
      <c r="Y37" s="96"/>
      <c r="Z37" s="85"/>
      <c r="AA37" s="86"/>
      <c r="AB37" s="31"/>
      <c r="AC37" s="86"/>
      <c r="AD37" s="86"/>
      <c r="AE37" s="86"/>
      <c r="AF37" s="31"/>
      <c r="AG37" s="86"/>
      <c r="AH37" s="86"/>
      <c r="AI37" s="126"/>
      <c r="AJ37" s="140" t="str">
        <f t="shared" si="8"/>
        <v/>
      </c>
      <c r="AK37" s="15"/>
      <c r="AL37" s="15"/>
      <c r="AM37" s="136"/>
      <c r="AN37" s="137" t="str">
        <f t="shared" si="9"/>
        <v/>
      </c>
      <c r="AO37" s="139"/>
      <c r="AP37" s="139"/>
      <c r="AQ37" s="139"/>
      <c r="AR37" s="139"/>
    </row>
    <row r="38" spans="2:44" s="13" customFormat="1" ht="135">
      <c r="B38" s="51" t="s">
        <v>867</v>
      </c>
      <c r="C38" s="229"/>
      <c r="D38" s="62" t="s">
        <v>866</v>
      </c>
      <c r="E38" s="62" t="s">
        <v>865</v>
      </c>
      <c r="F38" s="32" t="s">
        <v>1</v>
      </c>
      <c r="G38" s="28" t="s">
        <v>1251</v>
      </c>
      <c r="H38" s="28" t="s">
        <v>1252</v>
      </c>
      <c r="I38" s="40"/>
      <c r="J38" s="26" t="s">
        <v>79</v>
      </c>
      <c r="K38" s="90" t="s">
        <v>1212</v>
      </c>
      <c r="L38" s="28" t="s">
        <v>668</v>
      </c>
      <c r="M38" s="28" t="s">
        <v>0</v>
      </c>
      <c r="N38" s="28" t="s">
        <v>1235</v>
      </c>
      <c r="O38" s="193" t="s">
        <v>0</v>
      </c>
      <c r="P38" s="31">
        <v>42773</v>
      </c>
      <c r="Q38" s="193" t="s">
        <v>1292</v>
      </c>
      <c r="R38" s="193" t="s">
        <v>1291</v>
      </c>
      <c r="S38" s="211" t="s">
        <v>0</v>
      </c>
      <c r="T38" s="31">
        <v>42794</v>
      </c>
      <c r="U38" s="211" t="s">
        <v>1292</v>
      </c>
      <c r="V38" s="85"/>
      <c r="W38" s="96"/>
      <c r="X38" s="31"/>
      <c r="Y38" s="96"/>
      <c r="Z38" s="85"/>
      <c r="AA38" s="86"/>
      <c r="AB38" s="31"/>
      <c r="AC38" s="86"/>
      <c r="AD38" s="86"/>
      <c r="AE38" s="86"/>
      <c r="AF38" s="31"/>
      <c r="AG38" s="86"/>
      <c r="AH38" s="86"/>
      <c r="AI38" s="126"/>
      <c r="AJ38" s="140" t="str">
        <f t="shared" si="8"/>
        <v/>
      </c>
      <c r="AK38" s="15"/>
      <c r="AL38" s="15"/>
      <c r="AM38" s="136"/>
      <c r="AN38" s="137" t="str">
        <f t="shared" si="9"/>
        <v/>
      </c>
      <c r="AO38" s="139"/>
      <c r="AP38" s="139"/>
      <c r="AQ38" s="139"/>
      <c r="AR38" s="139"/>
    </row>
    <row r="39" spans="2:44" s="13" customFormat="1" ht="75">
      <c r="B39" s="51" t="s">
        <v>864</v>
      </c>
      <c r="C39" s="229"/>
      <c r="D39" s="62" t="s">
        <v>863</v>
      </c>
      <c r="E39" s="62" t="s">
        <v>862</v>
      </c>
      <c r="F39" s="32" t="s">
        <v>1</v>
      </c>
      <c r="G39" s="28" t="s">
        <v>1251</v>
      </c>
      <c r="H39" s="28" t="s">
        <v>1252</v>
      </c>
      <c r="I39" s="40"/>
      <c r="J39" s="26" t="s">
        <v>79</v>
      </c>
      <c r="K39" s="90" t="s">
        <v>1212</v>
      </c>
      <c r="L39" s="28" t="s">
        <v>668</v>
      </c>
      <c r="M39" s="28" t="s">
        <v>0</v>
      </c>
      <c r="N39" s="28" t="s">
        <v>1235</v>
      </c>
      <c r="O39" s="193" t="s">
        <v>0</v>
      </c>
      <c r="P39" s="31">
        <v>42773</v>
      </c>
      <c r="Q39" s="193" t="s">
        <v>1292</v>
      </c>
      <c r="R39" s="193" t="s">
        <v>1291</v>
      </c>
      <c r="S39" s="211" t="s">
        <v>0</v>
      </c>
      <c r="T39" s="31">
        <v>42794</v>
      </c>
      <c r="U39" s="211" t="s">
        <v>1292</v>
      </c>
      <c r="V39" s="85"/>
      <c r="W39" s="96"/>
      <c r="X39" s="31"/>
      <c r="Y39" s="96"/>
      <c r="Z39" s="85"/>
      <c r="AA39" s="86"/>
      <c r="AB39" s="31"/>
      <c r="AC39" s="86"/>
      <c r="AD39" s="86"/>
      <c r="AE39" s="86"/>
      <c r="AF39" s="31"/>
      <c r="AG39" s="86"/>
      <c r="AH39" s="86"/>
      <c r="AI39" s="126"/>
      <c r="AJ39" s="140" t="str">
        <f t="shared" si="8"/>
        <v/>
      </c>
      <c r="AK39" s="15"/>
      <c r="AL39" s="15"/>
      <c r="AM39" s="136"/>
      <c r="AN39" s="137" t="str">
        <f t="shared" si="9"/>
        <v/>
      </c>
      <c r="AO39" s="139"/>
      <c r="AP39" s="139"/>
      <c r="AQ39" s="139"/>
      <c r="AR39" s="139"/>
    </row>
    <row r="40" spans="2:44">
      <c r="B40" s="22" t="s">
        <v>861</v>
      </c>
      <c r="C40" s="22"/>
      <c r="D40" s="22"/>
      <c r="E40" s="22"/>
      <c r="F40" s="24"/>
      <c r="G40" s="24"/>
      <c r="H40" s="24"/>
      <c r="I40" s="22"/>
      <c r="J40" s="22"/>
      <c r="K40" s="22"/>
      <c r="L40" s="24" t="s">
        <v>103</v>
      </c>
      <c r="M40" s="22"/>
      <c r="N40" s="22"/>
      <c r="O40" s="36"/>
      <c r="P40" s="36"/>
      <c r="Q40" s="36"/>
      <c r="R40" s="36"/>
      <c r="S40" s="36"/>
      <c r="T40" s="36"/>
      <c r="U40" s="36"/>
      <c r="V40" s="36"/>
      <c r="W40" s="36"/>
      <c r="X40" s="36"/>
      <c r="Y40" s="36"/>
      <c r="Z40" s="36"/>
      <c r="AA40" s="36"/>
      <c r="AB40" s="36"/>
      <c r="AC40" s="36"/>
      <c r="AD40" s="36"/>
      <c r="AE40" s="36"/>
      <c r="AF40" s="36"/>
      <c r="AG40" s="36"/>
      <c r="AH40" s="36"/>
      <c r="AI40" s="126"/>
      <c r="AJ40" s="140" t="str">
        <f t="shared" si="8"/>
        <v/>
      </c>
      <c r="AM40" s="136"/>
      <c r="AN40" s="137" t="str">
        <f t="shared" si="9"/>
        <v/>
      </c>
    </row>
    <row r="41" spans="2:44" ht="45">
      <c r="B41" s="51" t="s">
        <v>860</v>
      </c>
      <c r="C41" s="229" t="s">
        <v>859</v>
      </c>
      <c r="D41" s="25" t="s">
        <v>858</v>
      </c>
      <c r="E41" s="25" t="s">
        <v>780</v>
      </c>
      <c r="F41" s="32" t="s">
        <v>1</v>
      </c>
      <c r="G41" s="28" t="s">
        <v>1251</v>
      </c>
      <c r="H41" s="28" t="s">
        <v>1252</v>
      </c>
      <c r="I41" s="85"/>
      <c r="J41" s="26" t="s">
        <v>79</v>
      </c>
      <c r="K41" s="90" t="s">
        <v>1212</v>
      </c>
      <c r="L41" s="28" t="s">
        <v>655</v>
      </c>
      <c r="M41" s="28" t="s">
        <v>0</v>
      </c>
      <c r="N41" s="28" t="s">
        <v>1235</v>
      </c>
      <c r="O41" s="193" t="s">
        <v>0</v>
      </c>
      <c r="P41" s="31">
        <v>42773</v>
      </c>
      <c r="Q41" s="193" t="s">
        <v>1292</v>
      </c>
      <c r="R41" s="193" t="s">
        <v>1291</v>
      </c>
      <c r="S41" s="211" t="s">
        <v>0</v>
      </c>
      <c r="T41" s="31">
        <v>42794</v>
      </c>
      <c r="U41" s="211" t="s">
        <v>1292</v>
      </c>
      <c r="V41" s="40"/>
      <c r="W41" s="96"/>
      <c r="X41" s="31"/>
      <c r="Y41" s="96"/>
      <c r="Z41" s="40"/>
      <c r="AA41" s="86"/>
      <c r="AB41" s="31"/>
      <c r="AC41" s="86"/>
      <c r="AD41" s="40"/>
      <c r="AE41" s="86"/>
      <c r="AF41" s="31"/>
      <c r="AG41" s="86"/>
      <c r="AH41" s="40"/>
      <c r="AI41" s="126"/>
      <c r="AJ41" s="140" t="str">
        <f t="shared" si="8"/>
        <v/>
      </c>
      <c r="AM41" s="136"/>
      <c r="AN41" s="137" t="str">
        <f t="shared" si="9"/>
        <v/>
      </c>
    </row>
    <row r="42" spans="2:44" ht="105">
      <c r="B42" s="51" t="s">
        <v>857</v>
      </c>
      <c r="C42" s="229"/>
      <c r="D42" s="25" t="s">
        <v>1171</v>
      </c>
      <c r="E42" s="25" t="s">
        <v>855</v>
      </c>
      <c r="F42" s="32" t="s">
        <v>1</v>
      </c>
      <c r="G42" s="28" t="s">
        <v>1251</v>
      </c>
      <c r="H42" s="28" t="s">
        <v>1252</v>
      </c>
      <c r="I42" s="85"/>
      <c r="J42" s="26" t="s">
        <v>79</v>
      </c>
      <c r="K42" s="90" t="s">
        <v>1212</v>
      </c>
      <c r="L42" s="28" t="s">
        <v>655</v>
      </c>
      <c r="M42" s="28" t="s">
        <v>0</v>
      </c>
      <c r="N42" s="28" t="s">
        <v>1235</v>
      </c>
      <c r="O42" s="193" t="s">
        <v>0</v>
      </c>
      <c r="P42" s="31">
        <v>42773</v>
      </c>
      <c r="Q42" s="193" t="s">
        <v>1292</v>
      </c>
      <c r="R42" s="193" t="s">
        <v>1291</v>
      </c>
      <c r="S42" s="211" t="s">
        <v>0</v>
      </c>
      <c r="T42" s="31">
        <v>42794</v>
      </c>
      <c r="U42" s="211" t="s">
        <v>1292</v>
      </c>
      <c r="V42" s="40"/>
      <c r="W42" s="96"/>
      <c r="X42" s="31"/>
      <c r="Y42" s="96"/>
      <c r="Z42" s="40"/>
      <c r="AA42" s="86"/>
      <c r="AB42" s="31"/>
      <c r="AC42" s="86"/>
      <c r="AD42" s="40"/>
      <c r="AE42" s="86"/>
      <c r="AF42" s="31"/>
      <c r="AG42" s="86"/>
      <c r="AH42" s="40"/>
      <c r="AI42" s="126"/>
      <c r="AJ42" s="140" t="str">
        <f t="shared" si="8"/>
        <v/>
      </c>
      <c r="AM42" s="136"/>
      <c r="AN42" s="137" t="str">
        <f t="shared" si="9"/>
        <v/>
      </c>
    </row>
    <row r="43" spans="2:44" ht="120">
      <c r="B43" s="51" t="s">
        <v>856</v>
      </c>
      <c r="C43" s="229"/>
      <c r="D43" s="25" t="s">
        <v>1172</v>
      </c>
      <c r="E43" s="25" t="s">
        <v>855</v>
      </c>
      <c r="F43" s="32" t="s">
        <v>1</v>
      </c>
      <c r="G43" s="28" t="s">
        <v>1251</v>
      </c>
      <c r="H43" s="28" t="s">
        <v>1252</v>
      </c>
      <c r="I43" s="85"/>
      <c r="J43" s="26" t="s">
        <v>79</v>
      </c>
      <c r="K43" s="90" t="s">
        <v>1212</v>
      </c>
      <c r="L43" s="28" t="s">
        <v>655</v>
      </c>
      <c r="M43" s="28" t="s">
        <v>0</v>
      </c>
      <c r="N43" s="28" t="s">
        <v>1235</v>
      </c>
      <c r="O43" s="193" t="s">
        <v>0</v>
      </c>
      <c r="P43" s="31">
        <v>42773</v>
      </c>
      <c r="Q43" s="193" t="s">
        <v>1292</v>
      </c>
      <c r="R43" s="193" t="s">
        <v>1291</v>
      </c>
      <c r="S43" s="211" t="s">
        <v>0</v>
      </c>
      <c r="T43" s="31">
        <v>42794</v>
      </c>
      <c r="U43" s="211" t="s">
        <v>1292</v>
      </c>
      <c r="V43" s="40"/>
      <c r="W43" s="96"/>
      <c r="X43" s="31"/>
      <c r="Y43" s="96"/>
      <c r="Z43" s="40"/>
      <c r="AA43" s="86"/>
      <c r="AB43" s="31"/>
      <c r="AC43" s="86"/>
      <c r="AD43" s="40"/>
      <c r="AE43" s="86"/>
      <c r="AF43" s="31"/>
      <c r="AG43" s="86"/>
      <c r="AH43" s="40"/>
      <c r="AI43" s="126"/>
      <c r="AJ43" s="140" t="str">
        <f t="shared" si="8"/>
        <v/>
      </c>
      <c r="AM43" s="136"/>
      <c r="AN43" s="137" t="str">
        <f t="shared" si="9"/>
        <v/>
      </c>
    </row>
    <row r="44" spans="2:44" ht="75">
      <c r="B44" s="51" t="s">
        <v>854</v>
      </c>
      <c r="C44" s="229"/>
      <c r="D44" s="25" t="s">
        <v>1173</v>
      </c>
      <c r="E44" s="25" t="s">
        <v>775</v>
      </c>
      <c r="F44" s="32" t="s">
        <v>1</v>
      </c>
      <c r="G44" s="28" t="s">
        <v>1251</v>
      </c>
      <c r="H44" s="28" t="s">
        <v>1252</v>
      </c>
      <c r="I44" s="85"/>
      <c r="J44" s="26" t="s">
        <v>79</v>
      </c>
      <c r="K44" s="90" t="s">
        <v>1212</v>
      </c>
      <c r="L44" s="28" t="s">
        <v>655</v>
      </c>
      <c r="M44" s="28" t="s">
        <v>0</v>
      </c>
      <c r="N44" s="28" t="s">
        <v>1235</v>
      </c>
      <c r="O44" s="193" t="s">
        <v>0</v>
      </c>
      <c r="P44" s="31">
        <v>42773</v>
      </c>
      <c r="Q44" s="193" t="s">
        <v>1292</v>
      </c>
      <c r="R44" s="193" t="s">
        <v>1291</v>
      </c>
      <c r="S44" s="211" t="s">
        <v>0</v>
      </c>
      <c r="T44" s="31">
        <v>42794</v>
      </c>
      <c r="U44" s="211" t="s">
        <v>1292</v>
      </c>
      <c r="V44" s="40"/>
      <c r="W44" s="96"/>
      <c r="X44" s="31"/>
      <c r="Y44" s="96"/>
      <c r="Z44" s="40"/>
      <c r="AA44" s="86"/>
      <c r="AB44" s="31"/>
      <c r="AC44" s="86"/>
      <c r="AD44" s="40"/>
      <c r="AE44" s="86"/>
      <c r="AF44" s="31"/>
      <c r="AG44" s="86"/>
      <c r="AH44" s="40"/>
      <c r="AI44" s="126"/>
      <c r="AJ44" s="140" t="str">
        <f t="shared" si="8"/>
        <v/>
      </c>
      <c r="AM44" s="136"/>
      <c r="AN44" s="137" t="str">
        <f t="shared" si="9"/>
        <v/>
      </c>
    </row>
    <row r="45" spans="2:44" ht="90">
      <c r="B45" s="51" t="s">
        <v>853</v>
      </c>
      <c r="C45" s="229"/>
      <c r="D45" s="25" t="s">
        <v>1174</v>
      </c>
      <c r="E45" s="25" t="s">
        <v>773</v>
      </c>
      <c r="F45" s="32" t="s">
        <v>1</v>
      </c>
      <c r="G45" s="28" t="s">
        <v>1251</v>
      </c>
      <c r="H45" s="28" t="s">
        <v>1252</v>
      </c>
      <c r="I45" s="85"/>
      <c r="J45" s="26" t="s">
        <v>79</v>
      </c>
      <c r="K45" s="90" t="s">
        <v>1212</v>
      </c>
      <c r="L45" s="28" t="s">
        <v>655</v>
      </c>
      <c r="M45" s="28" t="s">
        <v>0</v>
      </c>
      <c r="N45" s="28" t="s">
        <v>1235</v>
      </c>
      <c r="O45" s="193" t="s">
        <v>0</v>
      </c>
      <c r="P45" s="31">
        <v>42773</v>
      </c>
      <c r="Q45" s="193" t="s">
        <v>1292</v>
      </c>
      <c r="R45" s="193" t="s">
        <v>1291</v>
      </c>
      <c r="S45" s="211" t="s">
        <v>0</v>
      </c>
      <c r="T45" s="31">
        <v>42794</v>
      </c>
      <c r="U45" s="211" t="s">
        <v>1292</v>
      </c>
      <c r="V45" s="40"/>
      <c r="W45" s="96"/>
      <c r="X45" s="31"/>
      <c r="Y45" s="96"/>
      <c r="Z45" s="40"/>
      <c r="AA45" s="86"/>
      <c r="AB45" s="31"/>
      <c r="AC45" s="86"/>
      <c r="AD45" s="40"/>
      <c r="AE45" s="86"/>
      <c r="AF45" s="31"/>
      <c r="AG45" s="86"/>
      <c r="AH45" s="40"/>
      <c r="AI45" s="126"/>
      <c r="AJ45" s="140" t="str">
        <f t="shared" si="8"/>
        <v/>
      </c>
      <c r="AM45" s="136"/>
      <c r="AN45" s="137" t="str">
        <f t="shared" si="9"/>
        <v/>
      </c>
    </row>
    <row r="46" spans="2:44" ht="120">
      <c r="B46" s="51" t="s">
        <v>852</v>
      </c>
      <c r="C46" s="229"/>
      <c r="D46" s="25" t="s">
        <v>851</v>
      </c>
      <c r="E46" s="25" t="s">
        <v>850</v>
      </c>
      <c r="F46" s="32" t="s">
        <v>1</v>
      </c>
      <c r="G46" s="28" t="s">
        <v>1251</v>
      </c>
      <c r="H46" s="28" t="s">
        <v>1252</v>
      </c>
      <c r="I46" s="85"/>
      <c r="J46" s="26" t="s">
        <v>79</v>
      </c>
      <c r="K46" s="90" t="s">
        <v>1212</v>
      </c>
      <c r="L46" s="28" t="s">
        <v>655</v>
      </c>
      <c r="M46" s="28" t="s">
        <v>0</v>
      </c>
      <c r="N46" s="28" t="s">
        <v>1235</v>
      </c>
      <c r="O46" s="193" t="s">
        <v>0</v>
      </c>
      <c r="P46" s="31">
        <v>42773</v>
      </c>
      <c r="Q46" s="193" t="s">
        <v>1292</v>
      </c>
      <c r="R46" s="193" t="s">
        <v>1291</v>
      </c>
      <c r="S46" s="211" t="s">
        <v>0</v>
      </c>
      <c r="T46" s="31">
        <v>42794</v>
      </c>
      <c r="U46" s="211" t="s">
        <v>1292</v>
      </c>
      <c r="V46" s="40"/>
      <c r="W46" s="96"/>
      <c r="X46" s="31"/>
      <c r="Y46" s="96"/>
      <c r="Z46" s="40"/>
      <c r="AA46" s="86"/>
      <c r="AB46" s="31"/>
      <c r="AC46" s="86"/>
      <c r="AD46" s="40"/>
      <c r="AE46" s="86"/>
      <c r="AF46" s="31"/>
      <c r="AG46" s="86"/>
      <c r="AH46" s="40"/>
      <c r="AI46" s="126"/>
      <c r="AJ46" s="140" t="str">
        <f t="shared" si="8"/>
        <v/>
      </c>
      <c r="AM46" s="136"/>
      <c r="AN46" s="137" t="str">
        <f t="shared" si="9"/>
        <v/>
      </c>
    </row>
    <row r="47" spans="2:44" ht="90">
      <c r="B47" s="51" t="s">
        <v>849</v>
      </c>
      <c r="C47" s="229"/>
      <c r="D47" s="25" t="s">
        <v>848</v>
      </c>
      <c r="E47" s="25" t="s">
        <v>847</v>
      </c>
      <c r="F47" s="32" t="s">
        <v>1</v>
      </c>
      <c r="G47" s="28" t="s">
        <v>1251</v>
      </c>
      <c r="H47" s="28" t="s">
        <v>1252</v>
      </c>
      <c r="I47" s="85"/>
      <c r="J47" s="26" t="s">
        <v>79</v>
      </c>
      <c r="K47" s="90" t="s">
        <v>1212</v>
      </c>
      <c r="L47" s="28" t="s">
        <v>655</v>
      </c>
      <c r="M47" s="28" t="s">
        <v>0</v>
      </c>
      <c r="N47" s="28" t="s">
        <v>1235</v>
      </c>
      <c r="O47" s="193" t="s">
        <v>0</v>
      </c>
      <c r="P47" s="31">
        <v>42773</v>
      </c>
      <c r="Q47" s="193" t="s">
        <v>1292</v>
      </c>
      <c r="R47" s="193" t="s">
        <v>1291</v>
      </c>
      <c r="S47" s="211" t="s">
        <v>0</v>
      </c>
      <c r="T47" s="31">
        <v>42794</v>
      </c>
      <c r="U47" s="211" t="s">
        <v>1292</v>
      </c>
      <c r="V47" s="40"/>
      <c r="W47" s="96"/>
      <c r="X47" s="31"/>
      <c r="Y47" s="96"/>
      <c r="Z47" s="40"/>
      <c r="AA47" s="86"/>
      <c r="AB47" s="31"/>
      <c r="AC47" s="86"/>
      <c r="AD47" s="40"/>
      <c r="AE47" s="86"/>
      <c r="AF47" s="31"/>
      <c r="AG47" s="86"/>
      <c r="AH47" s="40"/>
      <c r="AI47" s="126"/>
      <c r="AJ47" s="140" t="str">
        <f t="shared" si="8"/>
        <v/>
      </c>
      <c r="AM47" s="136"/>
      <c r="AN47" s="137" t="str">
        <f t="shared" si="9"/>
        <v/>
      </c>
    </row>
    <row r="48" spans="2:44" ht="90">
      <c r="B48" s="51" t="s">
        <v>846</v>
      </c>
      <c r="C48" s="229"/>
      <c r="D48" s="25" t="s">
        <v>845</v>
      </c>
      <c r="E48" s="25" t="s">
        <v>767</v>
      </c>
      <c r="F48" s="32" t="s">
        <v>1</v>
      </c>
      <c r="G48" s="28" t="s">
        <v>1251</v>
      </c>
      <c r="H48" s="28" t="s">
        <v>1252</v>
      </c>
      <c r="I48" s="85"/>
      <c r="J48" s="26" t="s">
        <v>79</v>
      </c>
      <c r="K48" s="90" t="s">
        <v>1212</v>
      </c>
      <c r="L48" s="28" t="s">
        <v>655</v>
      </c>
      <c r="M48" s="28" t="s">
        <v>0</v>
      </c>
      <c r="N48" s="28" t="s">
        <v>1235</v>
      </c>
      <c r="O48" s="193" t="s">
        <v>0</v>
      </c>
      <c r="P48" s="31">
        <v>42773</v>
      </c>
      <c r="Q48" s="193" t="s">
        <v>1292</v>
      </c>
      <c r="R48" s="193" t="s">
        <v>1291</v>
      </c>
      <c r="S48" s="211" t="s">
        <v>0</v>
      </c>
      <c r="T48" s="31">
        <v>42794</v>
      </c>
      <c r="U48" s="211" t="s">
        <v>1292</v>
      </c>
      <c r="V48" s="40"/>
      <c r="W48" s="96"/>
      <c r="X48" s="31"/>
      <c r="Y48" s="96"/>
      <c r="Z48" s="40"/>
      <c r="AA48" s="86"/>
      <c r="AB48" s="31"/>
      <c r="AC48" s="86"/>
      <c r="AD48" s="40"/>
      <c r="AE48" s="86"/>
      <c r="AF48" s="31"/>
      <c r="AG48" s="86"/>
      <c r="AH48" s="40"/>
      <c r="AI48" s="126"/>
      <c r="AJ48" s="140" t="str">
        <f t="shared" si="8"/>
        <v/>
      </c>
      <c r="AM48" s="136"/>
      <c r="AN48" s="137" t="str">
        <f t="shared" si="9"/>
        <v/>
      </c>
    </row>
    <row r="49" spans="2:40" ht="60">
      <c r="B49" s="51" t="s">
        <v>844</v>
      </c>
      <c r="C49" s="229"/>
      <c r="D49" s="25" t="s">
        <v>843</v>
      </c>
      <c r="E49" s="25" t="s">
        <v>764</v>
      </c>
      <c r="F49" s="32" t="s">
        <v>1</v>
      </c>
      <c r="G49" s="28" t="s">
        <v>1251</v>
      </c>
      <c r="H49" s="28" t="s">
        <v>1252</v>
      </c>
      <c r="I49" s="85"/>
      <c r="J49" s="26" t="s">
        <v>79</v>
      </c>
      <c r="K49" s="90" t="s">
        <v>1212</v>
      </c>
      <c r="L49" s="28" t="s">
        <v>655</v>
      </c>
      <c r="M49" s="28" t="s">
        <v>0</v>
      </c>
      <c r="N49" s="28" t="s">
        <v>1235</v>
      </c>
      <c r="O49" s="193" t="s">
        <v>0</v>
      </c>
      <c r="P49" s="31">
        <v>42773</v>
      </c>
      <c r="Q49" s="193" t="s">
        <v>1292</v>
      </c>
      <c r="R49" s="193" t="s">
        <v>1291</v>
      </c>
      <c r="S49" s="211" t="s">
        <v>0</v>
      </c>
      <c r="T49" s="31">
        <v>42794</v>
      </c>
      <c r="U49" s="211" t="s">
        <v>1292</v>
      </c>
      <c r="V49" s="40"/>
      <c r="W49" s="96"/>
      <c r="X49" s="31"/>
      <c r="Y49" s="96"/>
      <c r="Z49" s="40"/>
      <c r="AA49" s="86"/>
      <c r="AB49" s="31"/>
      <c r="AC49" s="86"/>
      <c r="AD49" s="40"/>
      <c r="AE49" s="86"/>
      <c r="AF49" s="31"/>
      <c r="AG49" s="86"/>
      <c r="AH49" s="40"/>
      <c r="AI49" s="126"/>
      <c r="AJ49" s="140" t="str">
        <f t="shared" si="8"/>
        <v/>
      </c>
      <c r="AM49" s="136"/>
      <c r="AN49" s="137" t="str">
        <f t="shared" si="9"/>
        <v/>
      </c>
    </row>
    <row r="50" spans="2:40" ht="45">
      <c r="B50" s="51" t="s">
        <v>842</v>
      </c>
      <c r="C50" s="229" t="s">
        <v>841</v>
      </c>
      <c r="D50" s="25" t="s">
        <v>840</v>
      </c>
      <c r="E50" s="25" t="s">
        <v>780</v>
      </c>
      <c r="F50" s="32" t="s">
        <v>1</v>
      </c>
      <c r="G50" s="28" t="s">
        <v>1251</v>
      </c>
      <c r="H50" s="28" t="s">
        <v>1252</v>
      </c>
      <c r="I50" s="85"/>
      <c r="J50" s="26" t="s">
        <v>79</v>
      </c>
      <c r="K50" s="90" t="s">
        <v>1212</v>
      </c>
      <c r="L50" s="28" t="s">
        <v>655</v>
      </c>
      <c r="M50" s="28" t="s">
        <v>0</v>
      </c>
      <c r="N50" s="28" t="s">
        <v>1235</v>
      </c>
      <c r="O50" s="193" t="s">
        <v>0</v>
      </c>
      <c r="P50" s="31">
        <v>42773</v>
      </c>
      <c r="Q50" s="193" t="s">
        <v>1292</v>
      </c>
      <c r="R50" s="193" t="s">
        <v>1291</v>
      </c>
      <c r="S50" s="211" t="s">
        <v>0</v>
      </c>
      <c r="T50" s="31">
        <v>42794</v>
      </c>
      <c r="U50" s="211" t="s">
        <v>1292</v>
      </c>
      <c r="V50" s="40"/>
      <c r="W50" s="96"/>
      <c r="X50" s="31"/>
      <c r="Y50" s="96"/>
      <c r="Z50" s="40"/>
      <c r="AA50" s="86"/>
      <c r="AB50" s="31"/>
      <c r="AC50" s="86"/>
      <c r="AD50" s="40"/>
      <c r="AE50" s="86"/>
      <c r="AF50" s="31"/>
      <c r="AG50" s="86"/>
      <c r="AH50" s="40"/>
      <c r="AI50" s="126"/>
      <c r="AJ50" s="140" t="str">
        <f t="shared" si="8"/>
        <v/>
      </c>
      <c r="AM50" s="136"/>
      <c r="AN50" s="137" t="str">
        <f t="shared" si="9"/>
        <v/>
      </c>
    </row>
    <row r="51" spans="2:40" ht="105">
      <c r="B51" s="51" t="s">
        <v>839</v>
      </c>
      <c r="C51" s="229"/>
      <c r="D51" s="25" t="s">
        <v>1175</v>
      </c>
      <c r="E51" s="25" t="s">
        <v>777</v>
      </c>
      <c r="F51" s="32" t="s">
        <v>1</v>
      </c>
      <c r="G51" s="28" t="s">
        <v>1251</v>
      </c>
      <c r="H51" s="28" t="s">
        <v>1252</v>
      </c>
      <c r="I51" s="85"/>
      <c r="J51" s="26" t="s">
        <v>79</v>
      </c>
      <c r="K51" s="90" t="s">
        <v>1212</v>
      </c>
      <c r="L51" s="28" t="s">
        <v>655</v>
      </c>
      <c r="M51" s="28" t="s">
        <v>0</v>
      </c>
      <c r="N51" s="28" t="s">
        <v>1235</v>
      </c>
      <c r="O51" s="193" t="s">
        <v>0</v>
      </c>
      <c r="P51" s="31">
        <v>42773</v>
      </c>
      <c r="Q51" s="193" t="s">
        <v>1292</v>
      </c>
      <c r="R51" s="193" t="s">
        <v>1291</v>
      </c>
      <c r="S51" s="211" t="s">
        <v>0</v>
      </c>
      <c r="T51" s="31">
        <v>42794</v>
      </c>
      <c r="U51" s="211" t="s">
        <v>1292</v>
      </c>
      <c r="V51" s="40"/>
      <c r="W51" s="96"/>
      <c r="X51" s="31"/>
      <c r="Y51" s="96"/>
      <c r="Z51" s="40"/>
      <c r="AA51" s="86"/>
      <c r="AB51" s="31"/>
      <c r="AC51" s="86"/>
      <c r="AD51" s="40"/>
      <c r="AE51" s="86"/>
      <c r="AF51" s="31"/>
      <c r="AG51" s="86"/>
      <c r="AH51" s="40"/>
      <c r="AI51" s="126"/>
      <c r="AJ51" s="140" t="str">
        <f t="shared" si="8"/>
        <v/>
      </c>
      <c r="AM51" s="136"/>
      <c r="AN51" s="137" t="str">
        <f t="shared" si="9"/>
        <v/>
      </c>
    </row>
    <row r="52" spans="2:40" ht="120">
      <c r="B52" s="51" t="s">
        <v>838</v>
      </c>
      <c r="C52" s="229"/>
      <c r="D52" s="25" t="s">
        <v>1176</v>
      </c>
      <c r="E52" s="25" t="s">
        <v>777</v>
      </c>
      <c r="F52" s="32" t="s">
        <v>1</v>
      </c>
      <c r="G52" s="28" t="s">
        <v>1251</v>
      </c>
      <c r="H52" s="28" t="s">
        <v>1252</v>
      </c>
      <c r="I52" s="85"/>
      <c r="J52" s="26" t="s">
        <v>79</v>
      </c>
      <c r="K52" s="90" t="s">
        <v>1212</v>
      </c>
      <c r="L52" s="28" t="s">
        <v>655</v>
      </c>
      <c r="M52" s="28" t="s">
        <v>0</v>
      </c>
      <c r="N52" s="28" t="s">
        <v>1235</v>
      </c>
      <c r="O52" s="193" t="s">
        <v>0</v>
      </c>
      <c r="P52" s="31">
        <v>42773</v>
      </c>
      <c r="Q52" s="193" t="s">
        <v>1292</v>
      </c>
      <c r="R52" s="193" t="s">
        <v>1291</v>
      </c>
      <c r="S52" s="211" t="s">
        <v>0</v>
      </c>
      <c r="T52" s="31">
        <v>42794</v>
      </c>
      <c r="U52" s="211" t="s">
        <v>1292</v>
      </c>
      <c r="V52" s="40"/>
      <c r="W52" s="96"/>
      <c r="X52" s="31"/>
      <c r="Y52" s="96"/>
      <c r="Z52" s="40"/>
      <c r="AA52" s="86"/>
      <c r="AB52" s="31"/>
      <c r="AC52" s="86"/>
      <c r="AD52" s="40"/>
      <c r="AE52" s="86"/>
      <c r="AF52" s="31"/>
      <c r="AG52" s="86"/>
      <c r="AH52" s="40"/>
      <c r="AI52" s="126"/>
      <c r="AJ52" s="140" t="str">
        <f t="shared" si="8"/>
        <v/>
      </c>
      <c r="AM52" s="136"/>
      <c r="AN52" s="137" t="str">
        <f t="shared" si="9"/>
        <v/>
      </c>
    </row>
    <row r="53" spans="2:40" ht="75">
      <c r="B53" s="51" t="s">
        <v>837</v>
      </c>
      <c r="C53" s="229"/>
      <c r="D53" s="25" t="s">
        <v>1177</v>
      </c>
      <c r="E53" s="25" t="s">
        <v>775</v>
      </c>
      <c r="F53" s="32" t="s">
        <v>1</v>
      </c>
      <c r="G53" s="28" t="s">
        <v>1251</v>
      </c>
      <c r="H53" s="28" t="s">
        <v>1252</v>
      </c>
      <c r="I53" s="85"/>
      <c r="J53" s="26" t="s">
        <v>79</v>
      </c>
      <c r="K53" s="90" t="s">
        <v>1212</v>
      </c>
      <c r="L53" s="28" t="s">
        <v>655</v>
      </c>
      <c r="M53" s="28" t="s">
        <v>0</v>
      </c>
      <c r="N53" s="28" t="s">
        <v>1235</v>
      </c>
      <c r="O53" s="193" t="s">
        <v>0</v>
      </c>
      <c r="P53" s="31">
        <v>42773</v>
      </c>
      <c r="Q53" s="193" t="s">
        <v>1292</v>
      </c>
      <c r="R53" s="193" t="s">
        <v>1291</v>
      </c>
      <c r="S53" s="211" t="s">
        <v>0</v>
      </c>
      <c r="T53" s="31">
        <v>42794</v>
      </c>
      <c r="U53" s="211" t="s">
        <v>1292</v>
      </c>
      <c r="V53" s="40"/>
      <c r="W53" s="96"/>
      <c r="X53" s="31"/>
      <c r="Y53" s="96"/>
      <c r="Z53" s="40"/>
      <c r="AA53" s="86"/>
      <c r="AB53" s="31"/>
      <c r="AC53" s="86"/>
      <c r="AD53" s="40"/>
      <c r="AE53" s="86"/>
      <c r="AF53" s="31"/>
      <c r="AG53" s="86"/>
      <c r="AH53" s="40"/>
      <c r="AI53" s="126"/>
      <c r="AJ53" s="140" t="str">
        <f t="shared" si="8"/>
        <v/>
      </c>
      <c r="AM53" s="136"/>
      <c r="AN53" s="137" t="str">
        <f t="shared" si="9"/>
        <v/>
      </c>
    </row>
    <row r="54" spans="2:40" ht="90">
      <c r="B54" s="51" t="s">
        <v>836</v>
      </c>
      <c r="C54" s="229"/>
      <c r="D54" s="25" t="s">
        <v>1178</v>
      </c>
      <c r="E54" s="25" t="s">
        <v>773</v>
      </c>
      <c r="F54" s="32" t="s">
        <v>1</v>
      </c>
      <c r="G54" s="28" t="s">
        <v>1251</v>
      </c>
      <c r="H54" s="28" t="s">
        <v>1252</v>
      </c>
      <c r="I54" s="85"/>
      <c r="J54" s="26" t="s">
        <v>79</v>
      </c>
      <c r="K54" s="90" t="s">
        <v>1212</v>
      </c>
      <c r="L54" s="28" t="s">
        <v>655</v>
      </c>
      <c r="M54" s="28" t="s">
        <v>0</v>
      </c>
      <c r="N54" s="28" t="s">
        <v>1235</v>
      </c>
      <c r="O54" s="193" t="s">
        <v>0</v>
      </c>
      <c r="P54" s="31">
        <v>42773</v>
      </c>
      <c r="Q54" s="193" t="s">
        <v>1292</v>
      </c>
      <c r="R54" s="193" t="s">
        <v>1291</v>
      </c>
      <c r="S54" s="211" t="s">
        <v>0</v>
      </c>
      <c r="T54" s="31">
        <v>42794</v>
      </c>
      <c r="U54" s="211" t="s">
        <v>1292</v>
      </c>
      <c r="V54" s="40"/>
      <c r="W54" s="96"/>
      <c r="X54" s="31"/>
      <c r="Y54" s="96"/>
      <c r="Z54" s="40"/>
      <c r="AA54" s="86"/>
      <c r="AB54" s="31"/>
      <c r="AC54" s="86"/>
      <c r="AD54" s="40"/>
      <c r="AE54" s="86"/>
      <c r="AF54" s="31"/>
      <c r="AG54" s="86"/>
      <c r="AH54" s="40"/>
      <c r="AI54" s="126"/>
      <c r="AJ54" s="140" t="str">
        <f t="shared" si="8"/>
        <v/>
      </c>
      <c r="AM54" s="136"/>
      <c r="AN54" s="137" t="str">
        <f t="shared" si="9"/>
        <v/>
      </c>
    </row>
    <row r="55" spans="2:40" ht="120">
      <c r="B55" s="51" t="s">
        <v>835</v>
      </c>
      <c r="C55" s="229"/>
      <c r="D55" s="25" t="s">
        <v>834</v>
      </c>
      <c r="E55" s="25" t="s">
        <v>833</v>
      </c>
      <c r="F55" s="32" t="s">
        <v>1</v>
      </c>
      <c r="G55" s="28" t="s">
        <v>1251</v>
      </c>
      <c r="H55" s="28" t="s">
        <v>1252</v>
      </c>
      <c r="I55" s="85"/>
      <c r="J55" s="26" t="s">
        <v>79</v>
      </c>
      <c r="K55" s="90" t="s">
        <v>1212</v>
      </c>
      <c r="L55" s="28" t="s">
        <v>655</v>
      </c>
      <c r="M55" s="28" t="s">
        <v>0</v>
      </c>
      <c r="N55" s="28" t="s">
        <v>1235</v>
      </c>
      <c r="O55" s="193" t="s">
        <v>0</v>
      </c>
      <c r="P55" s="31">
        <v>42773</v>
      </c>
      <c r="Q55" s="193" t="s">
        <v>1292</v>
      </c>
      <c r="R55" s="193" t="s">
        <v>1291</v>
      </c>
      <c r="S55" s="211" t="s">
        <v>0</v>
      </c>
      <c r="T55" s="31">
        <v>42794</v>
      </c>
      <c r="U55" s="211" t="s">
        <v>1292</v>
      </c>
      <c r="V55" s="40"/>
      <c r="W55" s="96"/>
      <c r="X55" s="31"/>
      <c r="Y55" s="96"/>
      <c r="Z55" s="40"/>
      <c r="AA55" s="86"/>
      <c r="AB55" s="31"/>
      <c r="AC55" s="86"/>
      <c r="AD55" s="40"/>
      <c r="AE55" s="86"/>
      <c r="AF55" s="31"/>
      <c r="AG55" s="86"/>
      <c r="AH55" s="40"/>
      <c r="AI55" s="126"/>
      <c r="AJ55" s="140" t="str">
        <f t="shared" si="8"/>
        <v/>
      </c>
      <c r="AM55" s="136"/>
      <c r="AN55" s="137" t="str">
        <f t="shared" si="9"/>
        <v/>
      </c>
    </row>
    <row r="56" spans="2:40" ht="90">
      <c r="B56" s="51" t="s">
        <v>832</v>
      </c>
      <c r="C56" s="229"/>
      <c r="D56" s="25" t="s">
        <v>831</v>
      </c>
      <c r="E56" s="25" t="s">
        <v>830</v>
      </c>
      <c r="F56" s="32" t="s">
        <v>1</v>
      </c>
      <c r="G56" s="28" t="s">
        <v>1251</v>
      </c>
      <c r="H56" s="28" t="s">
        <v>1252</v>
      </c>
      <c r="I56" s="85"/>
      <c r="J56" s="26" t="s">
        <v>79</v>
      </c>
      <c r="K56" s="90" t="s">
        <v>1212</v>
      </c>
      <c r="L56" s="28" t="s">
        <v>655</v>
      </c>
      <c r="M56" s="28" t="s">
        <v>0</v>
      </c>
      <c r="N56" s="28" t="s">
        <v>1235</v>
      </c>
      <c r="O56" s="193" t="s">
        <v>0</v>
      </c>
      <c r="P56" s="31">
        <v>42773</v>
      </c>
      <c r="Q56" s="193" t="s">
        <v>1292</v>
      </c>
      <c r="R56" s="193" t="s">
        <v>1291</v>
      </c>
      <c r="S56" s="211" t="s">
        <v>0</v>
      </c>
      <c r="T56" s="31">
        <v>42794</v>
      </c>
      <c r="U56" s="211" t="s">
        <v>1292</v>
      </c>
      <c r="V56" s="40"/>
      <c r="W56" s="96"/>
      <c r="X56" s="31"/>
      <c r="Y56" s="96"/>
      <c r="Z56" s="40"/>
      <c r="AA56" s="86"/>
      <c r="AB56" s="31"/>
      <c r="AC56" s="86"/>
      <c r="AD56" s="40"/>
      <c r="AE56" s="86"/>
      <c r="AF56" s="31"/>
      <c r="AG56" s="86"/>
      <c r="AH56" s="40"/>
      <c r="AI56" s="126"/>
      <c r="AJ56" s="140" t="str">
        <f t="shared" si="8"/>
        <v/>
      </c>
      <c r="AM56" s="136"/>
      <c r="AN56" s="137" t="str">
        <f t="shared" si="9"/>
        <v/>
      </c>
    </row>
    <row r="57" spans="2:40" ht="75">
      <c r="B57" s="51" t="s">
        <v>829</v>
      </c>
      <c r="C57" s="229"/>
      <c r="D57" s="25" t="s">
        <v>828</v>
      </c>
      <c r="E57" s="25" t="s">
        <v>767</v>
      </c>
      <c r="F57" s="32" t="s">
        <v>1</v>
      </c>
      <c r="G57" s="28" t="s">
        <v>1251</v>
      </c>
      <c r="H57" s="28" t="s">
        <v>1252</v>
      </c>
      <c r="I57" s="85"/>
      <c r="J57" s="26" t="s">
        <v>79</v>
      </c>
      <c r="K57" s="90" t="s">
        <v>1212</v>
      </c>
      <c r="L57" s="28" t="s">
        <v>655</v>
      </c>
      <c r="M57" s="28" t="s">
        <v>0</v>
      </c>
      <c r="N57" s="28" t="s">
        <v>1235</v>
      </c>
      <c r="O57" s="193" t="s">
        <v>0</v>
      </c>
      <c r="P57" s="31">
        <v>42773</v>
      </c>
      <c r="Q57" s="193" t="s">
        <v>1292</v>
      </c>
      <c r="R57" s="193" t="s">
        <v>1291</v>
      </c>
      <c r="S57" s="211" t="s">
        <v>0</v>
      </c>
      <c r="T57" s="31">
        <v>42794</v>
      </c>
      <c r="U57" s="211" t="s">
        <v>1292</v>
      </c>
      <c r="V57" s="40"/>
      <c r="W57" s="96"/>
      <c r="X57" s="31"/>
      <c r="Y57" s="96"/>
      <c r="Z57" s="40"/>
      <c r="AA57" s="86"/>
      <c r="AB57" s="31"/>
      <c r="AC57" s="86"/>
      <c r="AD57" s="40"/>
      <c r="AE57" s="86"/>
      <c r="AF57" s="31"/>
      <c r="AG57" s="86"/>
      <c r="AH57" s="40"/>
      <c r="AI57" s="126"/>
      <c r="AJ57" s="140" t="str">
        <f t="shared" si="8"/>
        <v/>
      </c>
      <c r="AM57" s="136"/>
      <c r="AN57" s="137" t="str">
        <f t="shared" si="9"/>
        <v/>
      </c>
    </row>
    <row r="58" spans="2:40" ht="60">
      <c r="B58" s="51" t="s">
        <v>827</v>
      </c>
      <c r="C58" s="229"/>
      <c r="D58" s="25" t="s">
        <v>826</v>
      </c>
      <c r="E58" s="25" t="s">
        <v>764</v>
      </c>
      <c r="F58" s="32" t="s">
        <v>1</v>
      </c>
      <c r="G58" s="28" t="s">
        <v>1251</v>
      </c>
      <c r="H58" s="28" t="s">
        <v>1252</v>
      </c>
      <c r="I58" s="85"/>
      <c r="J58" s="26" t="s">
        <v>79</v>
      </c>
      <c r="K58" s="90" t="s">
        <v>1212</v>
      </c>
      <c r="L58" s="28" t="s">
        <v>655</v>
      </c>
      <c r="M58" s="28" t="s">
        <v>0</v>
      </c>
      <c r="N58" s="28" t="s">
        <v>1235</v>
      </c>
      <c r="O58" s="193" t="s">
        <v>0</v>
      </c>
      <c r="P58" s="31">
        <v>42773</v>
      </c>
      <c r="Q58" s="193" t="s">
        <v>1292</v>
      </c>
      <c r="R58" s="193" t="s">
        <v>1291</v>
      </c>
      <c r="S58" s="211" t="s">
        <v>0</v>
      </c>
      <c r="T58" s="31">
        <v>42794</v>
      </c>
      <c r="U58" s="211" t="s">
        <v>1292</v>
      </c>
      <c r="V58" s="40"/>
      <c r="W58" s="96"/>
      <c r="X58" s="31"/>
      <c r="Y58" s="96"/>
      <c r="Z58" s="40"/>
      <c r="AA58" s="86"/>
      <c r="AB58" s="31"/>
      <c r="AC58" s="86"/>
      <c r="AD58" s="40"/>
      <c r="AE58" s="86"/>
      <c r="AF58" s="31"/>
      <c r="AG58" s="86"/>
      <c r="AH58" s="40"/>
      <c r="AI58" s="126"/>
      <c r="AJ58" s="140" t="str">
        <f t="shared" si="8"/>
        <v/>
      </c>
      <c r="AM58" s="136"/>
      <c r="AN58" s="137" t="str">
        <f t="shared" si="9"/>
        <v/>
      </c>
    </row>
    <row r="59" spans="2:40" ht="45">
      <c r="B59" s="51" t="s">
        <v>825</v>
      </c>
      <c r="C59" s="229" t="s">
        <v>824</v>
      </c>
      <c r="D59" s="25" t="s">
        <v>823</v>
      </c>
      <c r="E59" s="25" t="s">
        <v>780</v>
      </c>
      <c r="F59" s="32" t="s">
        <v>1</v>
      </c>
      <c r="G59" s="28" t="s">
        <v>1251</v>
      </c>
      <c r="H59" s="28" t="s">
        <v>1252</v>
      </c>
      <c r="I59" s="85"/>
      <c r="J59" s="26" t="s">
        <v>79</v>
      </c>
      <c r="K59" s="90" t="s">
        <v>1212</v>
      </c>
      <c r="L59" s="28" t="s">
        <v>655</v>
      </c>
      <c r="M59" s="28" t="s">
        <v>0</v>
      </c>
      <c r="N59" s="28" t="s">
        <v>1235</v>
      </c>
      <c r="O59" s="193" t="s">
        <v>0</v>
      </c>
      <c r="P59" s="31">
        <v>42773</v>
      </c>
      <c r="Q59" s="193" t="s">
        <v>1292</v>
      </c>
      <c r="R59" s="193" t="s">
        <v>1291</v>
      </c>
      <c r="S59" s="211" t="s">
        <v>0</v>
      </c>
      <c r="T59" s="31">
        <v>42794</v>
      </c>
      <c r="U59" s="211" t="s">
        <v>1292</v>
      </c>
      <c r="V59" s="40"/>
      <c r="W59" s="96"/>
      <c r="X59" s="31"/>
      <c r="Y59" s="96"/>
      <c r="Z59" s="40"/>
      <c r="AA59" s="86"/>
      <c r="AB59" s="31"/>
      <c r="AC59" s="86"/>
      <c r="AD59" s="40"/>
      <c r="AE59" s="86"/>
      <c r="AF59" s="31"/>
      <c r="AG59" s="86"/>
      <c r="AH59" s="40"/>
      <c r="AI59" s="126"/>
      <c r="AJ59" s="140" t="str">
        <f t="shared" si="8"/>
        <v/>
      </c>
      <c r="AM59" s="136"/>
      <c r="AN59" s="137" t="str">
        <f t="shared" si="9"/>
        <v/>
      </c>
    </row>
    <row r="60" spans="2:40" ht="105">
      <c r="B60" s="51" t="s">
        <v>822</v>
      </c>
      <c r="C60" s="229"/>
      <c r="D60" s="25" t="s">
        <v>1179</v>
      </c>
      <c r="E60" s="25" t="s">
        <v>777</v>
      </c>
      <c r="F60" s="32" t="s">
        <v>1</v>
      </c>
      <c r="G60" s="28" t="s">
        <v>1251</v>
      </c>
      <c r="H60" s="28" t="s">
        <v>1252</v>
      </c>
      <c r="I60" s="85"/>
      <c r="J60" s="26" t="s">
        <v>79</v>
      </c>
      <c r="K60" s="90" t="s">
        <v>1212</v>
      </c>
      <c r="L60" s="28" t="s">
        <v>655</v>
      </c>
      <c r="M60" s="28" t="s">
        <v>0</v>
      </c>
      <c r="N60" s="28" t="s">
        <v>1235</v>
      </c>
      <c r="O60" s="193" t="s">
        <v>0</v>
      </c>
      <c r="P60" s="31">
        <v>42773</v>
      </c>
      <c r="Q60" s="193" t="s">
        <v>1292</v>
      </c>
      <c r="R60" s="193" t="s">
        <v>1291</v>
      </c>
      <c r="S60" s="211" t="s">
        <v>0</v>
      </c>
      <c r="T60" s="31">
        <v>42794</v>
      </c>
      <c r="U60" s="211" t="s">
        <v>1292</v>
      </c>
      <c r="V60" s="40"/>
      <c r="W60" s="96"/>
      <c r="X60" s="31"/>
      <c r="Y60" s="96"/>
      <c r="Z60" s="40"/>
      <c r="AA60" s="86"/>
      <c r="AB60" s="31"/>
      <c r="AC60" s="86"/>
      <c r="AD60" s="40"/>
      <c r="AE60" s="86"/>
      <c r="AF60" s="31"/>
      <c r="AG60" s="86"/>
      <c r="AH60" s="40"/>
      <c r="AI60" s="126"/>
      <c r="AJ60" s="140" t="str">
        <f t="shared" si="8"/>
        <v/>
      </c>
      <c r="AM60" s="136"/>
      <c r="AN60" s="137" t="str">
        <f t="shared" si="9"/>
        <v/>
      </c>
    </row>
    <row r="61" spans="2:40" ht="120">
      <c r="B61" s="51" t="s">
        <v>821</v>
      </c>
      <c r="C61" s="229"/>
      <c r="D61" s="25" t="s">
        <v>1180</v>
      </c>
      <c r="E61" s="25" t="s">
        <v>777</v>
      </c>
      <c r="F61" s="32" t="s">
        <v>1</v>
      </c>
      <c r="G61" s="28" t="s">
        <v>1251</v>
      </c>
      <c r="H61" s="28" t="s">
        <v>1252</v>
      </c>
      <c r="I61" s="85"/>
      <c r="J61" s="26" t="s">
        <v>79</v>
      </c>
      <c r="K61" s="90" t="s">
        <v>1212</v>
      </c>
      <c r="L61" s="28" t="s">
        <v>655</v>
      </c>
      <c r="M61" s="28" t="s">
        <v>0</v>
      </c>
      <c r="N61" s="28" t="s">
        <v>1235</v>
      </c>
      <c r="O61" s="193" t="s">
        <v>0</v>
      </c>
      <c r="P61" s="31">
        <v>42773</v>
      </c>
      <c r="Q61" s="193" t="s">
        <v>1292</v>
      </c>
      <c r="R61" s="193" t="s">
        <v>1291</v>
      </c>
      <c r="S61" s="211" t="s">
        <v>0</v>
      </c>
      <c r="T61" s="31">
        <v>42794</v>
      </c>
      <c r="U61" s="211" t="s">
        <v>1292</v>
      </c>
      <c r="V61" s="40"/>
      <c r="W61" s="96"/>
      <c r="X61" s="31"/>
      <c r="Y61" s="96"/>
      <c r="Z61" s="40"/>
      <c r="AA61" s="86"/>
      <c r="AB61" s="31"/>
      <c r="AC61" s="86"/>
      <c r="AD61" s="40"/>
      <c r="AE61" s="86"/>
      <c r="AF61" s="31"/>
      <c r="AG61" s="86"/>
      <c r="AH61" s="40"/>
      <c r="AI61" s="126"/>
      <c r="AJ61" s="140" t="str">
        <f t="shared" si="8"/>
        <v/>
      </c>
      <c r="AM61" s="136"/>
      <c r="AN61" s="137" t="str">
        <f t="shared" si="9"/>
        <v/>
      </c>
    </row>
    <row r="62" spans="2:40" ht="75">
      <c r="B62" s="51" t="s">
        <v>820</v>
      </c>
      <c r="C62" s="229"/>
      <c r="D62" s="25" t="s">
        <v>1181</v>
      </c>
      <c r="E62" s="25" t="s">
        <v>775</v>
      </c>
      <c r="F62" s="32" t="s">
        <v>1</v>
      </c>
      <c r="G62" s="28" t="s">
        <v>1251</v>
      </c>
      <c r="H62" s="28" t="s">
        <v>1252</v>
      </c>
      <c r="I62" s="85"/>
      <c r="J62" s="26" t="s">
        <v>79</v>
      </c>
      <c r="K62" s="90" t="s">
        <v>1212</v>
      </c>
      <c r="L62" s="28" t="s">
        <v>655</v>
      </c>
      <c r="M62" s="28" t="s">
        <v>0</v>
      </c>
      <c r="N62" s="28" t="s">
        <v>1235</v>
      </c>
      <c r="O62" s="193" t="s">
        <v>0</v>
      </c>
      <c r="P62" s="31">
        <v>42773</v>
      </c>
      <c r="Q62" s="193" t="s">
        <v>1292</v>
      </c>
      <c r="R62" s="193" t="s">
        <v>1291</v>
      </c>
      <c r="S62" s="211" t="s">
        <v>0</v>
      </c>
      <c r="T62" s="31">
        <v>42794</v>
      </c>
      <c r="U62" s="211" t="s">
        <v>1292</v>
      </c>
      <c r="V62" s="40"/>
      <c r="W62" s="96"/>
      <c r="X62" s="31"/>
      <c r="Y62" s="96"/>
      <c r="Z62" s="40"/>
      <c r="AA62" s="86"/>
      <c r="AB62" s="31"/>
      <c r="AC62" s="86"/>
      <c r="AD62" s="40"/>
      <c r="AE62" s="86"/>
      <c r="AF62" s="31"/>
      <c r="AG62" s="86"/>
      <c r="AH62" s="40"/>
      <c r="AI62" s="126"/>
      <c r="AJ62" s="140" t="str">
        <f t="shared" si="8"/>
        <v/>
      </c>
      <c r="AM62" s="136"/>
      <c r="AN62" s="137" t="str">
        <f t="shared" si="9"/>
        <v/>
      </c>
    </row>
    <row r="63" spans="2:40" ht="90">
      <c r="B63" s="51" t="s">
        <v>819</v>
      </c>
      <c r="C63" s="229"/>
      <c r="D63" s="25" t="s">
        <v>1182</v>
      </c>
      <c r="E63" s="25" t="s">
        <v>773</v>
      </c>
      <c r="F63" s="32" t="s">
        <v>1</v>
      </c>
      <c r="G63" s="28" t="s">
        <v>1251</v>
      </c>
      <c r="H63" s="28" t="s">
        <v>1252</v>
      </c>
      <c r="I63" s="85"/>
      <c r="J63" s="26" t="s">
        <v>79</v>
      </c>
      <c r="K63" s="90" t="s">
        <v>1212</v>
      </c>
      <c r="L63" s="28" t="s">
        <v>655</v>
      </c>
      <c r="M63" s="28" t="s">
        <v>0</v>
      </c>
      <c r="N63" s="28" t="s">
        <v>1235</v>
      </c>
      <c r="O63" s="193" t="s">
        <v>0</v>
      </c>
      <c r="P63" s="31">
        <v>42773</v>
      </c>
      <c r="Q63" s="193" t="s">
        <v>1292</v>
      </c>
      <c r="R63" s="193" t="s">
        <v>1291</v>
      </c>
      <c r="S63" s="211" t="s">
        <v>0</v>
      </c>
      <c r="T63" s="31">
        <v>42794</v>
      </c>
      <c r="U63" s="211" t="s">
        <v>1292</v>
      </c>
      <c r="V63" s="40"/>
      <c r="W63" s="96"/>
      <c r="X63" s="31"/>
      <c r="Y63" s="96"/>
      <c r="Z63" s="40"/>
      <c r="AA63" s="86"/>
      <c r="AB63" s="31"/>
      <c r="AC63" s="86"/>
      <c r="AD63" s="40"/>
      <c r="AE63" s="86"/>
      <c r="AF63" s="31"/>
      <c r="AG63" s="86"/>
      <c r="AH63" s="40"/>
      <c r="AI63" s="126"/>
      <c r="AJ63" s="140" t="str">
        <f t="shared" si="8"/>
        <v/>
      </c>
      <c r="AM63" s="136"/>
      <c r="AN63" s="137" t="str">
        <f t="shared" si="9"/>
        <v/>
      </c>
    </row>
    <row r="64" spans="2:40" ht="90">
      <c r="B64" s="51" t="s">
        <v>818</v>
      </c>
      <c r="C64" s="229"/>
      <c r="D64" s="25" t="s">
        <v>817</v>
      </c>
      <c r="E64" s="25" t="s">
        <v>816</v>
      </c>
      <c r="F64" s="32" t="s">
        <v>1</v>
      </c>
      <c r="G64" s="28" t="s">
        <v>1251</v>
      </c>
      <c r="H64" s="28" t="s">
        <v>1252</v>
      </c>
      <c r="I64" s="85"/>
      <c r="J64" s="26" t="s">
        <v>79</v>
      </c>
      <c r="K64" s="90" t="s">
        <v>1212</v>
      </c>
      <c r="L64" s="28" t="s">
        <v>655</v>
      </c>
      <c r="M64" s="28" t="s">
        <v>0</v>
      </c>
      <c r="N64" s="28" t="s">
        <v>1235</v>
      </c>
      <c r="O64" s="193" t="s">
        <v>0</v>
      </c>
      <c r="P64" s="31">
        <v>42773</v>
      </c>
      <c r="Q64" s="193" t="s">
        <v>1292</v>
      </c>
      <c r="R64" s="193" t="s">
        <v>1291</v>
      </c>
      <c r="S64" s="211" t="s">
        <v>0</v>
      </c>
      <c r="T64" s="31">
        <v>42794</v>
      </c>
      <c r="U64" s="211" t="s">
        <v>1292</v>
      </c>
      <c r="V64" s="40"/>
      <c r="W64" s="96"/>
      <c r="X64" s="31"/>
      <c r="Y64" s="96"/>
      <c r="Z64" s="40"/>
      <c r="AA64" s="86"/>
      <c r="AB64" s="31"/>
      <c r="AC64" s="86"/>
      <c r="AD64" s="40"/>
      <c r="AE64" s="86"/>
      <c r="AF64" s="31"/>
      <c r="AG64" s="86"/>
      <c r="AH64" s="40"/>
      <c r="AI64" s="126"/>
      <c r="AJ64" s="140" t="str">
        <f t="shared" si="8"/>
        <v/>
      </c>
      <c r="AM64" s="136"/>
      <c r="AN64" s="137" t="str">
        <f t="shared" si="9"/>
        <v/>
      </c>
    </row>
    <row r="65" spans="2:40" ht="75">
      <c r="B65" s="51" t="s">
        <v>815</v>
      </c>
      <c r="C65" s="229"/>
      <c r="D65" s="25" t="s">
        <v>814</v>
      </c>
      <c r="E65" s="25" t="s">
        <v>767</v>
      </c>
      <c r="F65" s="32" t="s">
        <v>1</v>
      </c>
      <c r="G65" s="28" t="s">
        <v>1251</v>
      </c>
      <c r="H65" s="28" t="s">
        <v>1252</v>
      </c>
      <c r="I65" s="85"/>
      <c r="J65" s="26" t="s">
        <v>79</v>
      </c>
      <c r="K65" s="90" t="s">
        <v>1212</v>
      </c>
      <c r="L65" s="28" t="s">
        <v>655</v>
      </c>
      <c r="M65" s="28" t="s">
        <v>0</v>
      </c>
      <c r="N65" s="28" t="s">
        <v>1235</v>
      </c>
      <c r="O65" s="193" t="s">
        <v>0</v>
      </c>
      <c r="P65" s="31">
        <v>42773</v>
      </c>
      <c r="Q65" s="193" t="s">
        <v>1292</v>
      </c>
      <c r="R65" s="193" t="s">
        <v>1291</v>
      </c>
      <c r="S65" s="211" t="s">
        <v>0</v>
      </c>
      <c r="T65" s="31">
        <v>42794</v>
      </c>
      <c r="U65" s="211" t="s">
        <v>1292</v>
      </c>
      <c r="V65" s="40"/>
      <c r="W65" s="96"/>
      <c r="X65" s="31"/>
      <c r="Y65" s="96"/>
      <c r="Z65" s="40"/>
      <c r="AA65" s="86"/>
      <c r="AB65" s="31"/>
      <c r="AC65" s="86"/>
      <c r="AD65" s="40"/>
      <c r="AE65" s="86"/>
      <c r="AF65" s="31"/>
      <c r="AG65" s="86"/>
      <c r="AH65" s="40"/>
      <c r="AI65" s="126"/>
      <c r="AJ65" s="140" t="str">
        <f t="shared" si="8"/>
        <v/>
      </c>
      <c r="AM65" s="136"/>
      <c r="AN65" s="137" t="str">
        <f t="shared" si="9"/>
        <v/>
      </c>
    </row>
    <row r="66" spans="2:40" ht="60">
      <c r="B66" s="51" t="s">
        <v>813</v>
      </c>
      <c r="C66" s="229"/>
      <c r="D66" s="25" t="s">
        <v>812</v>
      </c>
      <c r="E66" s="25" t="s">
        <v>764</v>
      </c>
      <c r="F66" s="32" t="s">
        <v>1</v>
      </c>
      <c r="G66" s="28" t="s">
        <v>1251</v>
      </c>
      <c r="H66" s="28" t="s">
        <v>1252</v>
      </c>
      <c r="I66" s="85"/>
      <c r="J66" s="26" t="s">
        <v>79</v>
      </c>
      <c r="K66" s="90" t="s">
        <v>1212</v>
      </c>
      <c r="L66" s="28" t="s">
        <v>655</v>
      </c>
      <c r="M66" s="28" t="s">
        <v>0</v>
      </c>
      <c r="N66" s="28" t="s">
        <v>1235</v>
      </c>
      <c r="O66" s="193" t="s">
        <v>0</v>
      </c>
      <c r="P66" s="31">
        <v>42773</v>
      </c>
      <c r="Q66" s="193" t="s">
        <v>1292</v>
      </c>
      <c r="R66" s="193" t="s">
        <v>1291</v>
      </c>
      <c r="S66" s="211" t="s">
        <v>0</v>
      </c>
      <c r="T66" s="31">
        <v>42794</v>
      </c>
      <c r="U66" s="211" t="s">
        <v>1292</v>
      </c>
      <c r="V66" s="40"/>
      <c r="W66" s="96"/>
      <c r="X66" s="31"/>
      <c r="Y66" s="96"/>
      <c r="Z66" s="40"/>
      <c r="AA66" s="86"/>
      <c r="AB66" s="31"/>
      <c r="AC66" s="86"/>
      <c r="AD66" s="40"/>
      <c r="AE66" s="86"/>
      <c r="AF66" s="31"/>
      <c r="AG66" s="86"/>
      <c r="AH66" s="40"/>
      <c r="AI66" s="126"/>
      <c r="AJ66" s="140" t="str">
        <f t="shared" si="8"/>
        <v/>
      </c>
      <c r="AM66" s="136"/>
      <c r="AN66" s="137" t="str">
        <f t="shared" si="9"/>
        <v/>
      </c>
    </row>
    <row r="67" spans="2:40" ht="45">
      <c r="B67" s="51" t="s">
        <v>811</v>
      </c>
      <c r="C67" s="229" t="s">
        <v>810</v>
      </c>
      <c r="D67" s="25" t="s">
        <v>809</v>
      </c>
      <c r="E67" s="25" t="s">
        <v>780</v>
      </c>
      <c r="F67" s="32" t="s">
        <v>1</v>
      </c>
      <c r="G67" s="28" t="s">
        <v>1251</v>
      </c>
      <c r="H67" s="28" t="s">
        <v>1252</v>
      </c>
      <c r="I67" s="85"/>
      <c r="J67" s="26" t="s">
        <v>79</v>
      </c>
      <c r="K67" s="90" t="s">
        <v>1212</v>
      </c>
      <c r="L67" s="28" t="s">
        <v>655</v>
      </c>
      <c r="M67" s="28" t="s">
        <v>0</v>
      </c>
      <c r="N67" s="28" t="s">
        <v>1235</v>
      </c>
      <c r="O67" s="193" t="s">
        <v>0</v>
      </c>
      <c r="P67" s="31">
        <v>42773</v>
      </c>
      <c r="Q67" s="193" t="s">
        <v>1292</v>
      </c>
      <c r="R67" s="193" t="s">
        <v>1291</v>
      </c>
      <c r="S67" s="211" t="s">
        <v>0</v>
      </c>
      <c r="T67" s="31">
        <v>42794</v>
      </c>
      <c r="U67" s="211" t="s">
        <v>1292</v>
      </c>
      <c r="V67" s="40"/>
      <c r="W67" s="96"/>
      <c r="X67" s="31"/>
      <c r="Y67" s="96"/>
      <c r="Z67" s="40"/>
      <c r="AA67" s="86"/>
      <c r="AB67" s="31"/>
      <c r="AC67" s="86"/>
      <c r="AD67" s="40"/>
      <c r="AE67" s="86"/>
      <c r="AF67" s="31"/>
      <c r="AG67" s="86"/>
      <c r="AH67" s="40"/>
      <c r="AI67" s="126"/>
      <c r="AJ67" s="140" t="str">
        <f t="shared" si="8"/>
        <v/>
      </c>
      <c r="AM67" s="136"/>
      <c r="AN67" s="137" t="str">
        <f t="shared" si="9"/>
        <v/>
      </c>
    </row>
    <row r="68" spans="2:40" ht="105">
      <c r="B68" s="51" t="s">
        <v>808</v>
      </c>
      <c r="C68" s="229"/>
      <c r="D68" s="25" t="s">
        <v>1183</v>
      </c>
      <c r="E68" s="25" t="s">
        <v>777</v>
      </c>
      <c r="F68" s="32" t="s">
        <v>1</v>
      </c>
      <c r="G68" s="28" t="s">
        <v>1251</v>
      </c>
      <c r="H68" s="28" t="s">
        <v>1252</v>
      </c>
      <c r="I68" s="85"/>
      <c r="J68" s="26" t="s">
        <v>79</v>
      </c>
      <c r="K68" s="90" t="s">
        <v>1212</v>
      </c>
      <c r="L68" s="28" t="s">
        <v>655</v>
      </c>
      <c r="M68" s="28" t="s">
        <v>0</v>
      </c>
      <c r="N68" s="28" t="s">
        <v>1235</v>
      </c>
      <c r="O68" s="193" t="s">
        <v>0</v>
      </c>
      <c r="P68" s="31">
        <v>42773</v>
      </c>
      <c r="Q68" s="193" t="s">
        <v>1292</v>
      </c>
      <c r="R68" s="193" t="s">
        <v>1291</v>
      </c>
      <c r="S68" s="211" t="s">
        <v>0</v>
      </c>
      <c r="T68" s="31">
        <v>42794</v>
      </c>
      <c r="U68" s="211" t="s">
        <v>1292</v>
      </c>
      <c r="V68" s="40"/>
      <c r="W68" s="96"/>
      <c r="X68" s="31"/>
      <c r="Y68" s="96"/>
      <c r="Z68" s="40"/>
      <c r="AA68" s="86"/>
      <c r="AB68" s="31"/>
      <c r="AC68" s="86"/>
      <c r="AD68" s="40"/>
      <c r="AE68" s="86"/>
      <c r="AF68" s="31"/>
      <c r="AG68" s="86"/>
      <c r="AH68" s="40"/>
      <c r="AI68" s="126"/>
      <c r="AJ68" s="140" t="str">
        <f t="shared" si="8"/>
        <v/>
      </c>
      <c r="AM68" s="136"/>
      <c r="AN68" s="137" t="str">
        <f t="shared" si="9"/>
        <v/>
      </c>
    </row>
    <row r="69" spans="2:40" ht="120">
      <c r="B69" s="51" t="s">
        <v>807</v>
      </c>
      <c r="C69" s="229"/>
      <c r="D69" s="25" t="s">
        <v>1184</v>
      </c>
      <c r="E69" s="25" t="s">
        <v>777</v>
      </c>
      <c r="F69" s="32" t="s">
        <v>1</v>
      </c>
      <c r="G69" s="28" t="s">
        <v>1251</v>
      </c>
      <c r="H69" s="28" t="s">
        <v>1252</v>
      </c>
      <c r="I69" s="85"/>
      <c r="J69" s="26" t="s">
        <v>79</v>
      </c>
      <c r="K69" s="90" t="s">
        <v>1212</v>
      </c>
      <c r="L69" s="28" t="s">
        <v>655</v>
      </c>
      <c r="M69" s="28" t="s">
        <v>0</v>
      </c>
      <c r="N69" s="28" t="s">
        <v>1235</v>
      </c>
      <c r="O69" s="193" t="s">
        <v>0</v>
      </c>
      <c r="P69" s="31">
        <v>42773</v>
      </c>
      <c r="Q69" s="193" t="s">
        <v>1292</v>
      </c>
      <c r="R69" s="193" t="s">
        <v>1291</v>
      </c>
      <c r="S69" s="211" t="s">
        <v>0</v>
      </c>
      <c r="T69" s="31">
        <v>42794</v>
      </c>
      <c r="U69" s="211" t="s">
        <v>1292</v>
      </c>
      <c r="V69" s="40"/>
      <c r="W69" s="96"/>
      <c r="X69" s="31"/>
      <c r="Y69" s="96"/>
      <c r="Z69" s="40"/>
      <c r="AA69" s="86"/>
      <c r="AB69" s="31"/>
      <c r="AC69" s="86"/>
      <c r="AD69" s="40"/>
      <c r="AE69" s="86"/>
      <c r="AF69" s="31"/>
      <c r="AG69" s="86"/>
      <c r="AH69" s="40"/>
      <c r="AI69" s="126"/>
      <c r="AJ69" s="140" t="str">
        <f t="shared" si="8"/>
        <v/>
      </c>
      <c r="AM69" s="136"/>
      <c r="AN69" s="137" t="str">
        <f t="shared" si="9"/>
        <v/>
      </c>
    </row>
    <row r="70" spans="2:40" ht="75">
      <c r="B70" s="51" t="s">
        <v>806</v>
      </c>
      <c r="C70" s="229"/>
      <c r="D70" s="25" t="s">
        <v>1185</v>
      </c>
      <c r="E70" s="25" t="s">
        <v>775</v>
      </c>
      <c r="F70" s="32" t="s">
        <v>1</v>
      </c>
      <c r="G70" s="28" t="s">
        <v>1251</v>
      </c>
      <c r="H70" s="28" t="s">
        <v>1252</v>
      </c>
      <c r="I70" s="85"/>
      <c r="J70" s="26" t="s">
        <v>79</v>
      </c>
      <c r="K70" s="90" t="s">
        <v>1212</v>
      </c>
      <c r="L70" s="28" t="s">
        <v>655</v>
      </c>
      <c r="M70" s="28" t="s">
        <v>0</v>
      </c>
      <c r="N70" s="28" t="s">
        <v>1235</v>
      </c>
      <c r="O70" s="193" t="s">
        <v>0</v>
      </c>
      <c r="P70" s="31">
        <v>42773</v>
      </c>
      <c r="Q70" s="193" t="s">
        <v>1292</v>
      </c>
      <c r="R70" s="193" t="s">
        <v>1291</v>
      </c>
      <c r="S70" s="211" t="s">
        <v>0</v>
      </c>
      <c r="T70" s="31">
        <v>42794</v>
      </c>
      <c r="U70" s="211" t="s">
        <v>1292</v>
      </c>
      <c r="V70" s="40"/>
      <c r="W70" s="96"/>
      <c r="X70" s="31"/>
      <c r="Y70" s="96"/>
      <c r="Z70" s="40"/>
      <c r="AA70" s="86"/>
      <c r="AB70" s="31"/>
      <c r="AC70" s="86"/>
      <c r="AD70" s="40"/>
      <c r="AE70" s="86"/>
      <c r="AF70" s="31"/>
      <c r="AG70" s="86"/>
      <c r="AH70" s="40"/>
      <c r="AI70" s="126"/>
      <c r="AJ70" s="140" t="str">
        <f t="shared" si="8"/>
        <v/>
      </c>
      <c r="AM70" s="136"/>
      <c r="AN70" s="137" t="str">
        <f t="shared" si="9"/>
        <v/>
      </c>
    </row>
    <row r="71" spans="2:40" ht="90">
      <c r="B71" s="51" t="s">
        <v>805</v>
      </c>
      <c r="C71" s="229"/>
      <c r="D71" s="25" t="s">
        <v>1186</v>
      </c>
      <c r="E71" s="25" t="s">
        <v>773</v>
      </c>
      <c r="F71" s="32" t="s">
        <v>1</v>
      </c>
      <c r="G71" s="28" t="s">
        <v>1251</v>
      </c>
      <c r="H71" s="28" t="s">
        <v>1252</v>
      </c>
      <c r="I71" s="85"/>
      <c r="J71" s="26" t="s">
        <v>79</v>
      </c>
      <c r="K71" s="90" t="s">
        <v>1212</v>
      </c>
      <c r="L71" s="28" t="s">
        <v>655</v>
      </c>
      <c r="M71" s="28" t="s">
        <v>0</v>
      </c>
      <c r="N71" s="28" t="s">
        <v>1235</v>
      </c>
      <c r="O71" s="193" t="s">
        <v>0</v>
      </c>
      <c r="P71" s="31">
        <v>42773</v>
      </c>
      <c r="Q71" s="193" t="s">
        <v>1292</v>
      </c>
      <c r="R71" s="193" t="s">
        <v>1291</v>
      </c>
      <c r="S71" s="211" t="s">
        <v>0</v>
      </c>
      <c r="T71" s="31">
        <v>42794</v>
      </c>
      <c r="U71" s="211" t="s">
        <v>1292</v>
      </c>
      <c r="V71" s="40"/>
      <c r="W71" s="96"/>
      <c r="X71" s="31"/>
      <c r="Y71" s="96"/>
      <c r="Z71" s="40"/>
      <c r="AA71" s="86"/>
      <c r="AB71" s="31"/>
      <c r="AC71" s="86"/>
      <c r="AD71" s="40"/>
      <c r="AE71" s="86"/>
      <c r="AF71" s="31"/>
      <c r="AG71" s="86"/>
      <c r="AH71" s="40"/>
      <c r="AI71" s="126"/>
      <c r="AJ71" s="140" t="str">
        <f t="shared" si="8"/>
        <v/>
      </c>
      <c r="AM71" s="136"/>
      <c r="AN71" s="137" t="str">
        <f t="shared" si="9"/>
        <v/>
      </c>
    </row>
    <row r="72" spans="2:40" ht="90">
      <c r="B72" s="51" t="s">
        <v>804</v>
      </c>
      <c r="C72" s="229"/>
      <c r="D72" s="25" t="s">
        <v>803</v>
      </c>
      <c r="E72" s="25" t="s">
        <v>802</v>
      </c>
      <c r="F72" s="32" t="s">
        <v>1</v>
      </c>
      <c r="G72" s="28" t="s">
        <v>1251</v>
      </c>
      <c r="H72" s="28" t="s">
        <v>1252</v>
      </c>
      <c r="I72" s="85"/>
      <c r="J72" s="26" t="s">
        <v>79</v>
      </c>
      <c r="K72" s="90" t="s">
        <v>1212</v>
      </c>
      <c r="L72" s="28" t="s">
        <v>655</v>
      </c>
      <c r="M72" s="28" t="s">
        <v>0</v>
      </c>
      <c r="N72" s="28" t="s">
        <v>1235</v>
      </c>
      <c r="O72" s="193" t="s">
        <v>0</v>
      </c>
      <c r="P72" s="31">
        <v>42773</v>
      </c>
      <c r="Q72" s="193" t="s">
        <v>1292</v>
      </c>
      <c r="R72" s="193" t="s">
        <v>1291</v>
      </c>
      <c r="S72" s="211" t="s">
        <v>0</v>
      </c>
      <c r="T72" s="31">
        <v>42794</v>
      </c>
      <c r="U72" s="211" t="s">
        <v>1292</v>
      </c>
      <c r="V72" s="40"/>
      <c r="W72" s="96"/>
      <c r="X72" s="31"/>
      <c r="Y72" s="96"/>
      <c r="Z72" s="40"/>
      <c r="AA72" s="86"/>
      <c r="AB72" s="31"/>
      <c r="AC72" s="86"/>
      <c r="AD72" s="40"/>
      <c r="AE72" s="86"/>
      <c r="AF72" s="31"/>
      <c r="AG72" s="86"/>
      <c r="AH72" s="40"/>
      <c r="AI72" s="126"/>
      <c r="AJ72" s="140" t="str">
        <f t="shared" si="8"/>
        <v/>
      </c>
      <c r="AM72" s="136"/>
      <c r="AN72" s="137" t="str">
        <f t="shared" si="9"/>
        <v/>
      </c>
    </row>
    <row r="73" spans="2:40" ht="75">
      <c r="B73" s="51" t="s">
        <v>801</v>
      </c>
      <c r="C73" s="229"/>
      <c r="D73" s="25" t="s">
        <v>800</v>
      </c>
      <c r="E73" s="25" t="s">
        <v>767</v>
      </c>
      <c r="F73" s="32" t="s">
        <v>1</v>
      </c>
      <c r="G73" s="28" t="s">
        <v>1251</v>
      </c>
      <c r="H73" s="28" t="s">
        <v>1252</v>
      </c>
      <c r="I73" s="85"/>
      <c r="J73" s="26" t="s">
        <v>79</v>
      </c>
      <c r="K73" s="90" t="s">
        <v>1212</v>
      </c>
      <c r="L73" s="28" t="s">
        <v>655</v>
      </c>
      <c r="M73" s="28" t="s">
        <v>0</v>
      </c>
      <c r="N73" s="28" t="s">
        <v>1235</v>
      </c>
      <c r="O73" s="193" t="s">
        <v>0</v>
      </c>
      <c r="P73" s="31">
        <v>42773</v>
      </c>
      <c r="Q73" s="193" t="s">
        <v>1292</v>
      </c>
      <c r="R73" s="193" t="s">
        <v>1291</v>
      </c>
      <c r="S73" s="211" t="s">
        <v>0</v>
      </c>
      <c r="T73" s="31">
        <v>42794</v>
      </c>
      <c r="U73" s="211" t="s">
        <v>1292</v>
      </c>
      <c r="V73" s="40"/>
      <c r="W73" s="96"/>
      <c r="X73" s="31"/>
      <c r="Y73" s="96"/>
      <c r="Z73" s="40"/>
      <c r="AA73" s="86"/>
      <c r="AB73" s="31"/>
      <c r="AC73" s="86"/>
      <c r="AD73" s="40"/>
      <c r="AE73" s="86"/>
      <c r="AF73" s="31"/>
      <c r="AG73" s="86"/>
      <c r="AH73" s="40"/>
      <c r="AI73" s="126"/>
      <c r="AJ73" s="140" t="str">
        <f t="shared" si="8"/>
        <v/>
      </c>
      <c r="AM73" s="136"/>
      <c r="AN73" s="137" t="str">
        <f t="shared" si="9"/>
        <v/>
      </c>
    </row>
    <row r="74" spans="2:40" ht="60">
      <c r="B74" s="51" t="s">
        <v>799</v>
      </c>
      <c r="C74" s="229"/>
      <c r="D74" s="25" t="s">
        <v>798</v>
      </c>
      <c r="E74" s="25" t="s">
        <v>764</v>
      </c>
      <c r="F74" s="32" t="s">
        <v>1</v>
      </c>
      <c r="G74" s="28" t="s">
        <v>1251</v>
      </c>
      <c r="H74" s="28" t="s">
        <v>1252</v>
      </c>
      <c r="I74" s="85"/>
      <c r="J74" s="26" t="s">
        <v>79</v>
      </c>
      <c r="K74" s="90" t="s">
        <v>1212</v>
      </c>
      <c r="L74" s="28" t="s">
        <v>655</v>
      </c>
      <c r="M74" s="28" t="s">
        <v>0</v>
      </c>
      <c r="N74" s="28" t="s">
        <v>1235</v>
      </c>
      <c r="O74" s="193" t="s">
        <v>0</v>
      </c>
      <c r="P74" s="31">
        <v>42773</v>
      </c>
      <c r="Q74" s="193" t="s">
        <v>1292</v>
      </c>
      <c r="R74" s="193" t="s">
        <v>1291</v>
      </c>
      <c r="S74" s="211" t="s">
        <v>0</v>
      </c>
      <c r="T74" s="31">
        <v>42794</v>
      </c>
      <c r="U74" s="211" t="s">
        <v>1292</v>
      </c>
      <c r="V74" s="40"/>
      <c r="W74" s="96"/>
      <c r="X74" s="31"/>
      <c r="Y74" s="96"/>
      <c r="Z74" s="40"/>
      <c r="AA74" s="86"/>
      <c r="AB74" s="31"/>
      <c r="AC74" s="86"/>
      <c r="AD74" s="40"/>
      <c r="AE74" s="86"/>
      <c r="AF74" s="31"/>
      <c r="AG74" s="86"/>
      <c r="AH74" s="40"/>
      <c r="AI74" s="126"/>
      <c r="AJ74" s="140" t="str">
        <f t="shared" si="8"/>
        <v/>
      </c>
      <c r="AM74" s="136"/>
      <c r="AN74" s="137" t="str">
        <f t="shared" si="9"/>
        <v/>
      </c>
    </row>
    <row r="75" spans="2:40" ht="45">
      <c r="B75" s="51" t="s">
        <v>797</v>
      </c>
      <c r="C75" s="229" t="s">
        <v>796</v>
      </c>
      <c r="D75" s="25" t="s">
        <v>795</v>
      </c>
      <c r="E75" s="25" t="s">
        <v>780</v>
      </c>
      <c r="F75" s="32" t="s">
        <v>1</v>
      </c>
      <c r="G75" s="28" t="s">
        <v>1251</v>
      </c>
      <c r="H75" s="28" t="s">
        <v>1252</v>
      </c>
      <c r="I75" s="85"/>
      <c r="J75" s="26" t="s">
        <v>79</v>
      </c>
      <c r="K75" s="90" t="s">
        <v>1212</v>
      </c>
      <c r="L75" s="28" t="s">
        <v>655</v>
      </c>
      <c r="M75" s="28" t="s">
        <v>0</v>
      </c>
      <c r="N75" s="28" t="s">
        <v>1235</v>
      </c>
      <c r="O75" s="193" t="s">
        <v>0</v>
      </c>
      <c r="P75" s="31">
        <v>42773</v>
      </c>
      <c r="Q75" s="193" t="s">
        <v>1292</v>
      </c>
      <c r="R75" s="193" t="s">
        <v>1291</v>
      </c>
      <c r="S75" s="211" t="s">
        <v>0</v>
      </c>
      <c r="T75" s="31">
        <v>42794</v>
      </c>
      <c r="U75" s="211" t="s">
        <v>1292</v>
      </c>
      <c r="V75" s="40"/>
      <c r="W75" s="96"/>
      <c r="X75" s="31"/>
      <c r="Y75" s="96"/>
      <c r="Z75" s="40"/>
      <c r="AA75" s="86"/>
      <c r="AB75" s="31"/>
      <c r="AC75" s="86"/>
      <c r="AD75" s="40"/>
      <c r="AE75" s="86"/>
      <c r="AF75" s="31"/>
      <c r="AG75" s="86"/>
      <c r="AH75" s="40"/>
      <c r="AI75" s="126"/>
      <c r="AJ75" s="140" t="str">
        <f t="shared" si="8"/>
        <v/>
      </c>
      <c r="AM75" s="136"/>
      <c r="AN75" s="137" t="str">
        <f t="shared" si="9"/>
        <v/>
      </c>
    </row>
    <row r="76" spans="2:40" ht="105">
      <c r="B76" s="51" t="s">
        <v>794</v>
      </c>
      <c r="C76" s="229"/>
      <c r="D76" s="25" t="s">
        <v>1187</v>
      </c>
      <c r="E76" s="25" t="s">
        <v>777</v>
      </c>
      <c r="F76" s="32" t="s">
        <v>1</v>
      </c>
      <c r="G76" s="28" t="s">
        <v>1251</v>
      </c>
      <c r="H76" s="28" t="s">
        <v>1252</v>
      </c>
      <c r="I76" s="85"/>
      <c r="J76" s="26" t="s">
        <v>79</v>
      </c>
      <c r="K76" s="90" t="s">
        <v>1212</v>
      </c>
      <c r="L76" s="28" t="s">
        <v>655</v>
      </c>
      <c r="M76" s="28" t="s">
        <v>0</v>
      </c>
      <c r="N76" s="28" t="s">
        <v>1235</v>
      </c>
      <c r="O76" s="193" t="s">
        <v>0</v>
      </c>
      <c r="P76" s="31">
        <v>42773</v>
      </c>
      <c r="Q76" s="193" t="s">
        <v>1292</v>
      </c>
      <c r="R76" s="193" t="s">
        <v>1291</v>
      </c>
      <c r="S76" s="211" t="s">
        <v>0</v>
      </c>
      <c r="T76" s="31">
        <v>42794</v>
      </c>
      <c r="U76" s="211" t="s">
        <v>1292</v>
      </c>
      <c r="V76" s="40"/>
      <c r="W76" s="96"/>
      <c r="X76" s="31"/>
      <c r="Y76" s="96"/>
      <c r="Z76" s="40"/>
      <c r="AA76" s="86"/>
      <c r="AB76" s="31"/>
      <c r="AC76" s="86"/>
      <c r="AD76" s="40"/>
      <c r="AE76" s="86"/>
      <c r="AF76" s="31"/>
      <c r="AG76" s="86"/>
      <c r="AH76" s="40"/>
      <c r="AI76" s="126"/>
      <c r="AJ76" s="140" t="str">
        <f t="shared" si="8"/>
        <v/>
      </c>
      <c r="AM76" s="136"/>
      <c r="AN76" s="137" t="str">
        <f t="shared" si="9"/>
        <v/>
      </c>
    </row>
    <row r="77" spans="2:40" ht="120">
      <c r="B77" s="51" t="s">
        <v>793</v>
      </c>
      <c r="C77" s="229"/>
      <c r="D77" s="25" t="s">
        <v>1188</v>
      </c>
      <c r="E77" s="25" t="s">
        <v>777</v>
      </c>
      <c r="F77" s="32" t="s">
        <v>1</v>
      </c>
      <c r="G77" s="28" t="s">
        <v>1251</v>
      </c>
      <c r="H77" s="28" t="s">
        <v>1252</v>
      </c>
      <c r="I77" s="85"/>
      <c r="J77" s="26" t="s">
        <v>79</v>
      </c>
      <c r="K77" s="90" t="s">
        <v>1212</v>
      </c>
      <c r="L77" s="28" t="s">
        <v>655</v>
      </c>
      <c r="M77" s="28" t="s">
        <v>0</v>
      </c>
      <c r="N77" s="28" t="s">
        <v>1235</v>
      </c>
      <c r="O77" s="193" t="s">
        <v>0</v>
      </c>
      <c r="P77" s="31">
        <v>42773</v>
      </c>
      <c r="Q77" s="193" t="s">
        <v>1292</v>
      </c>
      <c r="R77" s="193" t="s">
        <v>1291</v>
      </c>
      <c r="S77" s="211" t="s">
        <v>0</v>
      </c>
      <c r="T77" s="31">
        <v>42794</v>
      </c>
      <c r="U77" s="211" t="s">
        <v>1292</v>
      </c>
      <c r="V77" s="40"/>
      <c r="W77" s="96"/>
      <c r="X77" s="31"/>
      <c r="Y77" s="96"/>
      <c r="Z77" s="40"/>
      <c r="AA77" s="86"/>
      <c r="AB77" s="31"/>
      <c r="AC77" s="86"/>
      <c r="AD77" s="40"/>
      <c r="AE77" s="86"/>
      <c r="AF77" s="31"/>
      <c r="AG77" s="86"/>
      <c r="AH77" s="40"/>
      <c r="AI77" s="126"/>
      <c r="AJ77" s="140" t="str">
        <f t="shared" si="8"/>
        <v/>
      </c>
      <c r="AM77" s="136"/>
      <c r="AN77" s="137" t="str">
        <f t="shared" si="9"/>
        <v/>
      </c>
    </row>
    <row r="78" spans="2:40" ht="75">
      <c r="B78" s="51" t="s">
        <v>792</v>
      </c>
      <c r="C78" s="229"/>
      <c r="D78" s="25" t="s">
        <v>1189</v>
      </c>
      <c r="E78" s="25" t="s">
        <v>775</v>
      </c>
      <c r="F78" s="32" t="s">
        <v>1</v>
      </c>
      <c r="G78" s="28" t="s">
        <v>1251</v>
      </c>
      <c r="H78" s="28" t="s">
        <v>1252</v>
      </c>
      <c r="I78" s="85"/>
      <c r="J78" s="26" t="s">
        <v>79</v>
      </c>
      <c r="K78" s="90" t="s">
        <v>1212</v>
      </c>
      <c r="L78" s="28" t="s">
        <v>655</v>
      </c>
      <c r="M78" s="28" t="s">
        <v>0</v>
      </c>
      <c r="N78" s="28" t="s">
        <v>1235</v>
      </c>
      <c r="O78" s="193" t="s">
        <v>0</v>
      </c>
      <c r="P78" s="31">
        <v>42773</v>
      </c>
      <c r="Q78" s="193" t="s">
        <v>1292</v>
      </c>
      <c r="R78" s="193" t="s">
        <v>1291</v>
      </c>
      <c r="S78" s="211" t="s">
        <v>0</v>
      </c>
      <c r="T78" s="31">
        <v>42794</v>
      </c>
      <c r="U78" s="211" t="s">
        <v>1292</v>
      </c>
      <c r="V78" s="40"/>
      <c r="W78" s="96"/>
      <c r="X78" s="31"/>
      <c r="Y78" s="96"/>
      <c r="Z78" s="40"/>
      <c r="AA78" s="86"/>
      <c r="AB78" s="31"/>
      <c r="AC78" s="86"/>
      <c r="AD78" s="40"/>
      <c r="AE78" s="86"/>
      <c r="AF78" s="31"/>
      <c r="AG78" s="86"/>
      <c r="AH78" s="40"/>
      <c r="AI78" s="126"/>
      <c r="AJ78" s="140" t="str">
        <f t="shared" si="8"/>
        <v/>
      </c>
      <c r="AM78" s="136"/>
      <c r="AN78" s="137" t="str">
        <f t="shared" si="9"/>
        <v/>
      </c>
    </row>
    <row r="79" spans="2:40" ht="90">
      <c r="B79" s="51" t="s">
        <v>791</v>
      </c>
      <c r="C79" s="229"/>
      <c r="D79" s="25" t="s">
        <v>1190</v>
      </c>
      <c r="E79" s="25" t="s">
        <v>773</v>
      </c>
      <c r="F79" s="32" t="s">
        <v>1</v>
      </c>
      <c r="G79" s="28" t="s">
        <v>1251</v>
      </c>
      <c r="H79" s="28" t="s">
        <v>1252</v>
      </c>
      <c r="I79" s="85"/>
      <c r="J79" s="26" t="s">
        <v>79</v>
      </c>
      <c r="K79" s="90" t="s">
        <v>1212</v>
      </c>
      <c r="L79" s="28" t="s">
        <v>655</v>
      </c>
      <c r="M79" s="28" t="s">
        <v>0</v>
      </c>
      <c r="N79" s="28" t="s">
        <v>1235</v>
      </c>
      <c r="O79" s="193" t="s">
        <v>0</v>
      </c>
      <c r="P79" s="31">
        <v>42773</v>
      </c>
      <c r="Q79" s="193" t="s">
        <v>1292</v>
      </c>
      <c r="R79" s="193" t="s">
        <v>1291</v>
      </c>
      <c r="S79" s="211" t="s">
        <v>0</v>
      </c>
      <c r="T79" s="31">
        <v>42794</v>
      </c>
      <c r="U79" s="211" t="s">
        <v>1292</v>
      </c>
      <c r="V79" s="40"/>
      <c r="W79" s="96"/>
      <c r="X79" s="31"/>
      <c r="Y79" s="96"/>
      <c r="Z79" s="40"/>
      <c r="AA79" s="86"/>
      <c r="AB79" s="31"/>
      <c r="AC79" s="86"/>
      <c r="AD79" s="40"/>
      <c r="AE79" s="86"/>
      <c r="AF79" s="31"/>
      <c r="AG79" s="86"/>
      <c r="AH79" s="40"/>
      <c r="AI79" s="126"/>
      <c r="AJ79" s="140" t="str">
        <f t="shared" si="8"/>
        <v/>
      </c>
      <c r="AM79" s="136"/>
      <c r="AN79" s="137" t="str">
        <f t="shared" si="9"/>
        <v/>
      </c>
    </row>
    <row r="80" spans="2:40" ht="90">
      <c r="B80" s="51" t="s">
        <v>790</v>
      </c>
      <c r="C80" s="229"/>
      <c r="D80" s="25" t="s">
        <v>789</v>
      </c>
      <c r="E80" s="25" t="s">
        <v>788</v>
      </c>
      <c r="F80" s="32" t="s">
        <v>1</v>
      </c>
      <c r="G80" s="28" t="s">
        <v>1251</v>
      </c>
      <c r="H80" s="28" t="s">
        <v>1252</v>
      </c>
      <c r="I80" s="85"/>
      <c r="J80" s="26" t="s">
        <v>79</v>
      </c>
      <c r="K80" s="90" t="s">
        <v>1212</v>
      </c>
      <c r="L80" s="28" t="s">
        <v>655</v>
      </c>
      <c r="M80" s="28" t="s">
        <v>0</v>
      </c>
      <c r="N80" s="28" t="s">
        <v>1235</v>
      </c>
      <c r="O80" s="193" t="s">
        <v>0</v>
      </c>
      <c r="P80" s="31">
        <v>42773</v>
      </c>
      <c r="Q80" s="193" t="s">
        <v>1292</v>
      </c>
      <c r="R80" s="193" t="s">
        <v>1291</v>
      </c>
      <c r="S80" s="211" t="s">
        <v>0</v>
      </c>
      <c r="T80" s="31">
        <v>42794</v>
      </c>
      <c r="U80" s="211" t="s">
        <v>1292</v>
      </c>
      <c r="V80" s="40"/>
      <c r="W80" s="96"/>
      <c r="X80" s="31"/>
      <c r="Y80" s="96"/>
      <c r="Z80" s="40"/>
      <c r="AA80" s="86"/>
      <c r="AB80" s="31"/>
      <c r="AC80" s="86"/>
      <c r="AD80" s="40"/>
      <c r="AE80" s="86"/>
      <c r="AF80" s="31"/>
      <c r="AG80" s="86"/>
      <c r="AH80" s="40"/>
      <c r="AI80" s="126"/>
      <c r="AJ80" s="140" t="str">
        <f t="shared" si="8"/>
        <v/>
      </c>
      <c r="AM80" s="136"/>
      <c r="AN80" s="137" t="str">
        <f t="shared" si="9"/>
        <v/>
      </c>
    </row>
    <row r="81" spans="2:40" ht="75">
      <c r="B81" s="51" t="s">
        <v>787</v>
      </c>
      <c r="C81" s="229"/>
      <c r="D81" s="25" t="s">
        <v>786</v>
      </c>
      <c r="E81" s="25" t="s">
        <v>767</v>
      </c>
      <c r="F81" s="32" t="s">
        <v>1</v>
      </c>
      <c r="G81" s="28" t="s">
        <v>1251</v>
      </c>
      <c r="H81" s="28" t="s">
        <v>1252</v>
      </c>
      <c r="I81" s="85"/>
      <c r="J81" s="26" t="s">
        <v>79</v>
      </c>
      <c r="K81" s="90" t="s">
        <v>1212</v>
      </c>
      <c r="L81" s="28" t="s">
        <v>655</v>
      </c>
      <c r="M81" s="28" t="s">
        <v>0</v>
      </c>
      <c r="N81" s="28" t="s">
        <v>1235</v>
      </c>
      <c r="O81" s="193" t="s">
        <v>0</v>
      </c>
      <c r="P81" s="31">
        <v>42773</v>
      </c>
      <c r="Q81" s="193" t="s">
        <v>1292</v>
      </c>
      <c r="R81" s="193" t="s">
        <v>1291</v>
      </c>
      <c r="S81" s="211" t="s">
        <v>0</v>
      </c>
      <c r="T81" s="31">
        <v>42794</v>
      </c>
      <c r="U81" s="211" t="s">
        <v>1292</v>
      </c>
      <c r="V81" s="40"/>
      <c r="W81" s="96"/>
      <c r="X81" s="31"/>
      <c r="Y81" s="96"/>
      <c r="Z81" s="40"/>
      <c r="AA81" s="86"/>
      <c r="AB81" s="31"/>
      <c r="AC81" s="86"/>
      <c r="AD81" s="40"/>
      <c r="AE81" s="86"/>
      <c r="AF81" s="31"/>
      <c r="AG81" s="86"/>
      <c r="AH81" s="40"/>
      <c r="AI81" s="126"/>
      <c r="AJ81" s="140" t="str">
        <f t="shared" ref="AJ81:AJ136" si="10">IF(AI81&gt;0, IF(AI81&gt;=14,"D",IF(AI81&gt;=8,"N","E")),"")</f>
        <v/>
      </c>
      <c r="AM81" s="136"/>
      <c r="AN81" s="137" t="str">
        <f t="shared" ref="AN81:AN136" si="11">IF(AM81&gt;0, IF(AM81&gt;=14,"D",IF(AM81&gt;=8,"N","E")),"")</f>
        <v/>
      </c>
    </row>
    <row r="82" spans="2:40" ht="60">
      <c r="B82" s="51" t="s">
        <v>785</v>
      </c>
      <c r="C82" s="229"/>
      <c r="D82" s="25" t="s">
        <v>784</v>
      </c>
      <c r="E82" s="25" t="s">
        <v>764</v>
      </c>
      <c r="F82" s="32" t="s">
        <v>1</v>
      </c>
      <c r="G82" s="28" t="s">
        <v>1251</v>
      </c>
      <c r="H82" s="28" t="s">
        <v>1252</v>
      </c>
      <c r="I82" s="85"/>
      <c r="J82" s="26" t="s">
        <v>79</v>
      </c>
      <c r="K82" s="90" t="s">
        <v>1212</v>
      </c>
      <c r="L82" s="28" t="s">
        <v>655</v>
      </c>
      <c r="M82" s="28" t="s">
        <v>0</v>
      </c>
      <c r="N82" s="28" t="s">
        <v>1235</v>
      </c>
      <c r="O82" s="193" t="s">
        <v>0</v>
      </c>
      <c r="P82" s="31">
        <v>42773</v>
      </c>
      <c r="Q82" s="193" t="s">
        <v>1292</v>
      </c>
      <c r="R82" s="193" t="s">
        <v>1291</v>
      </c>
      <c r="S82" s="211" t="s">
        <v>0</v>
      </c>
      <c r="T82" s="31">
        <v>42794</v>
      </c>
      <c r="U82" s="211" t="s">
        <v>1292</v>
      </c>
      <c r="V82" s="40"/>
      <c r="W82" s="96"/>
      <c r="X82" s="31"/>
      <c r="Y82" s="96"/>
      <c r="Z82" s="40"/>
      <c r="AA82" s="86"/>
      <c r="AB82" s="31"/>
      <c r="AC82" s="86"/>
      <c r="AD82" s="40"/>
      <c r="AE82" s="86"/>
      <c r="AF82" s="31"/>
      <c r="AG82" s="86"/>
      <c r="AH82" s="40"/>
      <c r="AI82" s="126"/>
      <c r="AJ82" s="140" t="str">
        <f t="shared" si="10"/>
        <v/>
      </c>
      <c r="AM82" s="136"/>
      <c r="AN82" s="137" t="str">
        <f t="shared" si="11"/>
        <v/>
      </c>
    </row>
    <row r="83" spans="2:40" ht="45">
      <c r="B83" s="51" t="s">
        <v>783</v>
      </c>
      <c r="C83" s="229" t="s">
        <v>782</v>
      </c>
      <c r="D83" s="25" t="s">
        <v>781</v>
      </c>
      <c r="E83" s="25" t="s">
        <v>780</v>
      </c>
      <c r="F83" s="32" t="s">
        <v>1</v>
      </c>
      <c r="G83" s="28" t="s">
        <v>1251</v>
      </c>
      <c r="H83" s="28" t="s">
        <v>1252</v>
      </c>
      <c r="I83" s="85"/>
      <c r="J83" s="26" t="s">
        <v>79</v>
      </c>
      <c r="K83" s="90" t="s">
        <v>1212</v>
      </c>
      <c r="L83" s="28" t="s">
        <v>655</v>
      </c>
      <c r="M83" s="28" t="s">
        <v>0</v>
      </c>
      <c r="N83" s="28" t="s">
        <v>1235</v>
      </c>
      <c r="O83" s="193" t="s">
        <v>0</v>
      </c>
      <c r="P83" s="31">
        <v>42773</v>
      </c>
      <c r="Q83" s="193" t="s">
        <v>1292</v>
      </c>
      <c r="R83" s="193" t="s">
        <v>1291</v>
      </c>
      <c r="S83" s="211" t="s">
        <v>0</v>
      </c>
      <c r="T83" s="31">
        <v>42794</v>
      </c>
      <c r="U83" s="211" t="s">
        <v>1292</v>
      </c>
      <c r="V83" s="40"/>
      <c r="W83" s="96"/>
      <c r="X83" s="31"/>
      <c r="Y83" s="96"/>
      <c r="Z83" s="40"/>
      <c r="AA83" s="86"/>
      <c r="AB83" s="31"/>
      <c r="AC83" s="86"/>
      <c r="AD83" s="40"/>
      <c r="AE83" s="86"/>
      <c r="AF83" s="31"/>
      <c r="AG83" s="86"/>
      <c r="AH83" s="40"/>
      <c r="AI83" s="126"/>
      <c r="AJ83" s="140" t="str">
        <f t="shared" si="10"/>
        <v/>
      </c>
      <c r="AM83" s="136"/>
      <c r="AN83" s="137" t="str">
        <f t="shared" si="11"/>
        <v/>
      </c>
    </row>
    <row r="84" spans="2:40" ht="105">
      <c r="B84" s="51" t="s">
        <v>779</v>
      </c>
      <c r="C84" s="229"/>
      <c r="D84" s="25" t="s">
        <v>1191</v>
      </c>
      <c r="E84" s="25" t="s">
        <v>777</v>
      </c>
      <c r="F84" s="32" t="s">
        <v>1</v>
      </c>
      <c r="G84" s="28" t="s">
        <v>1251</v>
      </c>
      <c r="H84" s="28" t="s">
        <v>1252</v>
      </c>
      <c r="I84" s="85"/>
      <c r="J84" s="26" t="s">
        <v>79</v>
      </c>
      <c r="K84" s="90" t="s">
        <v>1212</v>
      </c>
      <c r="L84" s="28" t="s">
        <v>655</v>
      </c>
      <c r="M84" s="28" t="s">
        <v>0</v>
      </c>
      <c r="N84" s="28" t="s">
        <v>1235</v>
      </c>
      <c r="O84" s="193" t="s">
        <v>0</v>
      </c>
      <c r="P84" s="31">
        <v>42773</v>
      </c>
      <c r="Q84" s="193" t="s">
        <v>1292</v>
      </c>
      <c r="R84" s="193" t="s">
        <v>1291</v>
      </c>
      <c r="S84" s="211" t="s">
        <v>0</v>
      </c>
      <c r="T84" s="31">
        <v>42794</v>
      </c>
      <c r="U84" s="211" t="s">
        <v>1292</v>
      </c>
      <c r="V84" s="40"/>
      <c r="W84" s="96"/>
      <c r="X84" s="31"/>
      <c r="Y84" s="96"/>
      <c r="Z84" s="40"/>
      <c r="AA84" s="86"/>
      <c r="AB84" s="31"/>
      <c r="AC84" s="86"/>
      <c r="AD84" s="40"/>
      <c r="AE84" s="86"/>
      <c r="AF84" s="31"/>
      <c r="AG84" s="86"/>
      <c r="AH84" s="40"/>
      <c r="AI84" s="126"/>
      <c r="AJ84" s="140" t="str">
        <f t="shared" si="10"/>
        <v/>
      </c>
      <c r="AM84" s="136"/>
      <c r="AN84" s="137" t="str">
        <f t="shared" si="11"/>
        <v/>
      </c>
    </row>
    <row r="85" spans="2:40" ht="135">
      <c r="B85" s="51" t="s">
        <v>778</v>
      </c>
      <c r="C85" s="229"/>
      <c r="D85" s="25" t="s">
        <v>1192</v>
      </c>
      <c r="E85" s="25" t="s">
        <v>777</v>
      </c>
      <c r="F85" s="32" t="s">
        <v>1</v>
      </c>
      <c r="G85" s="28" t="s">
        <v>1251</v>
      </c>
      <c r="H85" s="28" t="s">
        <v>1252</v>
      </c>
      <c r="I85" s="85"/>
      <c r="J85" s="26" t="s">
        <v>79</v>
      </c>
      <c r="K85" s="90" t="s">
        <v>1212</v>
      </c>
      <c r="L85" s="28" t="s">
        <v>655</v>
      </c>
      <c r="M85" s="28" t="s">
        <v>0</v>
      </c>
      <c r="N85" s="28" t="s">
        <v>1235</v>
      </c>
      <c r="O85" s="193" t="s">
        <v>0</v>
      </c>
      <c r="P85" s="31">
        <v>42773</v>
      </c>
      <c r="Q85" s="193" t="s">
        <v>1292</v>
      </c>
      <c r="R85" s="193" t="s">
        <v>1291</v>
      </c>
      <c r="S85" s="211" t="s">
        <v>0</v>
      </c>
      <c r="T85" s="31">
        <v>42794</v>
      </c>
      <c r="U85" s="211" t="s">
        <v>1292</v>
      </c>
      <c r="V85" s="40"/>
      <c r="W85" s="96"/>
      <c r="X85" s="31"/>
      <c r="Y85" s="96"/>
      <c r="Z85" s="40"/>
      <c r="AA85" s="86"/>
      <c r="AB85" s="31"/>
      <c r="AC85" s="86"/>
      <c r="AD85" s="40"/>
      <c r="AE85" s="86"/>
      <c r="AF85" s="31"/>
      <c r="AG85" s="86"/>
      <c r="AH85" s="40"/>
      <c r="AI85" s="126"/>
      <c r="AJ85" s="140" t="str">
        <f t="shared" si="10"/>
        <v/>
      </c>
      <c r="AM85" s="136"/>
      <c r="AN85" s="137" t="str">
        <f t="shared" si="11"/>
        <v/>
      </c>
    </row>
    <row r="86" spans="2:40" ht="75">
      <c r="B86" s="51" t="s">
        <v>776</v>
      </c>
      <c r="C86" s="229"/>
      <c r="D86" s="25" t="s">
        <v>1193</v>
      </c>
      <c r="E86" s="25" t="s">
        <v>775</v>
      </c>
      <c r="F86" s="32" t="s">
        <v>1</v>
      </c>
      <c r="G86" s="28" t="s">
        <v>1251</v>
      </c>
      <c r="H86" s="28" t="s">
        <v>1252</v>
      </c>
      <c r="I86" s="85"/>
      <c r="J86" s="26" t="s">
        <v>79</v>
      </c>
      <c r="K86" s="90" t="s">
        <v>1212</v>
      </c>
      <c r="L86" s="28" t="s">
        <v>655</v>
      </c>
      <c r="M86" s="28" t="s">
        <v>0</v>
      </c>
      <c r="N86" s="28" t="s">
        <v>1235</v>
      </c>
      <c r="O86" s="193" t="s">
        <v>0</v>
      </c>
      <c r="P86" s="31">
        <v>42773</v>
      </c>
      <c r="Q86" s="193" t="s">
        <v>1292</v>
      </c>
      <c r="R86" s="193" t="s">
        <v>1291</v>
      </c>
      <c r="S86" s="211" t="s">
        <v>0</v>
      </c>
      <c r="T86" s="31">
        <v>42794</v>
      </c>
      <c r="U86" s="211" t="s">
        <v>1292</v>
      </c>
      <c r="V86" s="40"/>
      <c r="W86" s="96"/>
      <c r="X86" s="31"/>
      <c r="Y86" s="96"/>
      <c r="Z86" s="40"/>
      <c r="AA86" s="86"/>
      <c r="AB86" s="31"/>
      <c r="AC86" s="86"/>
      <c r="AD86" s="40"/>
      <c r="AE86" s="86"/>
      <c r="AF86" s="31"/>
      <c r="AG86" s="86"/>
      <c r="AH86" s="40"/>
      <c r="AI86" s="126"/>
      <c r="AJ86" s="140" t="str">
        <f t="shared" si="10"/>
        <v/>
      </c>
      <c r="AM86" s="136"/>
      <c r="AN86" s="137" t="str">
        <f t="shared" si="11"/>
        <v/>
      </c>
    </row>
    <row r="87" spans="2:40" ht="90">
      <c r="B87" s="51" t="s">
        <v>774</v>
      </c>
      <c r="C87" s="229"/>
      <c r="D87" s="25" t="s">
        <v>1194</v>
      </c>
      <c r="E87" s="25" t="s">
        <v>773</v>
      </c>
      <c r="F87" s="32" t="s">
        <v>1</v>
      </c>
      <c r="G87" s="28" t="s">
        <v>1251</v>
      </c>
      <c r="H87" s="28" t="s">
        <v>1252</v>
      </c>
      <c r="I87" s="85"/>
      <c r="J87" s="26" t="s">
        <v>79</v>
      </c>
      <c r="K87" s="90" t="s">
        <v>1212</v>
      </c>
      <c r="L87" s="28" t="s">
        <v>655</v>
      </c>
      <c r="M87" s="28" t="s">
        <v>0</v>
      </c>
      <c r="N87" s="28" t="s">
        <v>1235</v>
      </c>
      <c r="O87" s="193" t="s">
        <v>0</v>
      </c>
      <c r="P87" s="31">
        <v>42773</v>
      </c>
      <c r="Q87" s="193" t="s">
        <v>1292</v>
      </c>
      <c r="R87" s="193" t="s">
        <v>1291</v>
      </c>
      <c r="S87" s="211" t="s">
        <v>0</v>
      </c>
      <c r="T87" s="31">
        <v>42794</v>
      </c>
      <c r="U87" s="211" t="s">
        <v>1292</v>
      </c>
      <c r="V87" s="40"/>
      <c r="W87" s="96"/>
      <c r="X87" s="31"/>
      <c r="Y87" s="96"/>
      <c r="Z87" s="40"/>
      <c r="AA87" s="86"/>
      <c r="AB87" s="31"/>
      <c r="AC87" s="86"/>
      <c r="AD87" s="40"/>
      <c r="AE87" s="86"/>
      <c r="AF87" s="31"/>
      <c r="AG87" s="86"/>
      <c r="AH87" s="40"/>
      <c r="AI87" s="126"/>
      <c r="AJ87" s="140" t="str">
        <f t="shared" si="10"/>
        <v/>
      </c>
      <c r="AM87" s="136"/>
      <c r="AN87" s="137" t="str">
        <f t="shared" si="11"/>
        <v/>
      </c>
    </row>
    <row r="88" spans="2:40" ht="90">
      <c r="B88" s="51" t="s">
        <v>772</v>
      </c>
      <c r="C88" s="229"/>
      <c r="D88" s="25" t="s">
        <v>771</v>
      </c>
      <c r="E88" s="25" t="s">
        <v>770</v>
      </c>
      <c r="F88" s="32" t="s">
        <v>1</v>
      </c>
      <c r="G88" s="28" t="s">
        <v>1251</v>
      </c>
      <c r="H88" s="28" t="s">
        <v>1252</v>
      </c>
      <c r="I88" s="85"/>
      <c r="J88" s="26" t="s">
        <v>79</v>
      </c>
      <c r="K88" s="90" t="s">
        <v>1212</v>
      </c>
      <c r="L88" s="28" t="s">
        <v>655</v>
      </c>
      <c r="M88" s="28" t="s">
        <v>0</v>
      </c>
      <c r="N88" s="28" t="s">
        <v>1235</v>
      </c>
      <c r="O88" s="193" t="s">
        <v>0</v>
      </c>
      <c r="P88" s="31">
        <v>42773</v>
      </c>
      <c r="Q88" s="193" t="s">
        <v>1292</v>
      </c>
      <c r="R88" s="193" t="s">
        <v>1291</v>
      </c>
      <c r="S88" s="211" t="s">
        <v>0</v>
      </c>
      <c r="T88" s="31">
        <v>42794</v>
      </c>
      <c r="U88" s="211" t="s">
        <v>1292</v>
      </c>
      <c r="V88" s="40"/>
      <c r="W88" s="96"/>
      <c r="X88" s="31"/>
      <c r="Y88" s="96"/>
      <c r="Z88" s="40"/>
      <c r="AA88" s="86"/>
      <c r="AB88" s="31"/>
      <c r="AC88" s="86"/>
      <c r="AD88" s="40"/>
      <c r="AE88" s="86"/>
      <c r="AF88" s="31"/>
      <c r="AG88" s="86"/>
      <c r="AH88" s="40"/>
      <c r="AI88" s="126"/>
      <c r="AJ88" s="140" t="str">
        <f t="shared" si="10"/>
        <v/>
      </c>
      <c r="AM88" s="136"/>
      <c r="AN88" s="137" t="str">
        <f t="shared" si="11"/>
        <v/>
      </c>
    </row>
    <row r="89" spans="2:40" ht="75">
      <c r="B89" s="51" t="s">
        <v>769</v>
      </c>
      <c r="C89" s="229"/>
      <c r="D89" s="25" t="s">
        <v>768</v>
      </c>
      <c r="E89" s="25" t="s">
        <v>767</v>
      </c>
      <c r="F89" s="32" t="s">
        <v>1</v>
      </c>
      <c r="G89" s="28" t="s">
        <v>1251</v>
      </c>
      <c r="H89" s="28" t="s">
        <v>1252</v>
      </c>
      <c r="I89" s="85"/>
      <c r="J89" s="26" t="s">
        <v>79</v>
      </c>
      <c r="K89" s="90" t="s">
        <v>1212</v>
      </c>
      <c r="L89" s="28" t="s">
        <v>655</v>
      </c>
      <c r="M89" s="28" t="s">
        <v>0</v>
      </c>
      <c r="N89" s="28" t="s">
        <v>1235</v>
      </c>
      <c r="O89" s="193" t="s">
        <v>0</v>
      </c>
      <c r="P89" s="31">
        <v>42773</v>
      </c>
      <c r="Q89" s="193" t="s">
        <v>1292</v>
      </c>
      <c r="R89" s="193" t="s">
        <v>1291</v>
      </c>
      <c r="S89" s="211" t="s">
        <v>0</v>
      </c>
      <c r="T89" s="31">
        <v>42794</v>
      </c>
      <c r="U89" s="211" t="s">
        <v>1292</v>
      </c>
      <c r="V89" s="40"/>
      <c r="W89" s="96"/>
      <c r="X89" s="31"/>
      <c r="Y89" s="96"/>
      <c r="Z89" s="40"/>
      <c r="AA89" s="86"/>
      <c r="AB89" s="31"/>
      <c r="AC89" s="86"/>
      <c r="AD89" s="40"/>
      <c r="AE89" s="86"/>
      <c r="AF89" s="31"/>
      <c r="AG89" s="86"/>
      <c r="AH89" s="40"/>
      <c r="AI89" s="126"/>
      <c r="AJ89" s="140" t="str">
        <f t="shared" si="10"/>
        <v/>
      </c>
      <c r="AM89" s="136"/>
      <c r="AN89" s="137" t="str">
        <f t="shared" si="11"/>
        <v/>
      </c>
    </row>
    <row r="90" spans="2:40" ht="60">
      <c r="B90" s="51" t="s">
        <v>766</v>
      </c>
      <c r="C90" s="229"/>
      <c r="D90" s="25" t="s">
        <v>765</v>
      </c>
      <c r="E90" s="25" t="s">
        <v>764</v>
      </c>
      <c r="F90" s="32" t="s">
        <v>1</v>
      </c>
      <c r="G90" s="28" t="s">
        <v>1251</v>
      </c>
      <c r="H90" s="28" t="s">
        <v>1252</v>
      </c>
      <c r="I90" s="85"/>
      <c r="J90" s="26" t="s">
        <v>79</v>
      </c>
      <c r="K90" s="90" t="s">
        <v>1212</v>
      </c>
      <c r="L90" s="28" t="s">
        <v>655</v>
      </c>
      <c r="M90" s="28" t="s">
        <v>0</v>
      </c>
      <c r="N90" s="28" t="s">
        <v>1235</v>
      </c>
      <c r="O90" s="193" t="s">
        <v>0</v>
      </c>
      <c r="P90" s="31">
        <v>42773</v>
      </c>
      <c r="Q90" s="193" t="s">
        <v>1292</v>
      </c>
      <c r="R90" s="193" t="s">
        <v>1291</v>
      </c>
      <c r="S90" s="211" t="s">
        <v>0</v>
      </c>
      <c r="T90" s="31">
        <v>42794</v>
      </c>
      <c r="U90" s="211" t="s">
        <v>1292</v>
      </c>
      <c r="V90" s="40"/>
      <c r="W90" s="96"/>
      <c r="X90" s="31"/>
      <c r="Y90" s="96"/>
      <c r="Z90" s="40"/>
      <c r="AA90" s="86"/>
      <c r="AB90" s="31"/>
      <c r="AC90" s="86"/>
      <c r="AD90" s="40"/>
      <c r="AE90" s="86"/>
      <c r="AF90" s="31"/>
      <c r="AG90" s="86"/>
      <c r="AH90" s="40"/>
      <c r="AI90" s="126"/>
      <c r="AJ90" s="140" t="str">
        <f t="shared" si="10"/>
        <v/>
      </c>
      <c r="AM90" s="136"/>
      <c r="AN90" s="137" t="str">
        <f t="shared" si="11"/>
        <v/>
      </c>
    </row>
    <row r="91" spans="2:40">
      <c r="B91" s="22" t="s">
        <v>763</v>
      </c>
      <c r="C91" s="22"/>
      <c r="D91" s="22"/>
      <c r="E91" s="22"/>
      <c r="F91" s="24"/>
      <c r="G91" s="24"/>
      <c r="H91" s="24"/>
      <c r="I91" s="22"/>
      <c r="J91" s="22"/>
      <c r="K91" s="22"/>
      <c r="L91" s="24" t="s">
        <v>103</v>
      </c>
      <c r="M91" s="22"/>
      <c r="N91" s="22"/>
      <c r="O91" s="36"/>
      <c r="P91" s="36"/>
      <c r="Q91" s="36"/>
      <c r="R91" s="36"/>
      <c r="S91" s="36"/>
      <c r="T91" s="36"/>
      <c r="U91" s="36"/>
      <c r="V91" s="36"/>
      <c r="W91" s="36"/>
      <c r="X91" s="36"/>
      <c r="Y91" s="36"/>
      <c r="Z91" s="36"/>
      <c r="AA91" s="36"/>
      <c r="AB91" s="36"/>
      <c r="AC91" s="36"/>
      <c r="AD91" s="36"/>
      <c r="AE91" s="36"/>
      <c r="AF91" s="36"/>
      <c r="AG91" s="36"/>
      <c r="AH91" s="36"/>
      <c r="AI91" s="126"/>
      <c r="AJ91" s="140" t="str">
        <f t="shared" si="10"/>
        <v/>
      </c>
      <c r="AM91" s="136"/>
      <c r="AN91" s="137" t="str">
        <f t="shared" si="11"/>
        <v/>
      </c>
    </row>
    <row r="92" spans="2:40" ht="204" customHeight="1">
      <c r="B92" s="51" t="s">
        <v>762</v>
      </c>
      <c r="C92" s="85" t="s">
        <v>761</v>
      </c>
      <c r="D92" s="85" t="s">
        <v>1195</v>
      </c>
      <c r="E92" s="85" t="s">
        <v>748</v>
      </c>
      <c r="F92" s="32" t="s">
        <v>1</v>
      </c>
      <c r="G92" s="28" t="s">
        <v>1251</v>
      </c>
      <c r="H92" s="28" t="s">
        <v>1252</v>
      </c>
      <c r="I92" s="85"/>
      <c r="J92" s="26" t="s">
        <v>79</v>
      </c>
      <c r="K92" s="90" t="s">
        <v>1212</v>
      </c>
      <c r="L92" s="28" t="s">
        <v>668</v>
      </c>
      <c r="M92" s="28" t="s">
        <v>0</v>
      </c>
      <c r="N92" s="28" t="s">
        <v>1235</v>
      </c>
      <c r="O92" s="193" t="s">
        <v>0</v>
      </c>
      <c r="P92" s="31">
        <v>42773</v>
      </c>
      <c r="Q92" s="193" t="s">
        <v>1292</v>
      </c>
      <c r="R92" s="193" t="s">
        <v>1291</v>
      </c>
      <c r="S92" s="211" t="s">
        <v>0</v>
      </c>
      <c r="T92" s="31">
        <v>42794</v>
      </c>
      <c r="U92" s="211" t="s">
        <v>1292</v>
      </c>
      <c r="V92" s="40"/>
      <c r="W92" s="96"/>
      <c r="X92" s="31"/>
      <c r="Y92" s="96"/>
      <c r="Z92" s="40"/>
      <c r="AA92" s="86"/>
      <c r="AB92" s="31"/>
      <c r="AC92" s="86"/>
      <c r="AD92" s="40"/>
      <c r="AE92" s="86"/>
      <c r="AF92" s="31"/>
      <c r="AG92" s="86"/>
      <c r="AH92" s="40"/>
      <c r="AI92" s="126"/>
      <c r="AJ92" s="140" t="str">
        <f t="shared" si="10"/>
        <v/>
      </c>
      <c r="AM92" s="136"/>
      <c r="AN92" s="137" t="str">
        <f t="shared" si="11"/>
        <v/>
      </c>
    </row>
    <row r="93" spans="2:40" ht="204" customHeight="1">
      <c r="B93" s="51" t="s">
        <v>760</v>
      </c>
      <c r="C93" s="85" t="s">
        <v>759</v>
      </c>
      <c r="D93" s="85" t="s">
        <v>1196</v>
      </c>
      <c r="E93" s="85" t="s">
        <v>748</v>
      </c>
      <c r="F93" s="32" t="s">
        <v>1</v>
      </c>
      <c r="G93" s="28" t="s">
        <v>1251</v>
      </c>
      <c r="H93" s="28" t="s">
        <v>1252</v>
      </c>
      <c r="I93" s="85"/>
      <c r="J93" s="26" t="s">
        <v>79</v>
      </c>
      <c r="K93" s="90" t="s">
        <v>1212</v>
      </c>
      <c r="L93" s="28" t="s">
        <v>668</v>
      </c>
      <c r="M93" s="28" t="s">
        <v>0</v>
      </c>
      <c r="N93" s="28" t="s">
        <v>1235</v>
      </c>
      <c r="O93" s="193" t="s">
        <v>0</v>
      </c>
      <c r="P93" s="31">
        <v>42773</v>
      </c>
      <c r="Q93" s="193" t="s">
        <v>1292</v>
      </c>
      <c r="R93" s="193" t="s">
        <v>1291</v>
      </c>
      <c r="S93" s="211" t="s">
        <v>0</v>
      </c>
      <c r="T93" s="31">
        <v>42794</v>
      </c>
      <c r="U93" s="211" t="s">
        <v>1292</v>
      </c>
      <c r="V93" s="40"/>
      <c r="W93" s="96"/>
      <c r="X93" s="31"/>
      <c r="Y93" s="96"/>
      <c r="Z93" s="40"/>
      <c r="AA93" s="86"/>
      <c r="AB93" s="31"/>
      <c r="AC93" s="86"/>
      <c r="AD93" s="40"/>
      <c r="AE93" s="86"/>
      <c r="AF93" s="31"/>
      <c r="AG93" s="86"/>
      <c r="AH93" s="40"/>
      <c r="AI93" s="126"/>
      <c r="AJ93" s="140" t="str">
        <f t="shared" si="10"/>
        <v/>
      </c>
      <c r="AM93" s="136"/>
      <c r="AN93" s="137" t="str">
        <f t="shared" si="11"/>
        <v/>
      </c>
    </row>
    <row r="94" spans="2:40" ht="180">
      <c r="B94" s="51" t="s">
        <v>758</v>
      </c>
      <c r="C94" s="229" t="s">
        <v>757</v>
      </c>
      <c r="D94" s="85" t="s">
        <v>756</v>
      </c>
      <c r="E94" s="85" t="s">
        <v>748</v>
      </c>
      <c r="F94" s="32" t="s">
        <v>1</v>
      </c>
      <c r="G94" s="28" t="s">
        <v>1251</v>
      </c>
      <c r="H94" s="28" t="s">
        <v>1252</v>
      </c>
      <c r="I94" s="85"/>
      <c r="J94" s="26" t="s">
        <v>79</v>
      </c>
      <c r="K94" s="90" t="s">
        <v>1212</v>
      </c>
      <c r="L94" s="28" t="s">
        <v>668</v>
      </c>
      <c r="M94" s="28" t="s">
        <v>0</v>
      </c>
      <c r="N94" s="28" t="s">
        <v>1235</v>
      </c>
      <c r="O94" s="193" t="s">
        <v>0</v>
      </c>
      <c r="P94" s="31">
        <v>42773</v>
      </c>
      <c r="Q94" s="193" t="s">
        <v>1292</v>
      </c>
      <c r="R94" s="193" t="s">
        <v>1291</v>
      </c>
      <c r="S94" s="211" t="s">
        <v>0</v>
      </c>
      <c r="T94" s="31">
        <v>42794</v>
      </c>
      <c r="U94" s="211" t="s">
        <v>1292</v>
      </c>
      <c r="V94" s="40"/>
      <c r="W94" s="96"/>
      <c r="X94" s="31"/>
      <c r="Y94" s="96"/>
      <c r="Z94" s="40"/>
      <c r="AA94" s="86"/>
      <c r="AB94" s="31"/>
      <c r="AC94" s="86"/>
      <c r="AD94" s="40"/>
      <c r="AE94" s="86"/>
      <c r="AF94" s="31"/>
      <c r="AG94" s="86"/>
      <c r="AH94" s="40"/>
      <c r="AI94" s="126"/>
      <c r="AJ94" s="140" t="str">
        <f t="shared" si="10"/>
        <v/>
      </c>
      <c r="AM94" s="136"/>
      <c r="AN94" s="137" t="str">
        <f t="shared" si="11"/>
        <v/>
      </c>
    </row>
    <row r="95" spans="2:40" ht="180">
      <c r="B95" s="51" t="s">
        <v>755</v>
      </c>
      <c r="C95" s="229"/>
      <c r="D95" s="85" t="s">
        <v>754</v>
      </c>
      <c r="E95" s="85" t="s">
        <v>753</v>
      </c>
      <c r="F95" s="32" t="s">
        <v>1</v>
      </c>
      <c r="G95" s="28" t="s">
        <v>1251</v>
      </c>
      <c r="H95" s="28" t="s">
        <v>1252</v>
      </c>
      <c r="I95" s="85"/>
      <c r="J95" s="26" t="s">
        <v>79</v>
      </c>
      <c r="K95" s="90" t="s">
        <v>1212</v>
      </c>
      <c r="L95" s="28" t="s">
        <v>668</v>
      </c>
      <c r="M95" s="28" t="s">
        <v>0</v>
      </c>
      <c r="N95" s="28" t="s">
        <v>1235</v>
      </c>
      <c r="O95" s="193" t="s">
        <v>0</v>
      </c>
      <c r="P95" s="31">
        <v>42773</v>
      </c>
      <c r="Q95" s="193" t="s">
        <v>1292</v>
      </c>
      <c r="R95" s="193" t="s">
        <v>1291</v>
      </c>
      <c r="S95" s="211" t="s">
        <v>0</v>
      </c>
      <c r="T95" s="31">
        <v>42794</v>
      </c>
      <c r="U95" s="211" t="s">
        <v>1292</v>
      </c>
      <c r="V95" s="40"/>
      <c r="W95" s="96"/>
      <c r="X95" s="31"/>
      <c r="Y95" s="96"/>
      <c r="Z95" s="40"/>
      <c r="AA95" s="86"/>
      <c r="AB95" s="31"/>
      <c r="AC95" s="86"/>
      <c r="AD95" s="40"/>
      <c r="AE95" s="86"/>
      <c r="AF95" s="31"/>
      <c r="AG95" s="86"/>
      <c r="AH95" s="40"/>
      <c r="AI95" s="126"/>
      <c r="AJ95" s="140" t="str">
        <f t="shared" si="10"/>
        <v/>
      </c>
      <c r="AM95" s="136"/>
      <c r="AN95" s="137" t="str">
        <f t="shared" si="11"/>
        <v/>
      </c>
    </row>
    <row r="96" spans="2:40" ht="255">
      <c r="B96" s="51" t="s">
        <v>752</v>
      </c>
      <c r="C96" s="229"/>
      <c r="D96" s="85" t="s">
        <v>1197</v>
      </c>
      <c r="E96" s="85" t="s">
        <v>748</v>
      </c>
      <c r="F96" s="32" t="s">
        <v>1</v>
      </c>
      <c r="G96" s="28" t="s">
        <v>1251</v>
      </c>
      <c r="H96" s="28" t="s">
        <v>1252</v>
      </c>
      <c r="I96" s="85"/>
      <c r="J96" s="26" t="s">
        <v>79</v>
      </c>
      <c r="K96" s="90" t="s">
        <v>1212</v>
      </c>
      <c r="L96" s="28" t="s">
        <v>668</v>
      </c>
      <c r="M96" s="28" t="s">
        <v>0</v>
      </c>
      <c r="N96" s="28" t="s">
        <v>1235</v>
      </c>
      <c r="O96" s="193" t="s">
        <v>0</v>
      </c>
      <c r="P96" s="31">
        <v>42773</v>
      </c>
      <c r="Q96" s="193" t="s">
        <v>1292</v>
      </c>
      <c r="R96" s="193" t="s">
        <v>1291</v>
      </c>
      <c r="S96" s="211" t="s">
        <v>0</v>
      </c>
      <c r="T96" s="31">
        <v>42794</v>
      </c>
      <c r="U96" s="211" t="s">
        <v>1292</v>
      </c>
      <c r="V96" s="40"/>
      <c r="W96" s="96"/>
      <c r="X96" s="31"/>
      <c r="Y96" s="96"/>
      <c r="Z96" s="40"/>
      <c r="AA96" s="86"/>
      <c r="AB96" s="31"/>
      <c r="AC96" s="86"/>
      <c r="AD96" s="40"/>
      <c r="AE96" s="86"/>
      <c r="AF96" s="31"/>
      <c r="AG96" s="86"/>
      <c r="AH96" s="40"/>
      <c r="AI96" s="126"/>
      <c r="AJ96" s="140" t="str">
        <f t="shared" si="10"/>
        <v/>
      </c>
      <c r="AM96" s="136"/>
      <c r="AN96" s="137" t="str">
        <f t="shared" si="11"/>
        <v/>
      </c>
    </row>
    <row r="97" spans="2:40" ht="153" customHeight="1">
      <c r="B97" s="51" t="s">
        <v>751</v>
      </c>
      <c r="C97" s="85" t="s">
        <v>750</v>
      </c>
      <c r="D97" s="85" t="s">
        <v>749</v>
      </c>
      <c r="E97" s="85" t="s">
        <v>748</v>
      </c>
      <c r="F97" s="32" t="s">
        <v>1</v>
      </c>
      <c r="G97" s="28" t="s">
        <v>1251</v>
      </c>
      <c r="H97" s="28" t="s">
        <v>1252</v>
      </c>
      <c r="I97" s="85"/>
      <c r="J97" s="26" t="s">
        <v>79</v>
      </c>
      <c r="K97" s="90" t="s">
        <v>1212</v>
      </c>
      <c r="L97" s="28" t="s">
        <v>668</v>
      </c>
      <c r="M97" s="28" t="s">
        <v>0</v>
      </c>
      <c r="N97" s="28" t="s">
        <v>1235</v>
      </c>
      <c r="O97" s="193" t="s">
        <v>0</v>
      </c>
      <c r="P97" s="31">
        <v>42773</v>
      </c>
      <c r="Q97" s="193" t="s">
        <v>1292</v>
      </c>
      <c r="R97" s="193" t="s">
        <v>1291</v>
      </c>
      <c r="S97" s="211" t="s">
        <v>0</v>
      </c>
      <c r="T97" s="31">
        <v>42794</v>
      </c>
      <c r="U97" s="211" t="s">
        <v>1292</v>
      </c>
      <c r="V97" s="40"/>
      <c r="W97" s="96"/>
      <c r="X97" s="31"/>
      <c r="Y97" s="96"/>
      <c r="Z97" s="40"/>
      <c r="AA97" s="86"/>
      <c r="AB97" s="31"/>
      <c r="AC97" s="86"/>
      <c r="AD97" s="40"/>
      <c r="AE97" s="86"/>
      <c r="AF97" s="31"/>
      <c r="AG97" s="86"/>
      <c r="AH97" s="40"/>
      <c r="AI97" s="126"/>
      <c r="AJ97" s="140" t="str">
        <f t="shared" si="10"/>
        <v/>
      </c>
      <c r="AM97" s="136"/>
      <c r="AN97" s="137" t="str">
        <f t="shared" si="11"/>
        <v/>
      </c>
    </row>
    <row r="98" spans="2:40">
      <c r="B98" s="22" t="s">
        <v>747</v>
      </c>
      <c r="C98" s="22"/>
      <c r="D98" s="22"/>
      <c r="E98" s="22"/>
      <c r="F98" s="24"/>
      <c r="G98" s="24"/>
      <c r="H98" s="24"/>
      <c r="I98" s="22"/>
      <c r="J98" s="22"/>
      <c r="K98" s="22"/>
      <c r="L98" s="24" t="s">
        <v>103</v>
      </c>
      <c r="M98" s="22"/>
      <c r="N98" s="22"/>
      <c r="O98" s="36"/>
      <c r="P98" s="36"/>
      <c r="Q98" s="36"/>
      <c r="R98" s="36"/>
      <c r="S98" s="36"/>
      <c r="T98" s="36"/>
      <c r="U98" s="36"/>
      <c r="V98" s="36"/>
      <c r="W98" s="36"/>
      <c r="X98" s="36"/>
      <c r="Y98" s="36"/>
      <c r="Z98" s="36"/>
      <c r="AA98" s="36"/>
      <c r="AB98" s="36"/>
      <c r="AC98" s="36"/>
      <c r="AD98" s="36"/>
      <c r="AE98" s="36"/>
      <c r="AF98" s="36"/>
      <c r="AG98" s="36"/>
      <c r="AH98" s="36"/>
      <c r="AI98" s="126"/>
      <c r="AJ98" s="140" t="str">
        <f t="shared" si="10"/>
        <v/>
      </c>
      <c r="AM98" s="136"/>
      <c r="AN98" s="137" t="str">
        <f t="shared" si="11"/>
        <v/>
      </c>
    </row>
    <row r="99" spans="2:40" ht="75">
      <c r="B99" s="51" t="s">
        <v>746</v>
      </c>
      <c r="C99" s="229" t="s">
        <v>745</v>
      </c>
      <c r="D99" s="85" t="s">
        <v>744</v>
      </c>
      <c r="E99" s="85" t="s">
        <v>736</v>
      </c>
      <c r="F99" s="32" t="s">
        <v>1</v>
      </c>
      <c r="G99" s="28" t="s">
        <v>1251</v>
      </c>
      <c r="H99" s="28" t="s">
        <v>1252</v>
      </c>
      <c r="I99" s="85"/>
      <c r="J99" s="26" t="s">
        <v>79</v>
      </c>
      <c r="K99" s="90" t="s">
        <v>1212</v>
      </c>
      <c r="L99" s="28" t="s">
        <v>655</v>
      </c>
      <c r="M99" s="28" t="s">
        <v>0</v>
      </c>
      <c r="N99" s="28" t="s">
        <v>1235</v>
      </c>
      <c r="O99" s="193" t="s">
        <v>0</v>
      </c>
      <c r="P99" s="31">
        <v>42773</v>
      </c>
      <c r="Q99" s="193" t="s">
        <v>1292</v>
      </c>
      <c r="R99" s="193" t="s">
        <v>1291</v>
      </c>
      <c r="S99" s="211" t="s">
        <v>0</v>
      </c>
      <c r="T99" s="31">
        <v>42794</v>
      </c>
      <c r="U99" s="211" t="s">
        <v>1292</v>
      </c>
      <c r="V99" s="40"/>
      <c r="W99" s="96"/>
      <c r="X99" s="31"/>
      <c r="Y99" s="96"/>
      <c r="Z99" s="40"/>
      <c r="AA99" s="86"/>
      <c r="AB99" s="31"/>
      <c r="AC99" s="86"/>
      <c r="AD99" s="40"/>
      <c r="AE99" s="86"/>
      <c r="AF99" s="31"/>
      <c r="AG99" s="86"/>
      <c r="AH99" s="40"/>
      <c r="AI99" s="126"/>
      <c r="AJ99" s="140" t="str">
        <f t="shared" si="10"/>
        <v/>
      </c>
      <c r="AM99" s="136"/>
      <c r="AN99" s="137" t="str">
        <f t="shared" si="11"/>
        <v/>
      </c>
    </row>
    <row r="100" spans="2:40" ht="45">
      <c r="B100" s="51" t="s">
        <v>743</v>
      </c>
      <c r="C100" s="229"/>
      <c r="D100" s="85" t="s">
        <v>742</v>
      </c>
      <c r="E100" s="85" t="s">
        <v>733</v>
      </c>
      <c r="F100" s="32" t="s">
        <v>1</v>
      </c>
      <c r="G100" s="28" t="s">
        <v>1251</v>
      </c>
      <c r="H100" s="28" t="s">
        <v>1252</v>
      </c>
      <c r="I100" s="85"/>
      <c r="J100" s="26" t="s">
        <v>79</v>
      </c>
      <c r="K100" s="90" t="s">
        <v>1212</v>
      </c>
      <c r="L100" s="28" t="s">
        <v>655</v>
      </c>
      <c r="M100" s="28" t="s">
        <v>0</v>
      </c>
      <c r="N100" s="28" t="s">
        <v>1235</v>
      </c>
      <c r="O100" s="193" t="s">
        <v>0</v>
      </c>
      <c r="P100" s="31">
        <v>42773</v>
      </c>
      <c r="Q100" s="193" t="s">
        <v>1292</v>
      </c>
      <c r="R100" s="193" t="s">
        <v>1291</v>
      </c>
      <c r="S100" s="211" t="s">
        <v>0</v>
      </c>
      <c r="T100" s="31">
        <v>42794</v>
      </c>
      <c r="U100" s="211" t="s">
        <v>1292</v>
      </c>
      <c r="V100" s="40"/>
      <c r="W100" s="96"/>
      <c r="X100" s="31"/>
      <c r="Y100" s="96"/>
      <c r="Z100" s="40"/>
      <c r="AA100" s="86"/>
      <c r="AB100" s="31"/>
      <c r="AC100" s="86"/>
      <c r="AD100" s="40"/>
      <c r="AE100" s="86"/>
      <c r="AF100" s="31"/>
      <c r="AG100" s="86"/>
      <c r="AH100" s="40"/>
      <c r="AI100" s="126"/>
      <c r="AJ100" s="140" t="str">
        <f t="shared" si="10"/>
        <v/>
      </c>
      <c r="AM100" s="136"/>
      <c r="AN100" s="137" t="str">
        <f t="shared" si="11"/>
        <v/>
      </c>
    </row>
    <row r="101" spans="2:40" ht="45">
      <c r="B101" s="51" t="s">
        <v>741</v>
      </c>
      <c r="C101" s="229"/>
      <c r="D101" s="85" t="s">
        <v>740</v>
      </c>
      <c r="E101" s="85" t="s">
        <v>730</v>
      </c>
      <c r="F101" s="32" t="s">
        <v>1</v>
      </c>
      <c r="G101" s="28" t="s">
        <v>1251</v>
      </c>
      <c r="H101" s="28" t="s">
        <v>1252</v>
      </c>
      <c r="I101" s="85"/>
      <c r="J101" s="26" t="s">
        <v>79</v>
      </c>
      <c r="K101" s="90" t="s">
        <v>1212</v>
      </c>
      <c r="L101" s="28" t="s">
        <v>655</v>
      </c>
      <c r="M101" s="28" t="s">
        <v>0</v>
      </c>
      <c r="N101" s="28" t="s">
        <v>1235</v>
      </c>
      <c r="O101" s="193" t="s">
        <v>0</v>
      </c>
      <c r="P101" s="31">
        <v>42773</v>
      </c>
      <c r="Q101" s="193" t="s">
        <v>1292</v>
      </c>
      <c r="R101" s="193" t="s">
        <v>1291</v>
      </c>
      <c r="S101" s="211" t="s">
        <v>0</v>
      </c>
      <c r="T101" s="31">
        <v>42794</v>
      </c>
      <c r="U101" s="211" t="s">
        <v>1292</v>
      </c>
      <c r="V101" s="40"/>
      <c r="W101" s="96"/>
      <c r="X101" s="31"/>
      <c r="Y101" s="96"/>
      <c r="Z101" s="40"/>
      <c r="AA101" s="86"/>
      <c r="AB101" s="31"/>
      <c r="AC101" s="86"/>
      <c r="AD101" s="40"/>
      <c r="AE101" s="86"/>
      <c r="AF101" s="31"/>
      <c r="AG101" s="86"/>
      <c r="AH101" s="40"/>
      <c r="AI101" s="126"/>
      <c r="AJ101" s="140" t="str">
        <f t="shared" si="10"/>
        <v/>
      </c>
      <c r="AM101" s="136"/>
      <c r="AN101" s="137" t="str">
        <f t="shared" si="11"/>
        <v/>
      </c>
    </row>
    <row r="102" spans="2:40" ht="75">
      <c r="B102" s="51" t="s">
        <v>739</v>
      </c>
      <c r="C102" s="229" t="s">
        <v>738</v>
      </c>
      <c r="D102" s="85" t="s">
        <v>737</v>
      </c>
      <c r="E102" s="85" t="s">
        <v>736</v>
      </c>
      <c r="F102" s="32" t="s">
        <v>1</v>
      </c>
      <c r="G102" s="28" t="s">
        <v>1251</v>
      </c>
      <c r="H102" s="28" t="s">
        <v>1252</v>
      </c>
      <c r="I102" s="85"/>
      <c r="J102" s="26" t="s">
        <v>79</v>
      </c>
      <c r="K102" s="90" t="s">
        <v>1212</v>
      </c>
      <c r="L102" s="28" t="s">
        <v>655</v>
      </c>
      <c r="M102" s="28" t="s">
        <v>0</v>
      </c>
      <c r="N102" s="28" t="s">
        <v>1235</v>
      </c>
      <c r="O102" s="193" t="s">
        <v>0</v>
      </c>
      <c r="P102" s="31">
        <v>42773</v>
      </c>
      <c r="Q102" s="193" t="s">
        <v>1292</v>
      </c>
      <c r="R102" s="193" t="s">
        <v>1291</v>
      </c>
      <c r="S102" s="211" t="s">
        <v>0</v>
      </c>
      <c r="T102" s="31">
        <v>42794</v>
      </c>
      <c r="U102" s="211" t="s">
        <v>1292</v>
      </c>
      <c r="V102" s="40"/>
      <c r="W102" s="96"/>
      <c r="X102" s="31"/>
      <c r="Y102" s="96"/>
      <c r="Z102" s="40"/>
      <c r="AA102" s="86"/>
      <c r="AB102" s="31"/>
      <c r="AC102" s="86"/>
      <c r="AD102" s="40"/>
      <c r="AE102" s="86"/>
      <c r="AF102" s="31"/>
      <c r="AG102" s="86"/>
      <c r="AH102" s="40"/>
      <c r="AI102" s="126"/>
      <c r="AJ102" s="140" t="str">
        <f t="shared" si="10"/>
        <v/>
      </c>
      <c r="AM102" s="136"/>
      <c r="AN102" s="137" t="str">
        <f t="shared" si="11"/>
        <v/>
      </c>
    </row>
    <row r="103" spans="2:40" ht="60">
      <c r="B103" s="51" t="s">
        <v>735</v>
      </c>
      <c r="C103" s="229"/>
      <c r="D103" s="85" t="s">
        <v>734</v>
      </c>
      <c r="E103" s="85" t="s">
        <v>733</v>
      </c>
      <c r="F103" s="32" t="s">
        <v>1</v>
      </c>
      <c r="G103" s="28" t="s">
        <v>1251</v>
      </c>
      <c r="H103" s="28" t="s">
        <v>1252</v>
      </c>
      <c r="I103" s="85"/>
      <c r="J103" s="26" t="s">
        <v>79</v>
      </c>
      <c r="K103" s="90" t="s">
        <v>1212</v>
      </c>
      <c r="L103" s="28" t="s">
        <v>655</v>
      </c>
      <c r="M103" s="28" t="s">
        <v>0</v>
      </c>
      <c r="N103" s="28" t="s">
        <v>1235</v>
      </c>
      <c r="O103" s="193" t="s">
        <v>0</v>
      </c>
      <c r="P103" s="31">
        <v>42773</v>
      </c>
      <c r="Q103" s="193" t="s">
        <v>1292</v>
      </c>
      <c r="R103" s="193" t="s">
        <v>1291</v>
      </c>
      <c r="S103" s="211" t="s">
        <v>0</v>
      </c>
      <c r="T103" s="31">
        <v>42794</v>
      </c>
      <c r="U103" s="211" t="s">
        <v>1292</v>
      </c>
      <c r="V103" s="40"/>
      <c r="W103" s="96"/>
      <c r="X103" s="31"/>
      <c r="Y103" s="96"/>
      <c r="Z103" s="40"/>
      <c r="AA103" s="86"/>
      <c r="AB103" s="31"/>
      <c r="AC103" s="86"/>
      <c r="AD103" s="40"/>
      <c r="AE103" s="86"/>
      <c r="AF103" s="31"/>
      <c r="AG103" s="86"/>
      <c r="AH103" s="40"/>
      <c r="AI103" s="126"/>
      <c r="AJ103" s="140" t="str">
        <f t="shared" si="10"/>
        <v/>
      </c>
      <c r="AM103" s="136"/>
      <c r="AN103" s="137" t="str">
        <f t="shared" si="11"/>
        <v/>
      </c>
    </row>
    <row r="104" spans="2:40" ht="60">
      <c r="B104" s="51" t="s">
        <v>732</v>
      </c>
      <c r="C104" s="229"/>
      <c r="D104" s="85" t="s">
        <v>731</v>
      </c>
      <c r="E104" s="85" t="s">
        <v>730</v>
      </c>
      <c r="F104" s="32" t="s">
        <v>1</v>
      </c>
      <c r="G104" s="28" t="s">
        <v>1251</v>
      </c>
      <c r="H104" s="28" t="s">
        <v>1252</v>
      </c>
      <c r="I104" s="85"/>
      <c r="J104" s="26" t="s">
        <v>79</v>
      </c>
      <c r="K104" s="90" t="s">
        <v>1212</v>
      </c>
      <c r="L104" s="28" t="s">
        <v>655</v>
      </c>
      <c r="M104" s="28" t="s">
        <v>0</v>
      </c>
      <c r="N104" s="28" t="s">
        <v>1235</v>
      </c>
      <c r="O104" s="193" t="s">
        <v>0</v>
      </c>
      <c r="P104" s="31">
        <v>42773</v>
      </c>
      <c r="Q104" s="193" t="s">
        <v>1292</v>
      </c>
      <c r="R104" s="193" t="s">
        <v>1291</v>
      </c>
      <c r="S104" s="211" t="s">
        <v>0</v>
      </c>
      <c r="T104" s="31">
        <v>42794</v>
      </c>
      <c r="U104" s="211" t="s">
        <v>1292</v>
      </c>
      <c r="V104" s="40"/>
      <c r="W104" s="96"/>
      <c r="X104" s="31"/>
      <c r="Y104" s="96"/>
      <c r="Z104" s="40"/>
      <c r="AA104" s="86"/>
      <c r="AB104" s="31"/>
      <c r="AC104" s="86"/>
      <c r="AD104" s="40"/>
      <c r="AE104" s="86"/>
      <c r="AF104" s="31"/>
      <c r="AG104" s="86"/>
      <c r="AH104" s="40"/>
      <c r="AI104" s="126"/>
      <c r="AJ104" s="140" t="str">
        <f t="shared" si="10"/>
        <v/>
      </c>
      <c r="AM104" s="136"/>
      <c r="AN104" s="137" t="str">
        <f t="shared" si="11"/>
        <v/>
      </c>
    </row>
    <row r="105" spans="2:40">
      <c r="B105" s="22" t="s">
        <v>729</v>
      </c>
      <c r="C105" s="22"/>
      <c r="D105" s="22"/>
      <c r="E105" s="22"/>
      <c r="F105" s="24"/>
      <c r="G105" s="24"/>
      <c r="H105" s="24"/>
      <c r="I105" s="22"/>
      <c r="J105" s="22"/>
      <c r="K105" s="22"/>
      <c r="L105" s="24" t="s">
        <v>103</v>
      </c>
      <c r="M105" s="22"/>
      <c r="N105" s="22"/>
      <c r="O105" s="36"/>
      <c r="P105" s="36"/>
      <c r="Q105" s="36"/>
      <c r="R105" s="36"/>
      <c r="S105" s="36"/>
      <c r="T105" s="36"/>
      <c r="U105" s="36"/>
      <c r="V105" s="36"/>
      <c r="W105" s="36"/>
      <c r="X105" s="36"/>
      <c r="Y105" s="36"/>
      <c r="Z105" s="36"/>
      <c r="AA105" s="36"/>
      <c r="AB105" s="36"/>
      <c r="AC105" s="36"/>
      <c r="AD105" s="36"/>
      <c r="AE105" s="36"/>
      <c r="AF105" s="36"/>
      <c r="AG105" s="36"/>
      <c r="AH105" s="36"/>
      <c r="AI105" s="126"/>
      <c r="AJ105" s="140" t="str">
        <f t="shared" si="10"/>
        <v/>
      </c>
      <c r="AM105" s="136"/>
      <c r="AN105" s="137" t="str">
        <f t="shared" si="11"/>
        <v/>
      </c>
    </row>
    <row r="106" spans="2:40" ht="90">
      <c r="B106" s="51" t="s">
        <v>728</v>
      </c>
      <c r="C106" s="229" t="s">
        <v>727</v>
      </c>
      <c r="D106" s="85" t="s">
        <v>1198</v>
      </c>
      <c r="E106" s="85" t="s">
        <v>725</v>
      </c>
      <c r="F106" s="32" t="s">
        <v>1</v>
      </c>
      <c r="G106" s="28" t="s">
        <v>1251</v>
      </c>
      <c r="H106" s="28" t="s">
        <v>1252</v>
      </c>
      <c r="I106" s="85"/>
      <c r="J106" s="26" t="s">
        <v>79</v>
      </c>
      <c r="K106" s="90" t="s">
        <v>1212</v>
      </c>
      <c r="L106" s="28" t="s">
        <v>668</v>
      </c>
      <c r="M106" s="28" t="s">
        <v>0</v>
      </c>
      <c r="N106" s="28" t="s">
        <v>1235</v>
      </c>
      <c r="O106" s="193" t="s">
        <v>0</v>
      </c>
      <c r="P106" s="31">
        <v>42773</v>
      </c>
      <c r="Q106" s="193" t="s">
        <v>1292</v>
      </c>
      <c r="R106" s="193" t="s">
        <v>1291</v>
      </c>
      <c r="S106" s="211" t="s">
        <v>0</v>
      </c>
      <c r="T106" s="31">
        <v>42794</v>
      </c>
      <c r="U106" s="211" t="s">
        <v>1292</v>
      </c>
      <c r="V106" s="40"/>
      <c r="W106" s="96"/>
      <c r="X106" s="31"/>
      <c r="Y106" s="96"/>
      <c r="Z106" s="40"/>
      <c r="AA106" s="86"/>
      <c r="AB106" s="31"/>
      <c r="AC106" s="86"/>
      <c r="AD106" s="40"/>
      <c r="AE106" s="86"/>
      <c r="AF106" s="31"/>
      <c r="AG106" s="86"/>
      <c r="AH106" s="40"/>
      <c r="AI106" s="126"/>
      <c r="AJ106" s="140" t="str">
        <f t="shared" si="10"/>
        <v/>
      </c>
      <c r="AM106" s="136"/>
      <c r="AN106" s="137" t="str">
        <f t="shared" si="11"/>
        <v/>
      </c>
    </row>
    <row r="107" spans="2:40" ht="118.15" customHeight="1">
      <c r="B107" s="51" t="s">
        <v>726</v>
      </c>
      <c r="C107" s="229"/>
      <c r="D107" s="85" t="s">
        <v>1199</v>
      </c>
      <c r="E107" s="85" t="s">
        <v>725</v>
      </c>
      <c r="F107" s="32" t="s">
        <v>1</v>
      </c>
      <c r="G107" s="28" t="s">
        <v>1251</v>
      </c>
      <c r="H107" s="28" t="s">
        <v>1252</v>
      </c>
      <c r="I107" s="85"/>
      <c r="J107" s="26" t="s">
        <v>79</v>
      </c>
      <c r="K107" s="90" t="s">
        <v>1212</v>
      </c>
      <c r="L107" s="28" t="s">
        <v>668</v>
      </c>
      <c r="M107" s="28" t="s">
        <v>0</v>
      </c>
      <c r="N107" s="28" t="s">
        <v>1235</v>
      </c>
      <c r="O107" s="193" t="s">
        <v>0</v>
      </c>
      <c r="P107" s="31">
        <v>42773</v>
      </c>
      <c r="Q107" s="193" t="s">
        <v>1292</v>
      </c>
      <c r="R107" s="193" t="s">
        <v>1291</v>
      </c>
      <c r="S107" s="211" t="s">
        <v>0</v>
      </c>
      <c r="T107" s="31">
        <v>42794</v>
      </c>
      <c r="U107" s="211" t="s">
        <v>1292</v>
      </c>
      <c r="V107" s="40"/>
      <c r="W107" s="96"/>
      <c r="X107" s="31"/>
      <c r="Y107" s="96"/>
      <c r="Z107" s="40"/>
      <c r="AA107" s="86"/>
      <c r="AB107" s="31"/>
      <c r="AC107" s="86"/>
      <c r="AD107" s="40"/>
      <c r="AE107" s="86"/>
      <c r="AF107" s="31"/>
      <c r="AG107" s="86"/>
      <c r="AH107" s="40"/>
      <c r="AI107" s="126"/>
      <c r="AJ107" s="140" t="str">
        <f t="shared" si="10"/>
        <v/>
      </c>
      <c r="AM107" s="136"/>
      <c r="AN107" s="137" t="str">
        <f t="shared" si="11"/>
        <v/>
      </c>
    </row>
    <row r="108" spans="2:40">
      <c r="B108" s="22" t="s">
        <v>724</v>
      </c>
      <c r="C108" s="22"/>
      <c r="D108" s="22"/>
      <c r="E108" s="22"/>
      <c r="F108" s="24"/>
      <c r="G108" s="24"/>
      <c r="H108" s="24"/>
      <c r="I108" s="22"/>
      <c r="J108" s="22"/>
      <c r="K108" s="22"/>
      <c r="L108" s="24" t="s">
        <v>103</v>
      </c>
      <c r="M108" s="22"/>
      <c r="N108" s="22"/>
      <c r="O108" s="36"/>
      <c r="P108" s="36"/>
      <c r="Q108" s="36"/>
      <c r="R108" s="36"/>
      <c r="S108" s="36"/>
      <c r="T108" s="36"/>
      <c r="U108" s="36"/>
      <c r="V108" s="36"/>
      <c r="W108" s="36"/>
      <c r="X108" s="36"/>
      <c r="Y108" s="36"/>
      <c r="Z108" s="36"/>
      <c r="AA108" s="36"/>
      <c r="AB108" s="36"/>
      <c r="AC108" s="36"/>
      <c r="AD108" s="36"/>
      <c r="AE108" s="36"/>
      <c r="AF108" s="36"/>
      <c r="AG108" s="36"/>
      <c r="AH108" s="36"/>
      <c r="AI108" s="126"/>
      <c r="AJ108" s="140" t="str">
        <f t="shared" si="10"/>
        <v/>
      </c>
      <c r="AM108" s="136"/>
      <c r="AN108" s="137" t="str">
        <f t="shared" si="11"/>
        <v/>
      </c>
    </row>
    <row r="109" spans="2:40" ht="75">
      <c r="B109" s="51" t="s">
        <v>723</v>
      </c>
      <c r="C109" s="85"/>
      <c r="D109" s="85" t="s">
        <v>722</v>
      </c>
      <c r="E109" s="85" t="s">
        <v>717</v>
      </c>
      <c r="F109" s="32" t="s">
        <v>1</v>
      </c>
      <c r="G109" s="28" t="s">
        <v>1251</v>
      </c>
      <c r="H109" s="28" t="s">
        <v>1252</v>
      </c>
      <c r="I109" s="85"/>
      <c r="J109" s="26" t="s">
        <v>79</v>
      </c>
      <c r="K109" s="90" t="s">
        <v>1212</v>
      </c>
      <c r="L109" s="28" t="s">
        <v>655</v>
      </c>
      <c r="M109" s="28" t="s">
        <v>0</v>
      </c>
      <c r="N109" s="28" t="s">
        <v>1235</v>
      </c>
      <c r="O109" s="193" t="s">
        <v>0</v>
      </c>
      <c r="P109" s="31">
        <v>42773</v>
      </c>
      <c r="Q109" s="193" t="s">
        <v>1292</v>
      </c>
      <c r="R109" s="193" t="s">
        <v>1291</v>
      </c>
      <c r="S109" s="211" t="s">
        <v>0</v>
      </c>
      <c r="T109" s="31">
        <v>42794</v>
      </c>
      <c r="U109" s="211" t="s">
        <v>1292</v>
      </c>
      <c r="V109" s="40"/>
      <c r="W109" s="96"/>
      <c r="X109" s="31"/>
      <c r="Y109" s="96"/>
      <c r="Z109" s="40"/>
      <c r="AA109" s="86"/>
      <c r="AB109" s="31"/>
      <c r="AC109" s="86"/>
      <c r="AD109" s="40"/>
      <c r="AE109" s="86"/>
      <c r="AF109" s="31"/>
      <c r="AG109" s="86"/>
      <c r="AH109" s="40"/>
      <c r="AI109" s="126"/>
      <c r="AJ109" s="140" t="str">
        <f t="shared" si="10"/>
        <v/>
      </c>
      <c r="AM109" s="136"/>
      <c r="AN109" s="137" t="str">
        <f t="shared" si="11"/>
        <v/>
      </c>
    </row>
    <row r="110" spans="2:40" ht="75">
      <c r="B110" s="51" t="s">
        <v>721</v>
      </c>
      <c r="C110" s="85"/>
      <c r="D110" s="85" t="s">
        <v>720</v>
      </c>
      <c r="E110" s="85" t="s">
        <v>712</v>
      </c>
      <c r="F110" s="32" t="s">
        <v>1</v>
      </c>
      <c r="G110" s="28" t="s">
        <v>1251</v>
      </c>
      <c r="H110" s="28" t="s">
        <v>1252</v>
      </c>
      <c r="I110" s="85"/>
      <c r="J110" s="26" t="s">
        <v>79</v>
      </c>
      <c r="K110" s="90" t="s">
        <v>1212</v>
      </c>
      <c r="L110" s="28" t="s">
        <v>655</v>
      </c>
      <c r="M110" s="28" t="s">
        <v>0</v>
      </c>
      <c r="N110" s="28" t="s">
        <v>1235</v>
      </c>
      <c r="O110" s="193" t="s">
        <v>0</v>
      </c>
      <c r="P110" s="31">
        <v>42773</v>
      </c>
      <c r="Q110" s="193" t="s">
        <v>1292</v>
      </c>
      <c r="R110" s="193" t="s">
        <v>1291</v>
      </c>
      <c r="S110" s="211" t="s">
        <v>0</v>
      </c>
      <c r="T110" s="31">
        <v>42794</v>
      </c>
      <c r="U110" s="211" t="s">
        <v>1292</v>
      </c>
      <c r="V110" s="40"/>
      <c r="W110" s="96"/>
      <c r="X110" s="31"/>
      <c r="Y110" s="96"/>
      <c r="Z110" s="40"/>
      <c r="AA110" s="86"/>
      <c r="AB110" s="31"/>
      <c r="AC110" s="86"/>
      <c r="AD110" s="40"/>
      <c r="AE110" s="86"/>
      <c r="AF110" s="31"/>
      <c r="AG110" s="86"/>
      <c r="AH110" s="40"/>
      <c r="AI110" s="126"/>
      <c r="AJ110" s="140" t="str">
        <f t="shared" si="10"/>
        <v/>
      </c>
      <c r="AM110" s="136"/>
      <c r="AN110" s="137" t="str">
        <f t="shared" si="11"/>
        <v/>
      </c>
    </row>
    <row r="111" spans="2:40" ht="75">
      <c r="B111" s="51" t="s">
        <v>719</v>
      </c>
      <c r="C111" s="85"/>
      <c r="D111" s="85" t="s">
        <v>718</v>
      </c>
      <c r="E111" s="85" t="s">
        <v>717</v>
      </c>
      <c r="F111" s="32" t="s">
        <v>1</v>
      </c>
      <c r="G111" s="28" t="s">
        <v>1251</v>
      </c>
      <c r="H111" s="28" t="s">
        <v>1252</v>
      </c>
      <c r="I111" s="85"/>
      <c r="J111" s="26" t="s">
        <v>79</v>
      </c>
      <c r="K111" s="90" t="s">
        <v>1212</v>
      </c>
      <c r="L111" s="28" t="s">
        <v>668</v>
      </c>
      <c r="M111" s="28" t="s">
        <v>0</v>
      </c>
      <c r="N111" s="28" t="s">
        <v>1235</v>
      </c>
      <c r="O111" s="193" t="s">
        <v>0</v>
      </c>
      <c r="P111" s="31">
        <v>42773</v>
      </c>
      <c r="Q111" s="193" t="s">
        <v>1292</v>
      </c>
      <c r="R111" s="193" t="s">
        <v>1291</v>
      </c>
      <c r="S111" s="211" t="s">
        <v>0</v>
      </c>
      <c r="T111" s="31">
        <v>42794</v>
      </c>
      <c r="U111" s="211" t="s">
        <v>1292</v>
      </c>
      <c r="V111" s="40"/>
      <c r="W111" s="96"/>
      <c r="X111" s="31"/>
      <c r="Y111" s="96"/>
      <c r="Z111" s="40"/>
      <c r="AA111" s="86"/>
      <c r="AB111" s="31"/>
      <c r="AC111" s="86"/>
      <c r="AD111" s="40"/>
      <c r="AE111" s="86"/>
      <c r="AF111" s="31"/>
      <c r="AG111" s="86"/>
      <c r="AH111" s="40"/>
      <c r="AI111" s="126"/>
      <c r="AJ111" s="140" t="str">
        <f t="shared" si="10"/>
        <v/>
      </c>
      <c r="AM111" s="136"/>
      <c r="AN111" s="137" t="str">
        <f t="shared" si="11"/>
        <v/>
      </c>
    </row>
    <row r="112" spans="2:40" ht="75">
      <c r="B112" s="51" t="s">
        <v>716</v>
      </c>
      <c r="C112" s="85"/>
      <c r="D112" s="85" t="s">
        <v>715</v>
      </c>
      <c r="E112" s="85" t="s">
        <v>712</v>
      </c>
      <c r="F112" s="32" t="s">
        <v>1</v>
      </c>
      <c r="G112" s="28" t="s">
        <v>1251</v>
      </c>
      <c r="H112" s="28" t="s">
        <v>1252</v>
      </c>
      <c r="I112" s="85"/>
      <c r="J112" s="26" t="s">
        <v>79</v>
      </c>
      <c r="K112" s="90" t="s">
        <v>1212</v>
      </c>
      <c r="L112" s="28" t="s">
        <v>668</v>
      </c>
      <c r="M112" s="28" t="s">
        <v>0</v>
      </c>
      <c r="N112" s="28" t="s">
        <v>1235</v>
      </c>
      <c r="O112" s="193" t="s">
        <v>0</v>
      </c>
      <c r="P112" s="31">
        <v>42773</v>
      </c>
      <c r="Q112" s="193" t="s">
        <v>1292</v>
      </c>
      <c r="R112" s="193" t="s">
        <v>1291</v>
      </c>
      <c r="S112" s="211" t="s">
        <v>0</v>
      </c>
      <c r="T112" s="31">
        <v>42794</v>
      </c>
      <c r="U112" s="211" t="s">
        <v>1292</v>
      </c>
      <c r="V112" s="40"/>
      <c r="W112" s="96"/>
      <c r="X112" s="31"/>
      <c r="Y112" s="96"/>
      <c r="Z112" s="40"/>
      <c r="AA112" s="86"/>
      <c r="AB112" s="31"/>
      <c r="AC112" s="86"/>
      <c r="AD112" s="40"/>
      <c r="AE112" s="86"/>
      <c r="AF112" s="31"/>
      <c r="AG112" s="86"/>
      <c r="AH112" s="40"/>
      <c r="AI112" s="126"/>
      <c r="AJ112" s="140" t="str">
        <f t="shared" si="10"/>
        <v/>
      </c>
      <c r="AM112" s="136"/>
      <c r="AN112" s="137" t="str">
        <f t="shared" si="11"/>
        <v/>
      </c>
    </row>
    <row r="113" spans="1:44" ht="75">
      <c r="B113" s="51" t="s">
        <v>714</v>
      </c>
      <c r="C113" s="85"/>
      <c r="D113" s="85" t="s">
        <v>713</v>
      </c>
      <c r="E113" s="85" t="s">
        <v>712</v>
      </c>
      <c r="F113" s="32" t="s">
        <v>1</v>
      </c>
      <c r="G113" s="28" t="s">
        <v>1251</v>
      </c>
      <c r="H113" s="28" t="s">
        <v>1252</v>
      </c>
      <c r="I113" s="85"/>
      <c r="J113" s="26" t="s">
        <v>79</v>
      </c>
      <c r="K113" s="90" t="s">
        <v>1212</v>
      </c>
      <c r="L113" s="28" t="s">
        <v>668</v>
      </c>
      <c r="M113" s="28" t="s">
        <v>0</v>
      </c>
      <c r="N113" s="28" t="s">
        <v>1235</v>
      </c>
      <c r="O113" s="193" t="s">
        <v>0</v>
      </c>
      <c r="P113" s="31">
        <v>42773</v>
      </c>
      <c r="Q113" s="193" t="s">
        <v>1292</v>
      </c>
      <c r="R113" s="193" t="s">
        <v>1291</v>
      </c>
      <c r="S113" s="211" t="s">
        <v>0</v>
      </c>
      <c r="T113" s="31">
        <v>42794</v>
      </c>
      <c r="U113" s="211" t="s">
        <v>1292</v>
      </c>
      <c r="V113" s="40"/>
      <c r="W113" s="96"/>
      <c r="X113" s="31"/>
      <c r="Y113" s="96"/>
      <c r="Z113" s="40"/>
      <c r="AA113" s="86"/>
      <c r="AB113" s="31"/>
      <c r="AC113" s="86"/>
      <c r="AD113" s="40"/>
      <c r="AE113" s="86"/>
      <c r="AF113" s="31"/>
      <c r="AG113" s="86"/>
      <c r="AH113" s="40"/>
      <c r="AI113" s="126"/>
      <c r="AJ113" s="140" t="str">
        <f t="shared" si="10"/>
        <v/>
      </c>
      <c r="AM113" s="136"/>
      <c r="AN113" s="137" t="str">
        <f t="shared" si="11"/>
        <v/>
      </c>
    </row>
    <row r="114" spans="1:44" ht="120">
      <c r="B114" s="51" t="s">
        <v>711</v>
      </c>
      <c r="C114" s="85"/>
      <c r="D114" s="85" t="s">
        <v>710</v>
      </c>
      <c r="E114" s="85" t="s">
        <v>709</v>
      </c>
      <c r="F114" s="32" t="s">
        <v>1</v>
      </c>
      <c r="G114" s="28" t="s">
        <v>1251</v>
      </c>
      <c r="H114" s="28" t="s">
        <v>1252</v>
      </c>
      <c r="I114" s="85" t="s">
        <v>708</v>
      </c>
      <c r="J114" s="26" t="s">
        <v>79</v>
      </c>
      <c r="K114" s="90" t="s">
        <v>1212</v>
      </c>
      <c r="L114" s="28" t="s">
        <v>655</v>
      </c>
      <c r="M114" s="28" t="s">
        <v>0</v>
      </c>
      <c r="N114" s="28" t="s">
        <v>1235</v>
      </c>
      <c r="O114" s="193" t="s">
        <v>0</v>
      </c>
      <c r="P114" s="31">
        <v>42773</v>
      </c>
      <c r="Q114" s="193" t="s">
        <v>1292</v>
      </c>
      <c r="R114" s="193" t="s">
        <v>1291</v>
      </c>
      <c r="S114" s="211" t="s">
        <v>0</v>
      </c>
      <c r="T114" s="31">
        <v>42794</v>
      </c>
      <c r="U114" s="211" t="s">
        <v>1292</v>
      </c>
      <c r="V114" s="40"/>
      <c r="W114" s="96"/>
      <c r="X114" s="31"/>
      <c r="Y114" s="96"/>
      <c r="Z114" s="40"/>
      <c r="AA114" s="86"/>
      <c r="AB114" s="31"/>
      <c r="AC114" s="86"/>
      <c r="AD114" s="40"/>
      <c r="AE114" s="86"/>
      <c r="AF114" s="31"/>
      <c r="AG114" s="86"/>
      <c r="AH114" s="40"/>
      <c r="AI114" s="126"/>
      <c r="AJ114" s="140" t="str">
        <f t="shared" si="10"/>
        <v/>
      </c>
      <c r="AM114" s="136"/>
      <c r="AN114" s="137" t="str">
        <f t="shared" si="11"/>
        <v/>
      </c>
    </row>
    <row r="115" spans="1:44" ht="135">
      <c r="B115" s="51" t="s">
        <v>707</v>
      </c>
      <c r="C115" s="85"/>
      <c r="D115" s="85" t="s">
        <v>706</v>
      </c>
      <c r="E115" s="85" t="s">
        <v>705</v>
      </c>
      <c r="F115" s="32" t="s">
        <v>1</v>
      </c>
      <c r="G115" s="28" t="s">
        <v>1251</v>
      </c>
      <c r="H115" s="28" t="s">
        <v>1252</v>
      </c>
      <c r="I115" s="85"/>
      <c r="J115" s="26" t="s">
        <v>79</v>
      </c>
      <c r="K115" s="90" t="s">
        <v>1212</v>
      </c>
      <c r="L115" s="28" t="s">
        <v>655</v>
      </c>
      <c r="M115" s="28" t="s">
        <v>0</v>
      </c>
      <c r="N115" s="28" t="s">
        <v>1235</v>
      </c>
      <c r="O115" s="193" t="s">
        <v>0</v>
      </c>
      <c r="P115" s="31">
        <v>42773</v>
      </c>
      <c r="Q115" s="193" t="s">
        <v>1292</v>
      </c>
      <c r="R115" s="193" t="s">
        <v>1291</v>
      </c>
      <c r="S115" s="211" t="s">
        <v>0</v>
      </c>
      <c r="T115" s="31">
        <v>42794</v>
      </c>
      <c r="U115" s="211" t="s">
        <v>1292</v>
      </c>
      <c r="V115" s="40"/>
      <c r="W115" s="96"/>
      <c r="X115" s="31"/>
      <c r="Y115" s="96"/>
      <c r="Z115" s="40"/>
      <c r="AA115" s="86"/>
      <c r="AB115" s="31"/>
      <c r="AC115" s="86"/>
      <c r="AD115" s="40"/>
      <c r="AE115" s="86"/>
      <c r="AF115" s="31"/>
      <c r="AG115" s="86"/>
      <c r="AH115" s="40"/>
      <c r="AI115" s="126"/>
      <c r="AJ115" s="140" t="str">
        <f t="shared" si="10"/>
        <v/>
      </c>
      <c r="AM115" s="136"/>
      <c r="AN115" s="137" t="str">
        <f t="shared" si="11"/>
        <v/>
      </c>
    </row>
    <row r="116" spans="1:44">
      <c r="B116" s="22" t="s">
        <v>704</v>
      </c>
      <c r="C116" s="22"/>
      <c r="D116" s="22"/>
      <c r="E116" s="22"/>
      <c r="F116" s="24"/>
      <c r="G116" s="24"/>
      <c r="H116" s="24"/>
      <c r="I116" s="22"/>
      <c r="J116" s="22"/>
      <c r="K116" s="22"/>
      <c r="L116" s="24" t="s">
        <v>103</v>
      </c>
      <c r="M116" s="22"/>
      <c r="N116" s="22"/>
      <c r="O116" s="36"/>
      <c r="P116" s="36"/>
      <c r="Q116" s="36"/>
      <c r="R116" s="36"/>
      <c r="S116" s="36"/>
      <c r="T116" s="36"/>
      <c r="U116" s="36"/>
      <c r="V116" s="36"/>
      <c r="W116" s="36"/>
      <c r="X116" s="36"/>
      <c r="Y116" s="36"/>
      <c r="Z116" s="36"/>
      <c r="AA116" s="36"/>
      <c r="AB116" s="36"/>
      <c r="AC116" s="36"/>
      <c r="AD116" s="36"/>
      <c r="AE116" s="36"/>
      <c r="AF116" s="36"/>
      <c r="AG116" s="36"/>
      <c r="AH116" s="36"/>
      <c r="AI116" s="126"/>
      <c r="AJ116" s="140" t="str">
        <f t="shared" si="10"/>
        <v/>
      </c>
      <c r="AM116" s="136"/>
      <c r="AN116" s="137" t="str">
        <f t="shared" si="11"/>
        <v/>
      </c>
    </row>
    <row r="117" spans="1:44" s="43" customFormat="1" ht="180">
      <c r="A117" s="33"/>
      <c r="B117" s="51" t="s">
        <v>703</v>
      </c>
      <c r="C117" s="85"/>
      <c r="D117" s="85" t="s">
        <v>702</v>
      </c>
      <c r="E117" s="85" t="s">
        <v>701</v>
      </c>
      <c r="F117" s="85" t="s">
        <v>1</v>
      </c>
      <c r="G117" s="28" t="s">
        <v>1251</v>
      </c>
      <c r="H117" s="28" t="s">
        <v>1252</v>
      </c>
      <c r="I117" s="85"/>
      <c r="J117" s="26" t="s">
        <v>79</v>
      </c>
      <c r="K117" s="90" t="s">
        <v>1212</v>
      </c>
      <c r="L117" s="85" t="s">
        <v>53</v>
      </c>
      <c r="M117" s="80" t="s">
        <v>0</v>
      </c>
      <c r="N117" s="28" t="s">
        <v>27</v>
      </c>
      <c r="O117" s="40" t="s">
        <v>0</v>
      </c>
      <c r="P117" s="31">
        <v>42773</v>
      </c>
      <c r="Q117" s="85" t="s">
        <v>1293</v>
      </c>
      <c r="R117" s="40" t="s">
        <v>1294</v>
      </c>
      <c r="S117" s="40" t="s">
        <v>0</v>
      </c>
      <c r="T117" s="31">
        <v>42794</v>
      </c>
      <c r="U117" s="211" t="s">
        <v>1293</v>
      </c>
      <c r="V117" s="40"/>
      <c r="W117" s="40"/>
      <c r="X117" s="41"/>
      <c r="Y117" s="91"/>
      <c r="Z117" s="40"/>
      <c r="AA117" s="40"/>
      <c r="AB117" s="41"/>
      <c r="AC117" s="40"/>
      <c r="AD117" s="40"/>
      <c r="AE117" s="40"/>
      <c r="AF117" s="41"/>
      <c r="AG117" s="40"/>
      <c r="AH117" s="40"/>
      <c r="AI117" s="126"/>
      <c r="AJ117" s="140" t="str">
        <f t="shared" si="10"/>
        <v/>
      </c>
      <c r="AK117" s="15"/>
      <c r="AL117" s="15"/>
      <c r="AM117" s="136">
        <v>10</v>
      </c>
      <c r="AN117" s="137" t="str">
        <f t="shared" si="11"/>
        <v>N</v>
      </c>
      <c r="AO117" s="139"/>
      <c r="AP117" s="139"/>
      <c r="AQ117" s="139"/>
      <c r="AR117" s="139"/>
    </row>
    <row r="118" spans="1:44" ht="165">
      <c r="B118" s="51" t="s">
        <v>700</v>
      </c>
      <c r="C118" s="85"/>
      <c r="D118" s="85" t="s">
        <v>699</v>
      </c>
      <c r="E118" s="85" t="s">
        <v>1200</v>
      </c>
      <c r="F118" s="85" t="s">
        <v>1</v>
      </c>
      <c r="G118" s="28" t="s">
        <v>1251</v>
      </c>
      <c r="H118" s="28" t="s">
        <v>1252</v>
      </c>
      <c r="I118" s="85" t="s">
        <v>698</v>
      </c>
      <c r="J118" s="26" t="s">
        <v>694</v>
      </c>
      <c r="K118" s="90" t="s">
        <v>1212</v>
      </c>
      <c r="L118" s="28" t="s">
        <v>655</v>
      </c>
      <c r="M118" s="88" t="s">
        <v>0</v>
      </c>
      <c r="N118" s="28" t="s">
        <v>1235</v>
      </c>
      <c r="O118" s="193" t="s">
        <v>0</v>
      </c>
      <c r="P118" s="31">
        <v>42773</v>
      </c>
      <c r="Q118" s="193" t="s">
        <v>1292</v>
      </c>
      <c r="R118" s="193" t="s">
        <v>1291</v>
      </c>
      <c r="S118" s="211" t="s">
        <v>0</v>
      </c>
      <c r="T118" s="31">
        <v>42794</v>
      </c>
      <c r="U118" s="211" t="s">
        <v>1292</v>
      </c>
      <c r="V118" s="40"/>
      <c r="W118" s="96"/>
      <c r="X118" s="31"/>
      <c r="Y118" s="96"/>
      <c r="Z118" s="40"/>
      <c r="AA118" s="86"/>
      <c r="AB118" s="31"/>
      <c r="AC118" s="86"/>
      <c r="AD118" s="40"/>
      <c r="AE118" s="86"/>
      <c r="AF118" s="31"/>
      <c r="AG118" s="86"/>
      <c r="AH118" s="40"/>
      <c r="AI118" s="126"/>
      <c r="AJ118" s="140" t="str">
        <f t="shared" si="10"/>
        <v/>
      </c>
      <c r="AM118" s="136"/>
      <c r="AN118" s="137" t="str">
        <f t="shared" si="11"/>
        <v/>
      </c>
    </row>
    <row r="119" spans="1:44" ht="165">
      <c r="B119" s="51" t="s">
        <v>697</v>
      </c>
      <c r="C119" s="85"/>
      <c r="D119" s="85" t="s">
        <v>696</v>
      </c>
      <c r="E119" s="85" t="s">
        <v>695</v>
      </c>
      <c r="F119" s="85" t="s">
        <v>1</v>
      </c>
      <c r="G119" s="28" t="s">
        <v>1251</v>
      </c>
      <c r="H119" s="28" t="s">
        <v>1252</v>
      </c>
      <c r="I119" s="85" t="s">
        <v>693</v>
      </c>
      <c r="J119" s="26" t="s">
        <v>694</v>
      </c>
      <c r="K119" s="90" t="s">
        <v>1212</v>
      </c>
      <c r="L119" s="28" t="s">
        <v>655</v>
      </c>
      <c r="M119" s="88" t="s">
        <v>0</v>
      </c>
      <c r="N119" s="28" t="s">
        <v>1235</v>
      </c>
      <c r="O119" s="193" t="s">
        <v>0</v>
      </c>
      <c r="P119" s="31">
        <v>42773</v>
      </c>
      <c r="Q119" s="193" t="s">
        <v>1292</v>
      </c>
      <c r="R119" s="193" t="s">
        <v>1291</v>
      </c>
      <c r="S119" s="211" t="s">
        <v>0</v>
      </c>
      <c r="T119" s="31">
        <v>42794</v>
      </c>
      <c r="U119" s="211" t="s">
        <v>1292</v>
      </c>
      <c r="V119" s="40"/>
      <c r="W119" s="96"/>
      <c r="X119" s="31"/>
      <c r="Y119" s="96"/>
      <c r="Z119" s="40"/>
      <c r="AA119" s="86"/>
      <c r="AB119" s="31"/>
      <c r="AC119" s="86"/>
      <c r="AD119" s="40"/>
      <c r="AE119" s="86"/>
      <c r="AF119" s="31"/>
      <c r="AG119" s="86"/>
      <c r="AH119" s="40"/>
      <c r="AI119" s="126"/>
      <c r="AJ119" s="140" t="str">
        <f t="shared" si="10"/>
        <v/>
      </c>
      <c r="AM119" s="136"/>
      <c r="AN119" s="137" t="str">
        <f t="shared" si="11"/>
        <v/>
      </c>
    </row>
    <row r="120" spans="1:44">
      <c r="B120" s="22" t="s">
        <v>692</v>
      </c>
      <c r="C120" s="22"/>
      <c r="D120" s="22"/>
      <c r="E120" s="22"/>
      <c r="F120" s="24"/>
      <c r="G120" s="24"/>
      <c r="H120" s="24"/>
      <c r="I120" s="22"/>
      <c r="J120" s="22"/>
      <c r="K120" s="22"/>
      <c r="L120" s="24" t="s">
        <v>103</v>
      </c>
      <c r="M120" s="22"/>
      <c r="N120" s="22"/>
      <c r="O120" s="36"/>
      <c r="P120" s="36"/>
      <c r="Q120" s="36"/>
      <c r="R120" s="36"/>
      <c r="S120" s="36"/>
      <c r="T120" s="36"/>
      <c r="U120" s="36"/>
      <c r="V120" s="36"/>
      <c r="W120" s="36"/>
      <c r="X120" s="36"/>
      <c r="Y120" s="36"/>
      <c r="Z120" s="36"/>
      <c r="AA120" s="36"/>
      <c r="AB120" s="36"/>
      <c r="AC120" s="36"/>
      <c r="AD120" s="36"/>
      <c r="AE120" s="36"/>
      <c r="AF120" s="36"/>
      <c r="AG120" s="36"/>
      <c r="AH120" s="36"/>
      <c r="AI120" s="126"/>
      <c r="AJ120" s="140" t="str">
        <f t="shared" si="10"/>
        <v/>
      </c>
      <c r="AM120" s="136"/>
      <c r="AN120" s="137" t="str">
        <f t="shared" si="11"/>
        <v/>
      </c>
    </row>
    <row r="121" spans="1:44" ht="90">
      <c r="B121" s="51" t="s">
        <v>691</v>
      </c>
      <c r="C121" s="85"/>
      <c r="D121" s="85" t="s">
        <v>690</v>
      </c>
      <c r="E121" s="85" t="s">
        <v>689</v>
      </c>
      <c r="F121" s="32" t="s">
        <v>1</v>
      </c>
      <c r="G121" s="28" t="s">
        <v>1251</v>
      </c>
      <c r="H121" s="28" t="s">
        <v>1252</v>
      </c>
      <c r="I121" s="85"/>
      <c r="J121" s="26" t="s">
        <v>79</v>
      </c>
      <c r="K121" s="90" t="s">
        <v>1212</v>
      </c>
      <c r="L121" s="28" t="s">
        <v>655</v>
      </c>
      <c r="M121" s="28" t="s">
        <v>0</v>
      </c>
      <c r="N121" s="28" t="s">
        <v>1235</v>
      </c>
      <c r="O121" s="193" t="s">
        <v>0</v>
      </c>
      <c r="P121" s="31">
        <v>42773</v>
      </c>
      <c r="Q121" s="193" t="s">
        <v>1292</v>
      </c>
      <c r="R121" s="193" t="s">
        <v>1291</v>
      </c>
      <c r="S121" s="211" t="s">
        <v>0</v>
      </c>
      <c r="T121" s="31">
        <v>42794</v>
      </c>
      <c r="U121" s="211" t="s">
        <v>1292</v>
      </c>
      <c r="V121" s="40"/>
      <c r="W121" s="96"/>
      <c r="X121" s="31"/>
      <c r="Y121" s="96"/>
      <c r="Z121" s="40"/>
      <c r="AA121" s="86"/>
      <c r="AB121" s="31"/>
      <c r="AC121" s="86"/>
      <c r="AD121" s="40"/>
      <c r="AE121" s="86"/>
      <c r="AF121" s="31"/>
      <c r="AG121" s="86"/>
      <c r="AH121" s="40"/>
      <c r="AI121" s="126"/>
      <c r="AJ121" s="140" t="str">
        <f t="shared" si="10"/>
        <v/>
      </c>
      <c r="AM121" s="136"/>
      <c r="AN121" s="137" t="str">
        <f t="shared" si="11"/>
        <v/>
      </c>
    </row>
    <row r="122" spans="1:44" ht="120">
      <c r="B122" s="51" t="s">
        <v>688</v>
      </c>
      <c r="C122" s="85"/>
      <c r="D122" s="85" t="s">
        <v>687</v>
      </c>
      <c r="E122" s="85" t="s">
        <v>686</v>
      </c>
      <c r="F122" s="32" t="s">
        <v>1</v>
      </c>
      <c r="G122" s="28" t="s">
        <v>1251</v>
      </c>
      <c r="H122" s="28" t="s">
        <v>1252</v>
      </c>
      <c r="I122" s="85"/>
      <c r="J122" s="26" t="s">
        <v>79</v>
      </c>
      <c r="K122" s="90" t="s">
        <v>1212</v>
      </c>
      <c r="L122" s="28" t="s">
        <v>655</v>
      </c>
      <c r="M122" s="28" t="s">
        <v>0</v>
      </c>
      <c r="N122" s="28" t="s">
        <v>1235</v>
      </c>
      <c r="O122" s="193" t="s">
        <v>0</v>
      </c>
      <c r="P122" s="31">
        <v>42773</v>
      </c>
      <c r="Q122" s="193" t="s">
        <v>1292</v>
      </c>
      <c r="R122" s="193" t="s">
        <v>1291</v>
      </c>
      <c r="S122" s="211" t="s">
        <v>0</v>
      </c>
      <c r="T122" s="31">
        <v>42794</v>
      </c>
      <c r="U122" s="211" t="s">
        <v>1292</v>
      </c>
      <c r="V122" s="40"/>
      <c r="W122" s="96"/>
      <c r="X122" s="31"/>
      <c r="Y122" s="96"/>
      <c r="Z122" s="40"/>
      <c r="AA122" s="86"/>
      <c r="AB122" s="31"/>
      <c r="AC122" s="86"/>
      <c r="AD122" s="40"/>
      <c r="AE122" s="86"/>
      <c r="AF122" s="31"/>
      <c r="AG122" s="86"/>
      <c r="AH122" s="40"/>
      <c r="AI122" s="126"/>
      <c r="AJ122" s="140" t="str">
        <f t="shared" si="10"/>
        <v/>
      </c>
      <c r="AM122" s="136"/>
      <c r="AN122" s="137" t="str">
        <f t="shared" si="11"/>
        <v/>
      </c>
    </row>
    <row r="123" spans="1:44">
      <c r="B123" s="22" t="s">
        <v>685</v>
      </c>
      <c r="C123" s="22"/>
      <c r="D123" s="22"/>
      <c r="E123" s="22"/>
      <c r="F123" s="24"/>
      <c r="G123" s="24"/>
      <c r="H123" s="24"/>
      <c r="I123" s="22"/>
      <c r="J123" s="22"/>
      <c r="K123" s="22"/>
      <c r="L123" s="24" t="s">
        <v>103</v>
      </c>
      <c r="M123" s="22"/>
      <c r="N123" s="22"/>
      <c r="O123" s="36"/>
      <c r="P123" s="36"/>
      <c r="Q123" s="36"/>
      <c r="R123" s="36"/>
      <c r="S123" s="36"/>
      <c r="T123" s="36"/>
      <c r="U123" s="36"/>
      <c r="V123" s="36"/>
      <c r="W123" s="36"/>
      <c r="X123" s="36"/>
      <c r="Y123" s="36"/>
      <c r="Z123" s="36"/>
      <c r="AA123" s="36"/>
      <c r="AB123" s="36"/>
      <c r="AC123" s="36"/>
      <c r="AD123" s="36"/>
      <c r="AE123" s="36"/>
      <c r="AF123" s="36"/>
      <c r="AG123" s="36"/>
      <c r="AH123" s="36"/>
      <c r="AI123" s="126"/>
      <c r="AJ123" s="140" t="str">
        <f t="shared" si="10"/>
        <v/>
      </c>
      <c r="AM123" s="136"/>
      <c r="AN123" s="137" t="str">
        <f t="shared" si="11"/>
        <v/>
      </c>
    </row>
    <row r="124" spans="1:44" ht="165">
      <c r="B124" s="51" t="s">
        <v>684</v>
      </c>
      <c r="C124" s="85"/>
      <c r="D124" s="85" t="s">
        <v>683</v>
      </c>
      <c r="E124" s="85" t="s">
        <v>680</v>
      </c>
      <c r="F124" s="32" t="s">
        <v>1</v>
      </c>
      <c r="G124" s="28" t="s">
        <v>1251</v>
      </c>
      <c r="H124" s="28" t="s">
        <v>1252</v>
      </c>
      <c r="I124" s="85"/>
      <c r="J124" s="26" t="s">
        <v>79</v>
      </c>
      <c r="K124" s="90" t="s">
        <v>1212</v>
      </c>
      <c r="L124" s="28" t="s">
        <v>655</v>
      </c>
      <c r="M124" s="28" t="s">
        <v>0</v>
      </c>
      <c r="N124" s="28" t="s">
        <v>1235</v>
      </c>
      <c r="O124" s="193" t="s">
        <v>0</v>
      </c>
      <c r="P124" s="31">
        <v>42773</v>
      </c>
      <c r="Q124" s="193" t="s">
        <v>1292</v>
      </c>
      <c r="R124" s="193" t="s">
        <v>1291</v>
      </c>
      <c r="S124" s="211" t="s">
        <v>0</v>
      </c>
      <c r="T124" s="31">
        <v>42794</v>
      </c>
      <c r="U124" s="211" t="s">
        <v>1292</v>
      </c>
      <c r="V124" s="40"/>
      <c r="W124" s="96"/>
      <c r="X124" s="31"/>
      <c r="Y124" s="96"/>
      <c r="Z124" s="40"/>
      <c r="AA124" s="86"/>
      <c r="AB124" s="31"/>
      <c r="AC124" s="86"/>
      <c r="AD124" s="40"/>
      <c r="AE124" s="86"/>
      <c r="AF124" s="31"/>
      <c r="AG124" s="86"/>
      <c r="AH124" s="40"/>
      <c r="AI124" s="126"/>
      <c r="AJ124" s="140" t="str">
        <f t="shared" si="10"/>
        <v/>
      </c>
      <c r="AM124" s="136"/>
      <c r="AN124" s="137" t="str">
        <f t="shared" si="11"/>
        <v/>
      </c>
    </row>
    <row r="125" spans="1:44" ht="165">
      <c r="B125" s="51" t="s">
        <v>682</v>
      </c>
      <c r="C125" s="85"/>
      <c r="D125" s="85" t="s">
        <v>1201</v>
      </c>
      <c r="E125" s="85" t="s">
        <v>680</v>
      </c>
      <c r="F125" s="32" t="s">
        <v>1</v>
      </c>
      <c r="G125" s="28" t="s">
        <v>1251</v>
      </c>
      <c r="H125" s="28" t="s">
        <v>1252</v>
      </c>
      <c r="I125" s="85"/>
      <c r="J125" s="26" t="s">
        <v>79</v>
      </c>
      <c r="K125" s="90" t="s">
        <v>1212</v>
      </c>
      <c r="L125" s="28" t="s">
        <v>655</v>
      </c>
      <c r="M125" s="28" t="s">
        <v>0</v>
      </c>
      <c r="N125" s="28" t="s">
        <v>1235</v>
      </c>
      <c r="O125" s="193" t="s">
        <v>0</v>
      </c>
      <c r="P125" s="31">
        <v>42773</v>
      </c>
      <c r="Q125" s="193" t="s">
        <v>1292</v>
      </c>
      <c r="R125" s="193" t="s">
        <v>1291</v>
      </c>
      <c r="S125" s="211" t="s">
        <v>0</v>
      </c>
      <c r="T125" s="31">
        <v>42794</v>
      </c>
      <c r="U125" s="211" t="s">
        <v>1292</v>
      </c>
      <c r="V125" s="40"/>
      <c r="W125" s="96"/>
      <c r="X125" s="31"/>
      <c r="Y125" s="96"/>
      <c r="Z125" s="40"/>
      <c r="AA125" s="86"/>
      <c r="AB125" s="31"/>
      <c r="AC125" s="86"/>
      <c r="AD125" s="40"/>
      <c r="AE125" s="86"/>
      <c r="AF125" s="31"/>
      <c r="AG125" s="86"/>
      <c r="AH125" s="40"/>
      <c r="AI125" s="126"/>
      <c r="AJ125" s="140" t="str">
        <f t="shared" si="10"/>
        <v/>
      </c>
      <c r="AM125" s="136"/>
      <c r="AN125" s="137" t="str">
        <f t="shared" si="11"/>
        <v/>
      </c>
    </row>
    <row r="126" spans="1:44" ht="165">
      <c r="B126" s="51" t="s">
        <v>681</v>
      </c>
      <c r="C126" s="85"/>
      <c r="D126" s="85" t="s">
        <v>1202</v>
      </c>
      <c r="E126" s="85" t="s">
        <v>680</v>
      </c>
      <c r="F126" s="32" t="s">
        <v>1</v>
      </c>
      <c r="G126" s="28" t="s">
        <v>1251</v>
      </c>
      <c r="H126" s="28" t="s">
        <v>1252</v>
      </c>
      <c r="I126" s="85"/>
      <c r="J126" s="26" t="s">
        <v>79</v>
      </c>
      <c r="K126" s="90" t="s">
        <v>1212</v>
      </c>
      <c r="L126" s="28" t="s">
        <v>655</v>
      </c>
      <c r="M126" s="28" t="s">
        <v>0</v>
      </c>
      <c r="N126" s="28" t="s">
        <v>1235</v>
      </c>
      <c r="O126" s="193" t="s">
        <v>0</v>
      </c>
      <c r="P126" s="31">
        <v>42773</v>
      </c>
      <c r="Q126" s="193" t="s">
        <v>1292</v>
      </c>
      <c r="R126" s="193" t="s">
        <v>1291</v>
      </c>
      <c r="S126" s="211" t="s">
        <v>0</v>
      </c>
      <c r="T126" s="31">
        <v>42794</v>
      </c>
      <c r="U126" s="211" t="s">
        <v>1292</v>
      </c>
      <c r="V126" s="40"/>
      <c r="W126" s="96"/>
      <c r="X126" s="31"/>
      <c r="Y126" s="96"/>
      <c r="Z126" s="40"/>
      <c r="AA126" s="86"/>
      <c r="AB126" s="31"/>
      <c r="AC126" s="86"/>
      <c r="AD126" s="40"/>
      <c r="AE126" s="86"/>
      <c r="AF126" s="31"/>
      <c r="AG126" s="86"/>
      <c r="AH126" s="40"/>
      <c r="AI126" s="126"/>
      <c r="AJ126" s="140" t="str">
        <f t="shared" si="10"/>
        <v/>
      </c>
      <c r="AM126" s="136"/>
      <c r="AN126" s="137" t="str">
        <f t="shared" si="11"/>
        <v/>
      </c>
    </row>
    <row r="127" spans="1:44">
      <c r="B127" s="22" t="s">
        <v>679</v>
      </c>
      <c r="C127" s="22"/>
      <c r="D127" s="22"/>
      <c r="E127" s="22"/>
      <c r="F127" s="24"/>
      <c r="G127" s="24"/>
      <c r="H127" s="24"/>
      <c r="I127" s="22"/>
      <c r="J127" s="22"/>
      <c r="K127" s="22"/>
      <c r="L127" s="24" t="s">
        <v>103</v>
      </c>
      <c r="M127" s="22"/>
      <c r="N127" s="22"/>
      <c r="O127" s="36"/>
      <c r="P127" s="36"/>
      <c r="Q127" s="36"/>
      <c r="R127" s="36"/>
      <c r="S127" s="36"/>
      <c r="T127" s="36"/>
      <c r="U127" s="36"/>
      <c r="V127" s="36"/>
      <c r="W127" s="36"/>
      <c r="X127" s="36"/>
      <c r="Y127" s="36"/>
      <c r="Z127" s="36"/>
      <c r="AA127" s="36"/>
      <c r="AB127" s="36"/>
      <c r="AC127" s="36"/>
      <c r="AD127" s="36"/>
      <c r="AE127" s="36"/>
      <c r="AF127" s="36"/>
      <c r="AG127" s="36"/>
      <c r="AH127" s="36"/>
      <c r="AI127" s="126"/>
      <c r="AJ127" s="140" t="str">
        <f t="shared" si="10"/>
        <v/>
      </c>
      <c r="AM127" s="136"/>
      <c r="AN127" s="137" t="str">
        <f t="shared" si="11"/>
        <v/>
      </c>
    </row>
    <row r="128" spans="1:44" ht="60">
      <c r="B128" s="51" t="s">
        <v>678</v>
      </c>
      <c r="C128" s="85"/>
      <c r="D128" s="85" t="s">
        <v>677</v>
      </c>
      <c r="E128" s="85" t="s">
        <v>676</v>
      </c>
      <c r="F128" s="32" t="s">
        <v>1</v>
      </c>
      <c r="G128" s="28" t="s">
        <v>1251</v>
      </c>
      <c r="H128" s="28" t="s">
        <v>1252</v>
      </c>
      <c r="I128" s="85"/>
      <c r="J128" s="26" t="s">
        <v>79</v>
      </c>
      <c r="K128" s="90" t="s">
        <v>1212</v>
      </c>
      <c r="L128" s="28" t="s">
        <v>668</v>
      </c>
      <c r="M128" s="28" t="s">
        <v>0</v>
      </c>
      <c r="N128" s="28" t="s">
        <v>1235</v>
      </c>
      <c r="O128" s="193" t="s">
        <v>0</v>
      </c>
      <c r="P128" s="31">
        <v>42773</v>
      </c>
      <c r="Q128" s="193" t="s">
        <v>1292</v>
      </c>
      <c r="R128" s="193" t="s">
        <v>1291</v>
      </c>
      <c r="S128" s="211" t="s">
        <v>0</v>
      </c>
      <c r="T128" s="31">
        <v>42794</v>
      </c>
      <c r="U128" s="211" t="s">
        <v>1292</v>
      </c>
      <c r="V128" s="40"/>
      <c r="W128" s="96"/>
      <c r="X128" s="31"/>
      <c r="Y128" s="96"/>
      <c r="Z128" s="40"/>
      <c r="AA128" s="86"/>
      <c r="AB128" s="31"/>
      <c r="AC128" s="86"/>
      <c r="AD128" s="40"/>
      <c r="AE128" s="86"/>
      <c r="AF128" s="31"/>
      <c r="AG128" s="86"/>
      <c r="AH128" s="40"/>
      <c r="AI128" s="126"/>
      <c r="AJ128" s="140" t="str">
        <f t="shared" si="10"/>
        <v/>
      </c>
      <c r="AM128" s="136"/>
      <c r="AN128" s="137" t="str">
        <f t="shared" si="11"/>
        <v/>
      </c>
    </row>
    <row r="129" spans="2:40">
      <c r="B129" s="22" t="s">
        <v>675</v>
      </c>
      <c r="C129" s="22"/>
      <c r="D129" s="22"/>
      <c r="E129" s="22"/>
      <c r="F129" s="24"/>
      <c r="G129" s="24"/>
      <c r="H129" s="24"/>
      <c r="I129" s="22"/>
      <c r="J129" s="22"/>
      <c r="K129" s="22"/>
      <c r="L129" s="24" t="s">
        <v>103</v>
      </c>
      <c r="M129" s="22"/>
      <c r="N129" s="22"/>
      <c r="O129" s="36"/>
      <c r="P129" s="36"/>
      <c r="Q129" s="36"/>
      <c r="R129" s="36"/>
      <c r="S129" s="36"/>
      <c r="T129" s="36"/>
      <c r="U129" s="36"/>
      <c r="V129" s="36"/>
      <c r="W129" s="36"/>
      <c r="X129" s="36"/>
      <c r="Y129" s="36"/>
      <c r="Z129" s="36"/>
      <c r="AA129" s="36"/>
      <c r="AB129" s="36"/>
      <c r="AC129" s="36"/>
      <c r="AD129" s="36"/>
      <c r="AE129" s="36"/>
      <c r="AF129" s="36"/>
      <c r="AG129" s="36"/>
      <c r="AH129" s="36"/>
      <c r="AI129" s="126"/>
      <c r="AJ129" s="140" t="str">
        <f t="shared" si="10"/>
        <v/>
      </c>
      <c r="AM129" s="136"/>
      <c r="AN129" s="137" t="str">
        <f t="shared" si="11"/>
        <v/>
      </c>
    </row>
    <row r="130" spans="2:40" ht="315">
      <c r="B130" s="51" t="s">
        <v>674</v>
      </c>
      <c r="C130" s="85"/>
      <c r="D130" s="85" t="s">
        <v>673</v>
      </c>
      <c r="E130" s="85" t="s">
        <v>672</v>
      </c>
      <c r="F130" s="32" t="s">
        <v>1</v>
      </c>
      <c r="G130" s="28" t="s">
        <v>1251</v>
      </c>
      <c r="H130" s="28" t="s">
        <v>1252</v>
      </c>
      <c r="I130" s="85"/>
      <c r="J130" s="26" t="s">
        <v>79</v>
      </c>
      <c r="K130" s="90" t="s">
        <v>1212</v>
      </c>
      <c r="L130" s="28" t="s">
        <v>668</v>
      </c>
      <c r="M130" s="28" t="s">
        <v>0</v>
      </c>
      <c r="N130" s="28" t="s">
        <v>1235</v>
      </c>
      <c r="O130" s="193" t="s">
        <v>0</v>
      </c>
      <c r="P130" s="31">
        <v>42773</v>
      </c>
      <c r="Q130" s="193" t="s">
        <v>1292</v>
      </c>
      <c r="R130" s="193" t="s">
        <v>1291</v>
      </c>
      <c r="S130" s="211" t="s">
        <v>0</v>
      </c>
      <c r="T130" s="31">
        <v>42794</v>
      </c>
      <c r="U130" s="211" t="s">
        <v>1292</v>
      </c>
      <c r="V130" s="40"/>
      <c r="W130" s="96"/>
      <c r="X130" s="31"/>
      <c r="Y130" s="96"/>
      <c r="Z130" s="40"/>
      <c r="AA130" s="86"/>
      <c r="AB130" s="31"/>
      <c r="AC130" s="86"/>
      <c r="AD130" s="40"/>
      <c r="AE130" s="86"/>
      <c r="AF130" s="31"/>
      <c r="AG130" s="86"/>
      <c r="AH130" s="40"/>
      <c r="AI130" s="126"/>
      <c r="AJ130" s="140" t="str">
        <f t="shared" si="10"/>
        <v/>
      </c>
      <c r="AM130" s="136"/>
      <c r="AN130" s="137" t="str">
        <f t="shared" si="11"/>
        <v/>
      </c>
    </row>
    <row r="131" spans="2:40" ht="330">
      <c r="B131" s="51" t="s">
        <v>671</v>
      </c>
      <c r="C131" s="85"/>
      <c r="D131" s="85" t="s">
        <v>670</v>
      </c>
      <c r="E131" s="85" t="s">
        <v>669</v>
      </c>
      <c r="F131" s="32" t="s">
        <v>1</v>
      </c>
      <c r="G131" s="28" t="s">
        <v>1251</v>
      </c>
      <c r="H131" s="28" t="s">
        <v>1252</v>
      </c>
      <c r="I131" s="85"/>
      <c r="J131" s="26" t="s">
        <v>79</v>
      </c>
      <c r="K131" s="90" t="s">
        <v>1212</v>
      </c>
      <c r="L131" s="28" t="s">
        <v>668</v>
      </c>
      <c r="M131" s="28" t="s">
        <v>0</v>
      </c>
      <c r="N131" s="28" t="s">
        <v>1235</v>
      </c>
      <c r="O131" s="193" t="s">
        <v>0</v>
      </c>
      <c r="P131" s="31">
        <v>42773</v>
      </c>
      <c r="Q131" s="193" t="s">
        <v>1292</v>
      </c>
      <c r="R131" s="193" t="s">
        <v>1291</v>
      </c>
      <c r="S131" s="211" t="s">
        <v>0</v>
      </c>
      <c r="T131" s="31">
        <v>42794</v>
      </c>
      <c r="U131" s="211" t="s">
        <v>1292</v>
      </c>
      <c r="V131" s="40"/>
      <c r="W131" s="96"/>
      <c r="X131" s="31"/>
      <c r="Y131" s="96"/>
      <c r="Z131" s="40"/>
      <c r="AA131" s="86"/>
      <c r="AB131" s="31"/>
      <c r="AC131" s="86"/>
      <c r="AD131" s="40"/>
      <c r="AE131" s="86"/>
      <c r="AF131" s="31"/>
      <c r="AG131" s="86"/>
      <c r="AH131" s="40"/>
      <c r="AI131" s="126"/>
      <c r="AJ131" s="140" t="str">
        <f t="shared" si="10"/>
        <v/>
      </c>
      <c r="AM131" s="136"/>
      <c r="AN131" s="137" t="str">
        <f t="shared" si="11"/>
        <v/>
      </c>
    </row>
    <row r="132" spans="2:40">
      <c r="B132" s="22" t="s">
        <v>667</v>
      </c>
      <c r="C132" s="22"/>
      <c r="D132" s="22"/>
      <c r="E132" s="22"/>
      <c r="F132" s="24"/>
      <c r="G132" s="24"/>
      <c r="H132" s="24"/>
      <c r="I132" s="22"/>
      <c r="J132" s="22"/>
      <c r="K132" s="22"/>
      <c r="L132" s="24" t="s">
        <v>103</v>
      </c>
      <c r="M132" s="22"/>
      <c r="N132" s="22"/>
      <c r="O132" s="36"/>
      <c r="P132" s="36"/>
      <c r="Q132" s="36"/>
      <c r="R132" s="36"/>
      <c r="S132" s="36"/>
      <c r="T132" s="36"/>
      <c r="U132" s="36"/>
      <c r="V132" s="36"/>
      <c r="W132" s="36"/>
      <c r="X132" s="36"/>
      <c r="Y132" s="36"/>
      <c r="Z132" s="36"/>
      <c r="AA132" s="36"/>
      <c r="AB132" s="36"/>
      <c r="AC132" s="36"/>
      <c r="AD132" s="36"/>
      <c r="AE132" s="36"/>
      <c r="AF132" s="36"/>
      <c r="AG132" s="36"/>
      <c r="AH132" s="36"/>
      <c r="AI132" s="126"/>
      <c r="AJ132" s="140" t="str">
        <f t="shared" si="10"/>
        <v/>
      </c>
      <c r="AM132" s="136"/>
      <c r="AN132" s="137" t="str">
        <f t="shared" si="11"/>
        <v/>
      </c>
    </row>
    <row r="133" spans="2:40" ht="150">
      <c r="B133" s="51" t="s">
        <v>666</v>
      </c>
      <c r="C133" s="85"/>
      <c r="D133" s="85" t="s">
        <v>665</v>
      </c>
      <c r="E133" s="85" t="s">
        <v>664</v>
      </c>
      <c r="F133" s="32" t="s">
        <v>1</v>
      </c>
      <c r="G133" s="28" t="s">
        <v>1251</v>
      </c>
      <c r="H133" s="28" t="s">
        <v>1252</v>
      </c>
      <c r="I133" s="85"/>
      <c r="J133" s="26" t="s">
        <v>79</v>
      </c>
      <c r="K133" s="90" t="s">
        <v>1212</v>
      </c>
      <c r="L133" s="28" t="s">
        <v>655</v>
      </c>
      <c r="M133" s="28" t="s">
        <v>0</v>
      </c>
      <c r="N133" s="28" t="s">
        <v>1235</v>
      </c>
      <c r="O133" s="193" t="s">
        <v>0</v>
      </c>
      <c r="P133" s="31">
        <v>42773</v>
      </c>
      <c r="Q133" s="193" t="s">
        <v>1292</v>
      </c>
      <c r="R133" s="193" t="s">
        <v>1291</v>
      </c>
      <c r="S133" s="211" t="s">
        <v>0</v>
      </c>
      <c r="T133" s="31">
        <v>42794</v>
      </c>
      <c r="U133" s="211" t="s">
        <v>1292</v>
      </c>
      <c r="V133" s="40"/>
      <c r="W133" s="96"/>
      <c r="X133" s="31"/>
      <c r="Y133" s="96"/>
      <c r="Z133" s="40"/>
      <c r="AA133" s="86"/>
      <c r="AB133" s="31"/>
      <c r="AC133" s="86"/>
      <c r="AD133" s="40"/>
      <c r="AE133" s="86"/>
      <c r="AF133" s="31"/>
      <c r="AG133" s="86"/>
      <c r="AH133" s="40"/>
      <c r="AI133" s="126"/>
      <c r="AJ133" s="140" t="str">
        <f t="shared" si="10"/>
        <v/>
      </c>
      <c r="AM133" s="136"/>
      <c r="AN133" s="137" t="str">
        <f t="shared" si="11"/>
        <v/>
      </c>
    </row>
    <row r="134" spans="2:40" ht="165">
      <c r="B134" s="51" t="s">
        <v>663</v>
      </c>
      <c r="C134" s="85"/>
      <c r="D134" s="85" t="s">
        <v>1203</v>
      </c>
      <c r="E134" s="85" t="s">
        <v>662</v>
      </c>
      <c r="F134" s="32" t="s">
        <v>1</v>
      </c>
      <c r="G134" s="28" t="s">
        <v>1251</v>
      </c>
      <c r="H134" s="28" t="s">
        <v>1252</v>
      </c>
      <c r="I134" s="85"/>
      <c r="J134" s="26" t="s">
        <v>79</v>
      </c>
      <c r="K134" s="90" t="s">
        <v>1212</v>
      </c>
      <c r="L134" s="28" t="s">
        <v>655</v>
      </c>
      <c r="M134" s="28" t="s">
        <v>0</v>
      </c>
      <c r="N134" s="28" t="s">
        <v>1235</v>
      </c>
      <c r="O134" s="193" t="s">
        <v>0</v>
      </c>
      <c r="P134" s="31">
        <v>42773</v>
      </c>
      <c r="Q134" s="193" t="s">
        <v>1292</v>
      </c>
      <c r="R134" s="193" t="s">
        <v>1291</v>
      </c>
      <c r="S134" s="211" t="s">
        <v>0</v>
      </c>
      <c r="T134" s="31">
        <v>42794</v>
      </c>
      <c r="U134" s="211" t="s">
        <v>1292</v>
      </c>
      <c r="V134" s="40"/>
      <c r="W134" s="96"/>
      <c r="X134" s="31"/>
      <c r="Y134" s="96"/>
      <c r="Z134" s="40"/>
      <c r="AA134" s="86"/>
      <c r="AB134" s="31"/>
      <c r="AC134" s="86"/>
      <c r="AD134" s="40"/>
      <c r="AE134" s="86"/>
      <c r="AF134" s="31"/>
      <c r="AG134" s="86"/>
      <c r="AH134" s="40"/>
      <c r="AI134" s="126"/>
      <c r="AJ134" s="140" t="str">
        <f t="shared" si="10"/>
        <v/>
      </c>
      <c r="AM134" s="136"/>
      <c r="AN134" s="137" t="str">
        <f t="shared" si="11"/>
        <v/>
      </c>
    </row>
    <row r="135" spans="2:40" ht="120">
      <c r="B135" s="51" t="s">
        <v>661</v>
      </c>
      <c r="C135" s="85"/>
      <c r="D135" s="85" t="s">
        <v>660</v>
      </c>
      <c r="E135" s="85" t="s">
        <v>659</v>
      </c>
      <c r="F135" s="32" t="s">
        <v>1</v>
      </c>
      <c r="G135" s="28" t="s">
        <v>1251</v>
      </c>
      <c r="H135" s="28" t="s">
        <v>1252</v>
      </c>
      <c r="I135" s="85"/>
      <c r="J135" s="26" t="s">
        <v>79</v>
      </c>
      <c r="K135" s="90" t="s">
        <v>1212</v>
      </c>
      <c r="L135" s="28" t="s">
        <v>655</v>
      </c>
      <c r="M135" s="28" t="s">
        <v>0</v>
      </c>
      <c r="N135" s="28" t="s">
        <v>1235</v>
      </c>
      <c r="O135" s="193" t="s">
        <v>0</v>
      </c>
      <c r="P135" s="31">
        <v>42773</v>
      </c>
      <c r="Q135" s="193" t="s">
        <v>1292</v>
      </c>
      <c r="R135" s="193" t="s">
        <v>1291</v>
      </c>
      <c r="S135" s="211" t="s">
        <v>0</v>
      </c>
      <c r="T135" s="31">
        <v>42794</v>
      </c>
      <c r="U135" s="211" t="s">
        <v>1292</v>
      </c>
      <c r="V135" s="40"/>
      <c r="W135" s="96"/>
      <c r="X135" s="31"/>
      <c r="Y135" s="96"/>
      <c r="Z135" s="40"/>
      <c r="AA135" s="86"/>
      <c r="AB135" s="31"/>
      <c r="AC135" s="86"/>
      <c r="AD135" s="40"/>
      <c r="AE135" s="86"/>
      <c r="AF135" s="31"/>
      <c r="AG135" s="86"/>
      <c r="AH135" s="40"/>
      <c r="AI135" s="126"/>
      <c r="AJ135" s="140" t="str">
        <f t="shared" si="10"/>
        <v/>
      </c>
      <c r="AM135" s="136"/>
      <c r="AN135" s="137" t="str">
        <f t="shared" si="11"/>
        <v/>
      </c>
    </row>
    <row r="136" spans="2:40" ht="120">
      <c r="B136" s="51" t="s">
        <v>658</v>
      </c>
      <c r="C136" s="85"/>
      <c r="D136" s="85" t="s">
        <v>657</v>
      </c>
      <c r="E136" s="85" t="s">
        <v>656</v>
      </c>
      <c r="F136" s="32" t="s">
        <v>1</v>
      </c>
      <c r="G136" s="28" t="s">
        <v>1251</v>
      </c>
      <c r="H136" s="28" t="s">
        <v>1252</v>
      </c>
      <c r="I136" s="85"/>
      <c r="J136" s="26" t="s">
        <v>79</v>
      </c>
      <c r="K136" s="90" t="s">
        <v>1212</v>
      </c>
      <c r="L136" s="28" t="s">
        <v>655</v>
      </c>
      <c r="M136" s="28" t="s">
        <v>0</v>
      </c>
      <c r="N136" s="28" t="s">
        <v>1235</v>
      </c>
      <c r="O136" s="193" t="s">
        <v>0</v>
      </c>
      <c r="P136" s="31">
        <v>42773</v>
      </c>
      <c r="Q136" s="193" t="s">
        <v>1292</v>
      </c>
      <c r="R136" s="193" t="s">
        <v>1291</v>
      </c>
      <c r="S136" s="211" t="s">
        <v>0</v>
      </c>
      <c r="T136" s="31">
        <v>42794</v>
      </c>
      <c r="U136" s="211" t="s">
        <v>1292</v>
      </c>
      <c r="V136" s="40"/>
      <c r="W136" s="96"/>
      <c r="X136" s="31"/>
      <c r="Y136" s="96"/>
      <c r="Z136" s="40"/>
      <c r="AA136" s="86"/>
      <c r="AB136" s="31"/>
      <c r="AC136" s="86"/>
      <c r="AD136" s="40"/>
      <c r="AE136" s="86"/>
      <c r="AF136" s="31"/>
      <c r="AG136" s="86"/>
      <c r="AH136" s="40"/>
      <c r="AI136" s="126"/>
      <c r="AJ136" s="140" t="str">
        <f t="shared" si="10"/>
        <v/>
      </c>
      <c r="AM136" s="136"/>
      <c r="AN136" s="137" t="str">
        <f t="shared" si="11"/>
        <v/>
      </c>
    </row>
  </sheetData>
  <sheetProtection selectLockedCells="1" selectUnlockedCells="1"/>
  <autoFilter ref="B14:AJ136"/>
  <mergeCells count="28">
    <mergeCell ref="G13:H13"/>
    <mergeCell ref="C106:C107"/>
    <mergeCell ref="C16:C21"/>
    <mergeCell ref="C22:C27"/>
    <mergeCell ref="C28:C33"/>
    <mergeCell ref="C34:C39"/>
    <mergeCell ref="C75:C82"/>
    <mergeCell ref="C83:C90"/>
    <mergeCell ref="C94:C96"/>
    <mergeCell ref="C99:C101"/>
    <mergeCell ref="C102:C104"/>
    <mergeCell ref="C41:C49"/>
    <mergeCell ref="C50:C58"/>
    <mergeCell ref="C59:C66"/>
    <mergeCell ref="C67:C74"/>
    <mergeCell ref="AM11:AN11"/>
    <mergeCell ref="AI11:AJ11"/>
    <mergeCell ref="M13:N13"/>
    <mergeCell ref="S12:V12"/>
    <mergeCell ref="W12:Z12"/>
    <mergeCell ref="O12:R12"/>
    <mergeCell ref="AE12:AH12"/>
    <mergeCell ref="AA12:AD12"/>
    <mergeCell ref="O11:R11"/>
    <mergeCell ref="S11:V11"/>
    <mergeCell ref="W11:Z11"/>
    <mergeCell ref="AA11:AD11"/>
    <mergeCell ref="AE11:AH11"/>
  </mergeCells>
  <phoneticPr fontId="169"/>
  <conditionalFormatting sqref="B16:B39">
    <cfRule type="cellIs" dxfId="0" priority="1" stopIfTrue="1" operator="equal">
      <formula>"TD"</formula>
    </cfRule>
  </conditionalFormatting>
  <hyperlinks>
    <hyperlink ref="L3" location="PCL_Summary!A1" display="PCL_Summary!A1"/>
    <hyperlink ref="L2" location="Test_Report_Summary!A1" display="Test_Report_Summary"/>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77"/>
  <sheetViews>
    <sheetView topLeftCell="E1" zoomScale="70" zoomScaleNormal="70" workbookViewId="0">
      <pane ySplit="14" topLeftCell="A15" activePane="bottomLeft" state="frozen"/>
      <selection pane="bottomLeft" activeCell="Q17" sqref="Q17"/>
    </sheetView>
  </sheetViews>
  <sheetFormatPr defaultColWidth="11.5703125" defaultRowHeight="15" outlineLevelRow="1"/>
  <cols>
    <col min="1" max="1" width="1.7109375" style="13" customWidth="1"/>
    <col min="2" max="2" width="18" style="13" customWidth="1"/>
    <col min="3" max="3" width="18.42578125" style="13" customWidth="1"/>
    <col min="4" max="4" width="33" style="13" customWidth="1"/>
    <col min="5" max="5" width="27.85546875" style="13" customWidth="1"/>
    <col min="6" max="8" width="12.5703125" style="16" customWidth="1"/>
    <col min="9" max="9" width="15.28515625" style="14" customWidth="1"/>
    <col min="10" max="10" width="18.85546875" style="34" bestFit="1" customWidth="1"/>
    <col min="11" max="11" width="11.28515625" style="34" bestFit="1" customWidth="1"/>
    <col min="12" max="12" width="12.5703125" style="16" bestFit="1" customWidth="1"/>
    <col min="13" max="14" width="11.28515625" style="16" customWidth="1"/>
    <col min="15" max="15" width="14.42578125" style="35" bestFit="1" customWidth="1"/>
    <col min="16" max="16" width="11.42578125" style="35" customWidth="1"/>
    <col min="17" max="17" width="19.140625" style="35" bestFit="1" customWidth="1"/>
    <col min="18" max="18" width="11.42578125" style="35" customWidth="1"/>
    <col min="19" max="19" width="14.42578125" style="35" bestFit="1" customWidth="1"/>
    <col min="20" max="22" width="11.42578125" style="35" customWidth="1"/>
    <col min="23" max="23" width="17.42578125" style="35" customWidth="1"/>
    <col min="24" max="26" width="11.42578125" style="35" customWidth="1"/>
    <col min="27" max="27" width="17.42578125" style="35" customWidth="1"/>
    <col min="28" max="30" width="11.42578125" style="35" customWidth="1"/>
    <col min="31" max="31" width="17.42578125" style="35" customWidth="1"/>
    <col min="32" max="34" width="11.42578125" style="35" customWidth="1"/>
    <col min="35" max="35" width="29.28515625" style="35" bestFit="1" customWidth="1"/>
    <col min="36" max="36" width="23.85546875" style="35" bestFit="1" customWidth="1"/>
    <col min="37" max="38" width="11.5703125" style="15"/>
    <col min="39" max="39" width="14.140625" style="139" customWidth="1"/>
    <col min="40" max="40" width="18.5703125" style="139" customWidth="1"/>
    <col min="41" max="41" width="11" style="139" bestFit="1" customWidth="1"/>
    <col min="42" max="42" width="12.140625" style="139" bestFit="1" customWidth="1"/>
    <col min="43" max="43" width="9.140625" style="139"/>
    <col min="44" max="44" width="10.5703125" style="139" bestFit="1" customWidth="1"/>
    <col min="45" max="16384" width="11.5703125" style="15"/>
  </cols>
  <sheetData>
    <row r="1" spans="1:44" s="128" customFormat="1" ht="15.75" outlineLevel="1" thickBot="1">
      <c r="A1" s="133" t="s">
        <v>440</v>
      </c>
      <c r="B1" s="133"/>
      <c r="C1" s="127">
        <f>COUNTA($D$15:$D$1000)-COUNTIF($K$15:$K$1000,"-")</f>
        <v>60</v>
      </c>
      <c r="D1" s="149" t="s">
        <v>1222</v>
      </c>
      <c r="E1" s="150">
        <f>COUNTIF($L$15:$L$1000,D1)</f>
        <v>0</v>
      </c>
      <c r="F1" s="127"/>
      <c r="G1" s="127"/>
      <c r="H1" s="127"/>
      <c r="I1" s="127"/>
      <c r="J1" s="127"/>
      <c r="K1" s="129"/>
      <c r="L1" s="127"/>
      <c r="M1" s="127"/>
      <c r="N1" s="127"/>
      <c r="O1" s="151" t="s">
        <v>1215</v>
      </c>
      <c r="P1" s="151">
        <f>COUNTIFS(Q15:Q1000,"*RVC*")</f>
        <v>0</v>
      </c>
      <c r="Q1" s="151" t="s">
        <v>895</v>
      </c>
      <c r="R1" s="151">
        <f>COUNTIFS(Q15:Q1000,"*GCS*")</f>
        <v>60</v>
      </c>
      <c r="S1" s="151" t="s">
        <v>1215</v>
      </c>
      <c r="T1" s="151">
        <f>COUNTIFS(U15:U1000,"*RVC*")</f>
        <v>0</v>
      </c>
      <c r="U1" s="151" t="s">
        <v>895</v>
      </c>
      <c r="V1" s="151">
        <f>COUNTIFS(U15:U1000,"*GCS*")</f>
        <v>60</v>
      </c>
      <c r="W1" s="151" t="s">
        <v>1215</v>
      </c>
      <c r="X1" s="151">
        <f>COUNTIFS(Y15:Y1000,"*RVC*")</f>
        <v>0</v>
      </c>
      <c r="Y1" s="151" t="s">
        <v>895</v>
      </c>
      <c r="Z1" s="151">
        <f>COUNTIFS(Y15:Y1000,"*GCS*")</f>
        <v>0</v>
      </c>
      <c r="AA1" s="151" t="s">
        <v>1215</v>
      </c>
      <c r="AB1" s="151">
        <f>COUNTIFS(AC15:AC1000,"*RVC*")</f>
        <v>0</v>
      </c>
      <c r="AC1" s="151" t="s">
        <v>895</v>
      </c>
      <c r="AD1" s="151">
        <f>COUNTIFS(AC15:AC1000,"*GCS*")</f>
        <v>0</v>
      </c>
      <c r="AE1" s="151" t="s">
        <v>1215</v>
      </c>
      <c r="AF1" s="151">
        <f>COUNTIFS(AG15:AG1000,"*RVC*")</f>
        <v>0</v>
      </c>
      <c r="AG1" s="151" t="s">
        <v>895</v>
      </c>
      <c r="AH1" s="151">
        <f>COUNTIFS(AG15:AG1000,"*GCS*")</f>
        <v>0</v>
      </c>
      <c r="AI1" s="127"/>
      <c r="AJ1" s="152"/>
    </row>
    <row r="2" spans="1:44" s="146" customFormat="1" ht="16.5" customHeight="1" outlineLevel="1">
      <c r="A2" s="153"/>
      <c r="B2" s="153" t="s">
        <v>425</v>
      </c>
      <c r="C2" s="145">
        <f>SUM(COUNTIF($L$15:$L$1000,{"*Ju*","*RCP*"}))</f>
        <v>60</v>
      </c>
      <c r="D2" s="99" t="s">
        <v>1223</v>
      </c>
      <c r="E2" s="100">
        <f>COUNTIF($L$15:$L$1000,D2)</f>
        <v>0</v>
      </c>
      <c r="F2" s="145"/>
      <c r="G2" s="145"/>
      <c r="H2" s="145"/>
      <c r="I2" s="145"/>
      <c r="J2" s="145"/>
      <c r="L2" s="154"/>
      <c r="M2" s="145"/>
      <c r="N2" s="145"/>
      <c r="O2" s="155"/>
      <c r="P2" s="156" t="s">
        <v>439</v>
      </c>
      <c r="Q2" s="156" t="s">
        <v>425</v>
      </c>
      <c r="R2" s="157" t="s">
        <v>438</v>
      </c>
      <c r="S2" s="155"/>
      <c r="T2" s="156" t="s">
        <v>439</v>
      </c>
      <c r="U2" s="156" t="s">
        <v>425</v>
      </c>
      <c r="V2" s="157" t="s">
        <v>438</v>
      </c>
      <c r="W2" s="155"/>
      <c r="X2" s="156" t="s">
        <v>439</v>
      </c>
      <c r="Y2" s="156" t="s">
        <v>425</v>
      </c>
      <c r="Z2" s="157" t="s">
        <v>438</v>
      </c>
      <c r="AA2" s="155"/>
      <c r="AB2" s="156" t="s">
        <v>439</v>
      </c>
      <c r="AC2" s="156" t="s">
        <v>425</v>
      </c>
      <c r="AD2" s="157" t="s">
        <v>438</v>
      </c>
      <c r="AE2" s="155"/>
      <c r="AF2" s="156" t="s">
        <v>439</v>
      </c>
      <c r="AG2" s="156" t="s">
        <v>425</v>
      </c>
      <c r="AH2" s="157" t="s">
        <v>438</v>
      </c>
      <c r="AI2" s="118" t="s">
        <v>1240</v>
      </c>
      <c r="AJ2" s="119" t="s">
        <v>423</v>
      </c>
      <c r="AK2" s="118" t="s">
        <v>1241</v>
      </c>
      <c r="AM2" s="158" t="s">
        <v>1264</v>
      </c>
      <c r="AN2" s="159">
        <f>Summary!P2</f>
        <v>1</v>
      </c>
      <c r="AO2" s="118" t="s">
        <v>1265</v>
      </c>
      <c r="AP2" s="118" t="s">
        <v>1266</v>
      </c>
      <c r="AQ2" s="118" t="s">
        <v>1267</v>
      </c>
      <c r="AR2" s="118" t="s">
        <v>1258</v>
      </c>
    </row>
    <row r="3" spans="1:44" s="146" customFormat="1" ht="16.5" customHeight="1" outlineLevel="1">
      <c r="A3" s="153"/>
      <c r="B3" s="153" t="s">
        <v>438</v>
      </c>
      <c r="C3" s="145">
        <f>C1-C2</f>
        <v>0</v>
      </c>
      <c r="D3" s="160"/>
      <c r="E3" s="148"/>
      <c r="F3" s="161"/>
      <c r="G3" s="161"/>
      <c r="H3" s="142" t="s">
        <v>1258</v>
      </c>
      <c r="I3" s="143" t="s">
        <v>1259</v>
      </c>
      <c r="J3" s="144" t="s">
        <v>1240</v>
      </c>
      <c r="L3" s="162"/>
      <c r="M3" s="163" t="s">
        <v>1215</v>
      </c>
      <c r="N3" s="163">
        <f>COUNTIFS($N$15:$N$1000,"*RVC*")</f>
        <v>0</v>
      </c>
      <c r="O3" s="164" t="s">
        <v>437</v>
      </c>
      <c r="P3" s="165">
        <f>SUM(Q3:R3)</f>
        <v>60</v>
      </c>
      <c r="Q3" s="166">
        <f>SUM(Q4:Q5)</f>
        <v>60</v>
      </c>
      <c r="R3" s="167">
        <f>SUM(R4:R5)</f>
        <v>0</v>
      </c>
      <c r="S3" s="164" t="s">
        <v>437</v>
      </c>
      <c r="T3" s="165">
        <f>SUM(U3:V3)</f>
        <v>60</v>
      </c>
      <c r="U3" s="166">
        <f>SUM(U4:U5)</f>
        <v>60</v>
      </c>
      <c r="V3" s="167">
        <f>SUM(V4:V5)</f>
        <v>0</v>
      </c>
      <c r="W3" s="164" t="s">
        <v>437</v>
      </c>
      <c r="X3" s="165">
        <f>SUM(Y3:Z3)</f>
        <v>0</v>
      </c>
      <c r="Y3" s="166">
        <f>SUM(Y4:Y5)</f>
        <v>0</v>
      </c>
      <c r="Z3" s="167">
        <f>SUM(Z4:Z5)</f>
        <v>0</v>
      </c>
      <c r="AA3" s="164" t="s">
        <v>437</v>
      </c>
      <c r="AB3" s="165">
        <f>SUM(AC3:AD3)</f>
        <v>0</v>
      </c>
      <c r="AC3" s="166">
        <f>SUM(AC4:AC5)</f>
        <v>0</v>
      </c>
      <c r="AD3" s="167">
        <f>SUM(AD4:AD5)</f>
        <v>0</v>
      </c>
      <c r="AE3" s="164" t="s">
        <v>437</v>
      </c>
      <c r="AF3" s="165">
        <f>SUM(AG3:AH3)</f>
        <v>0</v>
      </c>
      <c r="AG3" s="166">
        <f>SUM(AG4:AG5)</f>
        <v>0</v>
      </c>
      <c r="AH3" s="168">
        <f>SUM(AH4:AH5)</f>
        <v>0</v>
      </c>
      <c r="AI3" s="120">
        <f ca="1">SUMIFS($AI$15:$AI$1500,$L$15:$L$1500,"*Manual*", INDIRECT(VLOOKUP($AN$2,$AM$3:$AN$7,2,FALSE)),"*"&amp;AJ3&amp;"*")</f>
        <v>0</v>
      </c>
      <c r="AJ3" s="120" t="s">
        <v>1242</v>
      </c>
      <c r="AK3" s="121">
        <f ca="1">COUNTIFS($L$15:$L$1500, "*Manual*", INDIRECT(VLOOKUP($AN$2,$AM$3:$AN$7,2,FALSE)),  "*"&amp;AJ3&amp;"*")</f>
        <v>0</v>
      </c>
      <c r="AM3" s="141">
        <v>1</v>
      </c>
      <c r="AN3" s="141" t="s">
        <v>1268</v>
      </c>
      <c r="AO3" s="141">
        <f ca="1">SUMIFS($AI$15:$AI$1500,$L$15:$L$1500,"*Manual*", INDIRECT(AN3),"&lt;&gt;"&amp;"")</f>
        <v>0</v>
      </c>
      <c r="AP3" s="141">
        <f ca="1">COUNTIFS($L$15:$L$1500,"*Manual*",INDIRECT(AN3),"&lt;&gt;"&amp;"")</f>
        <v>0</v>
      </c>
      <c r="AQ3" s="141">
        <f ca="1">IFERROR(AO3/AP3,0)</f>
        <v>0</v>
      </c>
      <c r="AR3" s="141" t="str">
        <f ca="1">IF(AQ3&gt;0,IF(AQ3&gt;=14,"D",IF(AQ3&gt;=8,"N","E")),"NOT-YET")</f>
        <v>NOT-YET</v>
      </c>
    </row>
    <row r="4" spans="1:44" s="146" customFormat="1" ht="16.5" customHeight="1" outlineLevel="1">
      <c r="C4" s="145"/>
      <c r="D4" s="160"/>
      <c r="E4" s="148"/>
      <c r="H4" s="145" t="s">
        <v>1260</v>
      </c>
      <c r="I4" s="146">
        <f ca="1">COUNTIFS($L$15:$L$1500,"*Manual*",INDIRECT(VLOOKUP($AN$2,$AM$3:$AN$7,2,FALSE)),  "&lt;&gt;"&amp;"", $AI$15:$AI$1500,"*"&amp;H4&amp;"*")</f>
        <v>0</v>
      </c>
      <c r="J4" s="147">
        <f ca="1">SUMIFS($AI$15:$AI$1500,$L$15:$L$1500,"*Manual*", INDIRECT(VLOOKUP($AN$2,$AM$3:$AN$7,2,FALSE)),"&lt;&gt;"&amp;"",$AJ$15:$AJ$1500,"*"&amp;H4&amp;"*")</f>
        <v>0</v>
      </c>
      <c r="M4" s="163" t="s">
        <v>895</v>
      </c>
      <c r="N4" s="163">
        <f>COUNTIFS($N$15:$N$1000,"*GCS*")</f>
        <v>60</v>
      </c>
      <c r="O4" s="169" t="s">
        <v>0</v>
      </c>
      <c r="P4" s="170">
        <f>COUNTIF(O$15:O$1000,O4)</f>
        <v>60</v>
      </c>
      <c r="Q4" s="166">
        <f>SUM(COUNTIFS(Q$15:Q$2500,{"*Ju*","*RCP*"},O$15:O$2500,O4))</f>
        <v>60</v>
      </c>
      <c r="R4" s="171">
        <f>P4-Q4</f>
        <v>0</v>
      </c>
      <c r="S4" s="169" t="s">
        <v>0</v>
      </c>
      <c r="T4" s="170">
        <f>COUNTIF(S$15:S$1000,S4)</f>
        <v>60</v>
      </c>
      <c r="U4" s="166">
        <f>SUM(COUNTIFS(U$15:U$2500,{"*Ju*","*RCP*"},S$15:S$2500,S4))</f>
        <v>60</v>
      </c>
      <c r="V4" s="171">
        <f>T4-U4</f>
        <v>0</v>
      </c>
      <c r="W4" s="169" t="s">
        <v>0</v>
      </c>
      <c r="X4" s="170">
        <f>COUNTIF(W$15:W$1000,W4)</f>
        <v>0</v>
      </c>
      <c r="Y4" s="166">
        <f>SUM(COUNTIFS(Y$15:Y$2500,{"*Ju*","*RCP*"},W$15:W$2500,W4))</f>
        <v>0</v>
      </c>
      <c r="Z4" s="171">
        <f>X4-Y4</f>
        <v>0</v>
      </c>
      <c r="AA4" s="169" t="s">
        <v>0</v>
      </c>
      <c r="AB4" s="170">
        <f>COUNTIF(AA$15:AA$1000,AA4)</f>
        <v>0</v>
      </c>
      <c r="AC4" s="166">
        <f>SUM(COUNTIFS(AC$15:AC$2500,{"*Ju*","*RCP*"},AA$15:AA$2500,AA4))</f>
        <v>0</v>
      </c>
      <c r="AD4" s="171">
        <f>AB4-AC4</f>
        <v>0</v>
      </c>
      <c r="AE4" s="169" t="s">
        <v>0</v>
      </c>
      <c r="AF4" s="170">
        <f>COUNTIF(AE$15:AE$1000,AE4)</f>
        <v>0</v>
      </c>
      <c r="AG4" s="166">
        <f>SUM(COUNTIFS(AG$15:AG$2500,{"*Ju*","*RCP*"},AE$15:AE$2500,AE4))</f>
        <v>0</v>
      </c>
      <c r="AH4" s="172">
        <f>AF4-AG4</f>
        <v>0</v>
      </c>
      <c r="AI4" s="120">
        <f t="shared" ref="AI4:AI8" ca="1" si="0">SUMIFS($AI$15:$AI$1500,$L$15:$L$1500,"*Manual*", INDIRECT(VLOOKUP($AN$2,$AM$3:$AN$7,2,FALSE)),"*"&amp;AJ4&amp;"*")</f>
        <v>0</v>
      </c>
      <c r="AJ4" s="120" t="s">
        <v>1243</v>
      </c>
      <c r="AK4" s="121">
        <f t="shared" ref="AK4:AK9" ca="1" si="1">COUNTIFS($L$15:$L$1500, "*Manual*", INDIRECT(VLOOKUP($AN$2,$AM$3:$AN$7,2,FALSE)),  "*"&amp;AJ4&amp;"*")</f>
        <v>0</v>
      </c>
      <c r="AM4" s="141">
        <v>2</v>
      </c>
      <c r="AN4" s="141" t="s">
        <v>1269</v>
      </c>
      <c r="AO4" s="141">
        <f t="shared" ref="AO4:AO7" ca="1" si="2">SUMIFS($AI$15:$AI$1500,$L$15:$L$1500,"*Manual*", INDIRECT(AN4),"&lt;&gt;"&amp;"")</f>
        <v>0</v>
      </c>
      <c r="AP4" s="141">
        <f t="shared" ref="AP4:AP7" ca="1" si="3">COUNTIFS($L$15:$L$1500,"*Manual*",INDIRECT(AN4),"&lt;&gt;"&amp;"")</f>
        <v>0</v>
      </c>
      <c r="AQ4" s="141">
        <f t="shared" ref="AQ4:AQ7" ca="1" si="4">IFERROR(AO4/AP4,0)</f>
        <v>0</v>
      </c>
      <c r="AR4" s="141" t="str">
        <f t="shared" ref="AR4:AR7" ca="1" si="5">IF(AQ4&gt;0,IF(AQ4&gt;=14,"D",IF(AQ4&gt;=8,"N","E")),"NOT-YET")</f>
        <v>NOT-YET</v>
      </c>
    </row>
    <row r="5" spans="1:44" s="146" customFormat="1" ht="16.5" customHeight="1" outlineLevel="1">
      <c r="C5" s="145"/>
      <c r="D5" s="160"/>
      <c r="E5" s="148"/>
      <c r="H5" s="145" t="s">
        <v>1261</v>
      </c>
      <c r="I5" s="146">
        <f t="shared" ref="I5:I6" ca="1" si="6">COUNTIFS($L$15:$L$1500,"*Manual*",INDIRECT(VLOOKUP($AN$2,$AM$3:$AN$7,2,FALSE)),  "&lt;&gt;"&amp;"", $AI$15:$AI$1500,"*"&amp;H5&amp;"*")</f>
        <v>0</v>
      </c>
      <c r="J5" s="147">
        <f t="shared" ref="J5:J6" ca="1" si="7">SUMIFS($AI$15:$AI$1500,$L$15:$L$1500,"*Manual*", INDIRECT(VLOOKUP($AN$2,$AM$3:$AN$7,2,FALSE)),"&lt;&gt;"&amp;"",$AJ$15:$AJ$1500,"*"&amp;H5&amp;"*")</f>
        <v>0</v>
      </c>
      <c r="K5" s="148"/>
      <c r="M5" s="101" t="s">
        <v>0</v>
      </c>
      <c r="N5" s="101">
        <f>COUNTIFS($M$15:$M$1000,"*Pass*")</f>
        <v>60</v>
      </c>
      <c r="O5" s="173" t="s">
        <v>436</v>
      </c>
      <c r="P5" s="174">
        <f>SUM(P6:P9)</f>
        <v>0</v>
      </c>
      <c r="Q5" s="166">
        <f>SUM(Q6:Q9)</f>
        <v>0</v>
      </c>
      <c r="R5" s="171">
        <f>SUM(R6:R9)</f>
        <v>0</v>
      </c>
      <c r="S5" s="173" t="s">
        <v>436</v>
      </c>
      <c r="T5" s="174">
        <f>SUM(T6:T9)</f>
        <v>0</v>
      </c>
      <c r="U5" s="166">
        <f>SUM(U6:U9)</f>
        <v>0</v>
      </c>
      <c r="V5" s="171">
        <f>SUM(V6:V9)</f>
        <v>0</v>
      </c>
      <c r="W5" s="173" t="s">
        <v>436</v>
      </c>
      <c r="X5" s="174">
        <f>SUM(X6:X9)</f>
        <v>0</v>
      </c>
      <c r="Y5" s="166">
        <f>SUM(Y6:Y9)</f>
        <v>0</v>
      </c>
      <c r="Z5" s="171">
        <f>SUM(Z6:Z9)</f>
        <v>0</v>
      </c>
      <c r="AA5" s="173" t="s">
        <v>436</v>
      </c>
      <c r="AB5" s="174">
        <f>SUM(AB6:AB9)</f>
        <v>0</v>
      </c>
      <c r="AC5" s="166">
        <f>SUM(AC6:AC9)</f>
        <v>0</v>
      </c>
      <c r="AD5" s="171">
        <f>SUM(AD6:AD9)</f>
        <v>0</v>
      </c>
      <c r="AE5" s="173" t="s">
        <v>436</v>
      </c>
      <c r="AF5" s="174">
        <f>SUM(AF6:AF9)</f>
        <v>0</v>
      </c>
      <c r="AG5" s="166">
        <f>SUM(AG6:AG9)</f>
        <v>0</v>
      </c>
      <c r="AH5" s="172">
        <f>SUM(AH6:AH9)</f>
        <v>0</v>
      </c>
      <c r="AI5" s="120">
        <f t="shared" ca="1" si="0"/>
        <v>0</v>
      </c>
      <c r="AJ5" s="120" t="s">
        <v>1244</v>
      </c>
      <c r="AK5" s="121">
        <f t="shared" ca="1" si="1"/>
        <v>0</v>
      </c>
      <c r="AM5" s="141">
        <v>3</v>
      </c>
      <c r="AN5" s="141" t="s">
        <v>1270</v>
      </c>
      <c r="AO5" s="141">
        <f t="shared" ca="1" si="2"/>
        <v>0</v>
      </c>
      <c r="AP5" s="141">
        <f t="shared" ca="1" si="3"/>
        <v>0</v>
      </c>
      <c r="AQ5" s="141">
        <f t="shared" ca="1" si="4"/>
        <v>0</v>
      </c>
      <c r="AR5" s="141" t="str">
        <f t="shared" ca="1" si="5"/>
        <v>NOT-YET</v>
      </c>
    </row>
    <row r="6" spans="1:44" s="146" customFormat="1" ht="16.5" customHeight="1" outlineLevel="1">
      <c r="A6" s="175" t="s">
        <v>1224</v>
      </c>
      <c r="C6" s="145">
        <f>COUNTIF($K$15:$K$1000,"5.3")</f>
        <v>0</v>
      </c>
      <c r="D6" s="145"/>
      <c r="E6" s="160"/>
      <c r="H6" s="145" t="s">
        <v>1262</v>
      </c>
      <c r="I6" s="146">
        <f t="shared" ca="1" si="6"/>
        <v>0</v>
      </c>
      <c r="J6" s="147">
        <f t="shared" ca="1" si="7"/>
        <v>0</v>
      </c>
      <c r="K6" s="148"/>
      <c r="M6" s="101" t="s">
        <v>436</v>
      </c>
      <c r="N6" s="101">
        <f>COUNTIFS($M$15:$M$1000,"*Fail*")</f>
        <v>0</v>
      </c>
      <c r="O6" s="173" t="s">
        <v>435</v>
      </c>
      <c r="P6" s="174">
        <f>COUNTIF(O$15:O$1000,"*"&amp;O6&amp;"*")</f>
        <v>0</v>
      </c>
      <c r="Q6" s="166">
        <f>SUM(COUNTIFS(Q$15:Q$2500,{"*Ju*","*RCP*"},O$15:O$2500,O6))</f>
        <v>0</v>
      </c>
      <c r="R6" s="171">
        <f>P6-Q6</f>
        <v>0</v>
      </c>
      <c r="S6" s="173" t="s">
        <v>435</v>
      </c>
      <c r="T6" s="174">
        <f>COUNTIF(S$15:S$1000,"*"&amp;S6&amp;"*")</f>
        <v>0</v>
      </c>
      <c r="U6" s="166">
        <f>SUM(COUNTIFS(U$15:U$2500,{"*Ju*","*RCP*"},S$15:S$2500,S6))</f>
        <v>0</v>
      </c>
      <c r="V6" s="171">
        <f>T6-U6</f>
        <v>0</v>
      </c>
      <c r="W6" s="173" t="s">
        <v>435</v>
      </c>
      <c r="X6" s="174">
        <f>COUNTIF(W$15:W$1000,"*"&amp;W6&amp;"*")</f>
        <v>0</v>
      </c>
      <c r="Y6" s="166">
        <f>SUM(COUNTIFS(Y$15:Y$2500,{"*Ju*","*RCP*"},W$15:W$2500,W6))</f>
        <v>0</v>
      </c>
      <c r="Z6" s="171">
        <f>X6-Y6</f>
        <v>0</v>
      </c>
      <c r="AA6" s="173" t="s">
        <v>435</v>
      </c>
      <c r="AB6" s="174">
        <f>COUNTIF(AA$15:AA$1000,"*"&amp;AA6&amp;"*")</f>
        <v>0</v>
      </c>
      <c r="AC6" s="166">
        <f>SUM(COUNTIFS(AC$15:AC$2500,{"*Ju*","*RCP*"},AA$15:AA$2500,AA6))</f>
        <v>0</v>
      </c>
      <c r="AD6" s="171">
        <f>AB6-AC6</f>
        <v>0</v>
      </c>
      <c r="AE6" s="173" t="s">
        <v>435</v>
      </c>
      <c r="AF6" s="174">
        <f>COUNTIF(AE$15:AE$1000,"*"&amp;AE6&amp;"*")</f>
        <v>0</v>
      </c>
      <c r="AG6" s="166">
        <f>SUM(COUNTIFS(AG$15:AG$2500,{"*Ju*","*RCP*"},AE$15:AE$2500,AE6))</f>
        <v>0</v>
      </c>
      <c r="AH6" s="172">
        <f>AF6-AG6</f>
        <v>0</v>
      </c>
      <c r="AI6" s="120">
        <f t="shared" ca="1" si="0"/>
        <v>0</v>
      </c>
      <c r="AJ6" s="120" t="s">
        <v>1245</v>
      </c>
      <c r="AK6" s="121">
        <f t="shared" ca="1" si="1"/>
        <v>0</v>
      </c>
      <c r="AM6" s="141">
        <v>4</v>
      </c>
      <c r="AN6" s="141" t="s">
        <v>1271</v>
      </c>
      <c r="AO6" s="141">
        <f t="shared" ca="1" si="2"/>
        <v>0</v>
      </c>
      <c r="AP6" s="141">
        <f t="shared" ca="1" si="3"/>
        <v>0</v>
      </c>
      <c r="AQ6" s="141">
        <f ca="1">IFERROR(AO6/AP6,0)</f>
        <v>0</v>
      </c>
      <c r="AR6" s="141" t="str">
        <f t="shared" ca="1" si="5"/>
        <v>NOT-YET</v>
      </c>
    </row>
    <row r="7" spans="1:44" s="146" customFormat="1" ht="16.5" customHeight="1" outlineLevel="1">
      <c r="C7" s="145"/>
      <c r="D7" s="145"/>
      <c r="E7" s="160"/>
      <c r="H7" s="145"/>
      <c r="I7" s="148"/>
      <c r="K7" s="148"/>
      <c r="M7" s="101" t="s">
        <v>1225</v>
      </c>
      <c r="N7" s="101">
        <f>COUNTIFS($M$15:$M$1000,"*Skip*")</f>
        <v>0</v>
      </c>
      <c r="O7" s="173" t="s">
        <v>283</v>
      </c>
      <c r="P7" s="174">
        <f>COUNTIF(O$15:O$1000,"*"&amp;O7&amp;"*")</f>
        <v>0</v>
      </c>
      <c r="Q7" s="166">
        <f>SUM(COUNTIFS(Q$15:Q$2500,{"*Ju*","*RCP*"},O$15:O$2500,O7))</f>
        <v>0</v>
      </c>
      <c r="R7" s="171">
        <f>P7-Q7</f>
        <v>0</v>
      </c>
      <c r="S7" s="173" t="s">
        <v>283</v>
      </c>
      <c r="T7" s="174">
        <f>COUNTIF(S$15:S$1000,"*"&amp;S7&amp;"*")</f>
        <v>0</v>
      </c>
      <c r="U7" s="166">
        <f>SUM(COUNTIFS(U$15:U$2500,{"*Ju*","*RCP*"},S$15:S$2500,S7))</f>
        <v>0</v>
      </c>
      <c r="V7" s="171">
        <f>T7-U7</f>
        <v>0</v>
      </c>
      <c r="W7" s="173" t="s">
        <v>283</v>
      </c>
      <c r="X7" s="174">
        <f>COUNTIF(W$15:W$1000,"*"&amp;W7&amp;"*")</f>
        <v>0</v>
      </c>
      <c r="Y7" s="166">
        <f>SUM(COUNTIFS(Y$15:Y$2500,{"*Ju*","*RCP*"},W$15:W$2500,W7))</f>
        <v>0</v>
      </c>
      <c r="Z7" s="171">
        <f>X7-Y7</f>
        <v>0</v>
      </c>
      <c r="AA7" s="173" t="s">
        <v>283</v>
      </c>
      <c r="AB7" s="174">
        <f>COUNTIF(AA$15:AA$1000,"*"&amp;AA7&amp;"*")</f>
        <v>0</v>
      </c>
      <c r="AC7" s="166">
        <f>SUM(COUNTIFS(AC$15:AC$2500,{"*Ju*","*RCP*"},AA$15:AA$2500,AA7))</f>
        <v>0</v>
      </c>
      <c r="AD7" s="171">
        <f>AB7-AC7</f>
        <v>0</v>
      </c>
      <c r="AE7" s="173" t="s">
        <v>283</v>
      </c>
      <c r="AF7" s="174">
        <f>COUNTIF(AE$15:AE$1000,"*"&amp;AE7&amp;"*")</f>
        <v>0</v>
      </c>
      <c r="AG7" s="166">
        <f>SUM(COUNTIFS(AG$15:AG$2500,{"*Ju*","*RCP*"},AE$15:AE$2500,AE7))</f>
        <v>0</v>
      </c>
      <c r="AH7" s="172">
        <f>AF7-AG7</f>
        <v>0</v>
      </c>
      <c r="AI7" s="120">
        <f t="shared" ca="1" si="0"/>
        <v>0</v>
      </c>
      <c r="AJ7" s="120" t="s">
        <v>1246</v>
      </c>
      <c r="AK7" s="121">
        <f t="shared" ca="1" si="1"/>
        <v>0</v>
      </c>
      <c r="AM7" s="141">
        <v>5</v>
      </c>
      <c r="AN7" s="141" t="s">
        <v>1272</v>
      </c>
      <c r="AO7" s="141">
        <f t="shared" ca="1" si="2"/>
        <v>0</v>
      </c>
      <c r="AP7" s="141">
        <f t="shared" ca="1" si="3"/>
        <v>0</v>
      </c>
      <c r="AQ7" s="141">
        <f t="shared" ca="1" si="4"/>
        <v>0</v>
      </c>
      <c r="AR7" s="141" t="str">
        <f t="shared" ca="1" si="5"/>
        <v>NOT-YET</v>
      </c>
    </row>
    <row r="8" spans="1:44" s="146" customFormat="1" ht="16.5" customHeight="1" outlineLevel="1">
      <c r="C8" s="145"/>
      <c r="D8" s="145"/>
      <c r="E8" s="160"/>
      <c r="H8" s="122" t="s">
        <v>1263</v>
      </c>
      <c r="I8" s="146">
        <f ca="1">COUNTIFS($L$15:$L$1500,"*Manual*",INDIRECT(VLOOKUP($AN$2,$AM$3:$AN$7,2,FALSE)),  "&lt;&gt;"&amp;"", $AI$15:$AI$1500,"&gt;=60")</f>
        <v>0</v>
      </c>
      <c r="J8" s="147">
        <f ca="1">SUMIFS($AI$15:$AI$1500,$L$15:$L$1500,"*Manual*", INDIRECT(VLOOKUP($AN$2,$AM$3:$AN$7,2,FALSE)),"&lt;&gt;"&amp;"",$AI$15:$AI$1500,"&gt;=60")</f>
        <v>0</v>
      </c>
      <c r="K8" s="148"/>
      <c r="O8" s="173" t="s">
        <v>434</v>
      </c>
      <c r="P8" s="174">
        <f>COUNTIF(O$15:O$1000,"*"&amp;O8&amp;"*")</f>
        <v>0</v>
      </c>
      <c r="Q8" s="166">
        <f>SUM(COUNTIFS(Q$15:Q$2500,{"*Ju*","*RCP*"},O$15:O$2500,O8))</f>
        <v>0</v>
      </c>
      <c r="R8" s="171">
        <f>P8-Q8</f>
        <v>0</v>
      </c>
      <c r="S8" s="173" t="s">
        <v>434</v>
      </c>
      <c r="T8" s="174">
        <f>COUNTIF(S$15:S$1000,"*"&amp;S8&amp;"*")</f>
        <v>0</v>
      </c>
      <c r="U8" s="166">
        <f>SUM(COUNTIFS(U$15:U$2500,{"*Ju*","*RCP*"},S$15:S$2500,S8))</f>
        <v>0</v>
      </c>
      <c r="V8" s="171">
        <f>T8-U8</f>
        <v>0</v>
      </c>
      <c r="W8" s="173" t="s">
        <v>434</v>
      </c>
      <c r="X8" s="174">
        <f>COUNTIF(W$15:W$1000,"*"&amp;W8&amp;"*")</f>
        <v>0</v>
      </c>
      <c r="Y8" s="166">
        <f>SUM(COUNTIFS(Y$15:Y$2500,{"*Ju*","*RCP*"},W$15:W$2500,W8))</f>
        <v>0</v>
      </c>
      <c r="Z8" s="171">
        <f>X8-Y8</f>
        <v>0</v>
      </c>
      <c r="AA8" s="173" t="s">
        <v>434</v>
      </c>
      <c r="AB8" s="174">
        <f>COUNTIF(AA$15:AA$1000,"*"&amp;AA8&amp;"*")</f>
        <v>0</v>
      </c>
      <c r="AC8" s="166">
        <f>SUM(COUNTIFS(AC$15:AC$2500,{"*Ju*","*RCP*"},AA$15:AA$2500,AA8))</f>
        <v>0</v>
      </c>
      <c r="AD8" s="171">
        <f>AB8-AC8</f>
        <v>0</v>
      </c>
      <c r="AE8" s="173" t="s">
        <v>434</v>
      </c>
      <c r="AF8" s="174">
        <f>COUNTIF(AE$15:AE$1000,"*"&amp;AE8&amp;"*")</f>
        <v>0</v>
      </c>
      <c r="AG8" s="166">
        <f>SUM(COUNTIFS(AG$15:AG$2500,{"*Ju*","*RCP*"},AE$15:AE$2500,AE8))</f>
        <v>0</v>
      </c>
      <c r="AH8" s="172">
        <f>AF8-AG8</f>
        <v>0</v>
      </c>
      <c r="AI8" s="120">
        <f t="shared" ca="1" si="0"/>
        <v>0</v>
      </c>
      <c r="AJ8" s="120" t="s">
        <v>1276</v>
      </c>
      <c r="AK8" s="121">
        <f t="shared" ca="1" si="1"/>
        <v>0</v>
      </c>
      <c r="AO8" s="176"/>
    </row>
    <row r="9" spans="1:44" s="146" customFormat="1" ht="16.5" customHeight="1" outlineLevel="1">
      <c r="C9" s="145"/>
      <c r="D9" s="145"/>
      <c r="E9" s="160"/>
      <c r="I9" s="161"/>
      <c r="J9" s="145"/>
      <c r="K9" s="148"/>
      <c r="O9" s="173" t="s">
        <v>18</v>
      </c>
      <c r="P9" s="174">
        <f>COUNTIF(O$15:O$1000,"*"&amp;O9&amp;"*")</f>
        <v>0</v>
      </c>
      <c r="Q9" s="166">
        <f>SUM(COUNTIFS(Q$15:Q$2500,{"*Ju*","*RCP*"},O$15:O$2500,O9))</f>
        <v>0</v>
      </c>
      <c r="R9" s="171">
        <f>P9-Q9</f>
        <v>0</v>
      </c>
      <c r="S9" s="173" t="s">
        <v>18</v>
      </c>
      <c r="T9" s="174">
        <f>COUNTIF(S$15:S$1000,"*"&amp;S9&amp;"*")</f>
        <v>0</v>
      </c>
      <c r="U9" s="166">
        <f>SUM(COUNTIFS(U$15:U$2500,{"*Ju*","*RCP*"},S$15:S$2500,S9))</f>
        <v>0</v>
      </c>
      <c r="V9" s="171">
        <f>T9-U9</f>
        <v>0</v>
      </c>
      <c r="W9" s="173" t="s">
        <v>18</v>
      </c>
      <c r="X9" s="174">
        <f>COUNTIF(W$15:W$1000,"*"&amp;W9&amp;"*")</f>
        <v>0</v>
      </c>
      <c r="Y9" s="166">
        <f>SUM(COUNTIFS(Y$15:Y$2500,{"*Ju*","*RCP*"},W$15:W$2500,W9))</f>
        <v>0</v>
      </c>
      <c r="Z9" s="171">
        <f>X9-Y9</f>
        <v>0</v>
      </c>
      <c r="AA9" s="173" t="s">
        <v>18</v>
      </c>
      <c r="AB9" s="174">
        <f>COUNTIF(AA$15:AA$1000,"*"&amp;AA9&amp;"*")</f>
        <v>0</v>
      </c>
      <c r="AC9" s="166">
        <f>SUM(COUNTIFS(AC$15:AC$2500,{"*Ju*","*RCP*"},AA$15:AA$2500,AA9))</f>
        <v>0</v>
      </c>
      <c r="AD9" s="171">
        <f>AB9-AC9</f>
        <v>0</v>
      </c>
      <c r="AE9" s="173" t="s">
        <v>18</v>
      </c>
      <c r="AF9" s="174">
        <f>COUNTIF(AE$15:AE$1000,"*"&amp;AE9&amp;"*")</f>
        <v>0</v>
      </c>
      <c r="AG9" s="166">
        <f>SUM(COUNTIFS(AG$15:AG$2500,{"*Ju*","*RCP*"},AE$15:AE$2500,AE9))</f>
        <v>0</v>
      </c>
      <c r="AH9" s="172">
        <f>AF9-AG9</f>
        <v>0</v>
      </c>
      <c r="AI9" s="120">
        <f ca="1">SUMIFS($AI$15:$AI$1500,$L$15:$L$1500,"*Manual*", INDIRECT(VLOOKUP($AN$2,$AM$3:$AN$7,2,FALSE)),"*"&amp;AJ9&amp;"*")</f>
        <v>0</v>
      </c>
      <c r="AJ9" s="120" t="s">
        <v>1277</v>
      </c>
      <c r="AK9" s="121">
        <f t="shared" ca="1" si="1"/>
        <v>0</v>
      </c>
      <c r="AM9" s="177"/>
      <c r="AN9" s="177"/>
    </row>
    <row r="10" spans="1:44" s="146" customFormat="1" ht="16.5" customHeight="1" outlineLevel="1" thickBot="1">
      <c r="C10" s="145"/>
      <c r="D10" s="145"/>
      <c r="E10" s="160"/>
      <c r="I10" s="161"/>
      <c r="J10" s="145"/>
      <c r="K10" s="148"/>
      <c r="O10" s="178" t="s">
        <v>1278</v>
      </c>
      <c r="P10" s="179">
        <f>COUNTIF(O$15:O$1000,"*"&amp;O10&amp;"*")</f>
        <v>0</v>
      </c>
      <c r="Q10" s="166">
        <f>SUM(COUNTIFS(Q$15:Q$2500,{"*Ju*","*RCP*"},O$15:O$2500,O10))</f>
        <v>0</v>
      </c>
      <c r="R10" s="180">
        <f>P10-Q10</f>
        <v>0</v>
      </c>
      <c r="S10" s="178" t="s">
        <v>1278</v>
      </c>
      <c r="T10" s="179">
        <f>COUNTIF(S$15:S$1000,"*"&amp;S10&amp;"*")</f>
        <v>0</v>
      </c>
      <c r="U10" s="166">
        <f>SUM(COUNTIFS(U$15:U$2500,{"*Ju*","*RCP*"},S$15:S$2500,S10))</f>
        <v>0</v>
      </c>
      <c r="V10" s="180">
        <f>T10-U10</f>
        <v>0</v>
      </c>
      <c r="W10" s="178" t="s">
        <v>1278</v>
      </c>
      <c r="X10" s="179">
        <f>COUNTIF(W$15:W$1000,"*"&amp;W10&amp;"*")</f>
        <v>0</v>
      </c>
      <c r="Y10" s="166">
        <f>SUM(COUNTIFS(Y$15:Y$2500,{"*Ju*","*RCP*"},W$15:W$2500,W10))</f>
        <v>0</v>
      </c>
      <c r="Z10" s="180">
        <f>X10-Y10</f>
        <v>0</v>
      </c>
      <c r="AA10" s="178" t="s">
        <v>1278</v>
      </c>
      <c r="AB10" s="179">
        <f>COUNTIF(AA$15:AA$1000,"*"&amp;AA10&amp;"*")</f>
        <v>0</v>
      </c>
      <c r="AC10" s="166">
        <f>SUM(COUNTIFS(AC$15:AC$2500,{"*Ju*","*RCP*"},AA$15:AA$2500,AA10))</f>
        <v>0</v>
      </c>
      <c r="AD10" s="180">
        <f>AB10-AC10</f>
        <v>0</v>
      </c>
      <c r="AE10" s="178" t="s">
        <v>1278</v>
      </c>
      <c r="AF10" s="179">
        <f>COUNTIF(AE$15:AE$1000,"*"&amp;AE10&amp;"*")</f>
        <v>0</v>
      </c>
      <c r="AG10" s="166">
        <f>SUM(COUNTIFS(AG$15:AG$2500,{"*Ju*","*RCP*"},AE$15:AE$2500,AE10))</f>
        <v>0</v>
      </c>
      <c r="AH10" s="181">
        <f>AF10-AG10</f>
        <v>0</v>
      </c>
      <c r="AI10" s="182">
        <f ca="1">SUM(AI3:AI9)</f>
        <v>0</v>
      </c>
      <c r="AJ10" s="191">
        <f ca="1" xml:space="preserve"> IFERROR($AG$10/$AI$10,0)</f>
        <v>0</v>
      </c>
      <c r="AK10" s="183">
        <f ca="1">SUM(AK3:AK9)</f>
        <v>0</v>
      </c>
      <c r="AM10" s="147"/>
      <c r="AN10" s="147"/>
    </row>
    <row r="11" spans="1:44" s="128" customFormat="1" outlineLevel="1">
      <c r="A11" s="133"/>
      <c r="B11" s="133"/>
      <c r="C11" s="127"/>
      <c r="D11" s="127"/>
      <c r="E11" s="184"/>
      <c r="F11" s="185"/>
      <c r="G11" s="185"/>
      <c r="H11" s="185"/>
      <c r="I11" s="185"/>
      <c r="J11" s="127"/>
      <c r="K11" s="129"/>
      <c r="L11" s="185"/>
      <c r="M11" s="185"/>
      <c r="N11" s="185"/>
      <c r="O11" s="226">
        <v>1</v>
      </c>
      <c r="P11" s="226"/>
      <c r="Q11" s="226"/>
      <c r="R11" s="226"/>
      <c r="S11" s="226">
        <v>2</v>
      </c>
      <c r="T11" s="226"/>
      <c r="U11" s="226"/>
      <c r="V11" s="226"/>
      <c r="W11" s="226">
        <v>3</v>
      </c>
      <c r="X11" s="226"/>
      <c r="Y11" s="226"/>
      <c r="Z11" s="226"/>
      <c r="AA11" s="226">
        <v>4</v>
      </c>
      <c r="AB11" s="226"/>
      <c r="AC11" s="226"/>
      <c r="AD11" s="226"/>
      <c r="AE11" s="226">
        <v>5</v>
      </c>
      <c r="AF11" s="226"/>
      <c r="AG11" s="226"/>
      <c r="AH11" s="226"/>
      <c r="AI11" s="227" t="s">
        <v>1275</v>
      </c>
      <c r="AJ11" s="228"/>
      <c r="AM11" s="223" t="s">
        <v>1273</v>
      </c>
      <c r="AN11" s="224"/>
    </row>
    <row r="12" spans="1:44" s="128" customFormat="1" outlineLevel="1">
      <c r="C12" s="127"/>
      <c r="D12" s="127"/>
      <c r="E12" s="127"/>
      <c r="I12" s="185"/>
      <c r="O12" s="225" t="str">
        <f>Summary!R4</f>
        <v>e2studio_v5.4.0.001-Part1</v>
      </c>
      <c r="P12" s="225"/>
      <c r="Q12" s="225"/>
      <c r="R12" s="225"/>
      <c r="S12" s="225" t="str">
        <f>Summary!AM4</f>
        <v>e2studio_v5.4.0.005</v>
      </c>
      <c r="T12" s="225"/>
      <c r="U12" s="225"/>
      <c r="V12" s="225"/>
      <c r="W12" s="225" t="str">
        <f>Summary!BH4</f>
        <v>TBD</v>
      </c>
      <c r="X12" s="225"/>
      <c r="Y12" s="225"/>
      <c r="Z12" s="225"/>
      <c r="AA12" s="225" t="str">
        <f>Summary!CC4</f>
        <v>TBD</v>
      </c>
      <c r="AB12" s="225"/>
      <c r="AC12" s="225"/>
      <c r="AD12" s="225"/>
      <c r="AE12" s="225" t="str">
        <f>Summary!CX4</f>
        <v>TBD</v>
      </c>
      <c r="AF12" s="225"/>
      <c r="AG12" s="225"/>
      <c r="AH12" s="225"/>
      <c r="AI12" s="130">
        <f>SUM(AI15:AI1500)</f>
        <v>0</v>
      </c>
      <c r="AJ12" s="130" t="str">
        <f ca="1">IF($AJ$10&gt;0,IF($AJ$10&gt;=14,"D",IF($AJ$10&gt;=8,"N","E")),"NOT-YET")</f>
        <v>NOT-YET</v>
      </c>
      <c r="AK12" s="12"/>
      <c r="AL12" s="12"/>
      <c r="AM12" s="130">
        <f>SUM($AM$15:$AM$1500)</f>
        <v>0</v>
      </c>
      <c r="AN12" s="130" t="str">
        <f>IF(AM12&gt;0,IF($AN$14&gt;=14,"D",IF($AN$14&gt;=8,"N","E")),"NOT-YET")</f>
        <v>NOT-YET</v>
      </c>
    </row>
    <row r="13" spans="1:44" s="12" customFormat="1" ht="51" customHeight="1">
      <c r="A13" s="13"/>
      <c r="B13" s="17" t="s">
        <v>431</v>
      </c>
      <c r="C13" s="18" t="s">
        <v>430</v>
      </c>
      <c r="D13" s="17" t="s">
        <v>429</v>
      </c>
      <c r="E13" s="18" t="s">
        <v>428</v>
      </c>
      <c r="F13" s="188" t="s">
        <v>1209</v>
      </c>
      <c r="G13" s="219" t="s">
        <v>1283</v>
      </c>
      <c r="H13" s="220"/>
      <c r="I13" s="18" t="s">
        <v>426</v>
      </c>
      <c r="J13" s="19" t="s">
        <v>427</v>
      </c>
      <c r="K13" s="19" t="s">
        <v>1210</v>
      </c>
      <c r="L13" s="20" t="s">
        <v>425</v>
      </c>
      <c r="M13" s="221" t="s">
        <v>1281</v>
      </c>
      <c r="N13" s="221"/>
      <c r="O13" s="18" t="s">
        <v>424</v>
      </c>
      <c r="P13" s="21" t="s">
        <v>73</v>
      </c>
      <c r="Q13" s="18" t="s">
        <v>423</v>
      </c>
      <c r="R13" s="18" t="s">
        <v>422</v>
      </c>
      <c r="S13" s="18" t="s">
        <v>424</v>
      </c>
      <c r="T13" s="21" t="s">
        <v>73</v>
      </c>
      <c r="U13" s="18" t="s">
        <v>423</v>
      </c>
      <c r="V13" s="18" t="s">
        <v>422</v>
      </c>
      <c r="W13" s="18" t="s">
        <v>424</v>
      </c>
      <c r="X13" s="21" t="s">
        <v>73</v>
      </c>
      <c r="Y13" s="18" t="s">
        <v>423</v>
      </c>
      <c r="Z13" s="18" t="s">
        <v>422</v>
      </c>
      <c r="AA13" s="18" t="s">
        <v>424</v>
      </c>
      <c r="AB13" s="21" t="s">
        <v>73</v>
      </c>
      <c r="AC13" s="18" t="s">
        <v>423</v>
      </c>
      <c r="AD13" s="18" t="s">
        <v>422</v>
      </c>
      <c r="AE13" s="18" t="s">
        <v>424</v>
      </c>
      <c r="AF13" s="21" t="s">
        <v>73</v>
      </c>
      <c r="AG13" s="18" t="s">
        <v>423</v>
      </c>
      <c r="AH13" s="18" t="s">
        <v>422</v>
      </c>
      <c r="AI13" s="18" t="s">
        <v>1237</v>
      </c>
      <c r="AJ13" s="18" t="s">
        <v>432</v>
      </c>
      <c r="AM13" s="131" t="s">
        <v>1237</v>
      </c>
      <c r="AN13" s="132" t="s">
        <v>432</v>
      </c>
      <c r="AO13" s="133"/>
      <c r="AP13" s="133"/>
      <c r="AQ13" s="133"/>
      <c r="AR13" s="133"/>
    </row>
    <row r="14" spans="1:44" s="12" customFormat="1" ht="30">
      <c r="A14" s="13"/>
      <c r="B14" s="17"/>
      <c r="C14" s="18"/>
      <c r="D14" s="17"/>
      <c r="E14" s="18"/>
      <c r="F14" s="188"/>
      <c r="G14" s="124" t="s">
        <v>1284</v>
      </c>
      <c r="H14" s="125" t="s">
        <v>1282</v>
      </c>
      <c r="I14" s="18"/>
      <c r="J14" s="19"/>
      <c r="K14" s="19"/>
      <c r="L14" s="20"/>
      <c r="M14" s="188" t="s">
        <v>424</v>
      </c>
      <c r="N14" s="188" t="s">
        <v>1213</v>
      </c>
      <c r="O14" s="18"/>
      <c r="P14" s="21"/>
      <c r="Q14" s="18"/>
      <c r="R14" s="18"/>
      <c r="S14" s="18"/>
      <c r="T14" s="21"/>
      <c r="U14" s="18"/>
      <c r="V14" s="18"/>
      <c r="W14" s="18"/>
      <c r="X14" s="21"/>
      <c r="Y14" s="18"/>
      <c r="Z14" s="18"/>
      <c r="AA14" s="18"/>
      <c r="AB14" s="21"/>
      <c r="AC14" s="18"/>
      <c r="AD14" s="18"/>
      <c r="AE14" s="18"/>
      <c r="AF14" s="21"/>
      <c r="AG14" s="18"/>
      <c r="AH14" s="18"/>
      <c r="AI14" s="18"/>
      <c r="AJ14" s="18"/>
      <c r="AM14" s="134" t="s">
        <v>1274</v>
      </c>
      <c r="AN14" s="135">
        <f>IFERROR($AM$12/COUNTIF($AM$15:$AM$1500, "&gt;0"),0)</f>
        <v>0</v>
      </c>
      <c r="AO14" s="133"/>
      <c r="AP14" s="133"/>
      <c r="AQ14" s="133"/>
      <c r="AR14" s="133"/>
    </row>
    <row r="15" spans="1:44" s="13" customFormat="1">
      <c r="B15" s="22" t="s">
        <v>612</v>
      </c>
      <c r="C15" s="23"/>
      <c r="D15" s="23"/>
      <c r="E15" s="23"/>
      <c r="F15" s="24"/>
      <c r="G15" s="24"/>
      <c r="H15" s="24"/>
      <c r="I15" s="23"/>
      <c r="J15" s="23"/>
      <c r="K15" s="23"/>
      <c r="L15" s="24" t="s">
        <v>103</v>
      </c>
      <c r="M15" s="23"/>
      <c r="N15" s="23"/>
      <c r="O15" s="23"/>
      <c r="P15" s="23"/>
      <c r="Q15" s="23"/>
      <c r="R15" s="23"/>
      <c r="S15" s="23"/>
      <c r="T15" s="23"/>
      <c r="U15" s="23"/>
      <c r="V15" s="23"/>
      <c r="W15" s="23"/>
      <c r="X15" s="23"/>
      <c r="Y15" s="23"/>
      <c r="Z15" s="23"/>
      <c r="AA15" s="23"/>
      <c r="AB15" s="23"/>
      <c r="AC15" s="23"/>
      <c r="AD15" s="23"/>
      <c r="AE15" s="23"/>
      <c r="AF15" s="23"/>
      <c r="AG15" s="23"/>
      <c r="AH15" s="23"/>
      <c r="AI15" s="186"/>
      <c r="AJ15" s="140"/>
      <c r="AK15" s="187"/>
      <c r="AL15" s="187"/>
      <c r="AM15" s="136"/>
      <c r="AN15" s="137" t="str">
        <f>IF(AM15&gt;0, IF(AM15&gt;=14,"D",IF(AM15&gt;=8,"N","E")),"")</f>
        <v/>
      </c>
      <c r="AO15" s="138"/>
      <c r="AP15" s="138"/>
      <c r="AQ15" s="138"/>
      <c r="AR15" s="138"/>
    </row>
    <row r="16" spans="1:44" s="13" customFormat="1">
      <c r="B16" s="22" t="s">
        <v>611</v>
      </c>
      <c r="C16" s="23"/>
      <c r="D16" s="23"/>
      <c r="E16" s="23"/>
      <c r="F16" s="24"/>
      <c r="G16" s="24"/>
      <c r="H16" s="24"/>
      <c r="I16" s="23"/>
      <c r="J16" s="23"/>
      <c r="K16" s="23"/>
      <c r="L16" s="24" t="s">
        <v>103</v>
      </c>
      <c r="M16" s="23"/>
      <c r="N16" s="23"/>
      <c r="O16" s="23"/>
      <c r="P16" s="23"/>
      <c r="Q16" s="23"/>
      <c r="R16" s="23"/>
      <c r="S16" s="23"/>
      <c r="T16" s="23"/>
      <c r="U16" s="23"/>
      <c r="V16" s="23"/>
      <c r="W16" s="23"/>
      <c r="X16" s="23"/>
      <c r="Y16" s="23"/>
      <c r="Z16" s="23"/>
      <c r="AA16" s="23"/>
      <c r="AB16" s="23"/>
      <c r="AC16" s="23"/>
      <c r="AD16" s="23"/>
      <c r="AE16" s="23"/>
      <c r="AF16" s="23"/>
      <c r="AG16" s="23"/>
      <c r="AH16" s="23"/>
      <c r="AI16" s="126"/>
      <c r="AJ16" s="140" t="str">
        <f>IF(AI16&gt;0, IF(AI16&gt;=14,"D",IF(AI16&gt;=8,"N","E")),"")</f>
        <v/>
      </c>
      <c r="AK16" s="15"/>
      <c r="AL16" s="15"/>
      <c r="AM16" s="136"/>
      <c r="AN16" s="137" t="str">
        <f>IF(AM16&gt;0, IF(AM16&gt;=14,"D",IF(AM16&gt;=8,"N","E")),"")</f>
        <v/>
      </c>
      <c r="AO16" s="138"/>
      <c r="AP16" s="138"/>
      <c r="AQ16" s="138"/>
      <c r="AR16" s="138"/>
    </row>
    <row r="17" spans="2:44" s="13" customFormat="1" ht="150">
      <c r="B17" s="85" t="s">
        <v>610</v>
      </c>
      <c r="C17" s="25" t="s">
        <v>559</v>
      </c>
      <c r="D17" s="25" t="s">
        <v>1043</v>
      </c>
      <c r="E17" s="25" t="s">
        <v>1044</v>
      </c>
      <c r="F17" s="28" t="s">
        <v>1</v>
      </c>
      <c r="G17" s="10" t="s">
        <v>1257</v>
      </c>
      <c r="H17" s="10" t="s">
        <v>1256</v>
      </c>
      <c r="I17" s="27"/>
      <c r="J17" s="26" t="s">
        <v>79</v>
      </c>
      <c r="K17" s="85" t="s">
        <v>1212</v>
      </c>
      <c r="L17" s="28" t="s">
        <v>474</v>
      </c>
      <c r="M17" s="51" t="s">
        <v>0</v>
      </c>
      <c r="N17" s="51" t="s">
        <v>1233</v>
      </c>
      <c r="O17" s="30" t="s">
        <v>0</v>
      </c>
      <c r="P17" s="29">
        <v>42773</v>
      </c>
      <c r="Q17" s="194" t="s">
        <v>1295</v>
      </c>
      <c r="R17" s="30"/>
      <c r="S17" s="30" t="s">
        <v>0</v>
      </c>
      <c r="T17" s="31">
        <v>42794</v>
      </c>
      <c r="U17" s="213" t="s">
        <v>1295</v>
      </c>
      <c r="V17" s="85"/>
      <c r="W17" s="98"/>
      <c r="X17" s="31"/>
      <c r="Y17" s="98"/>
      <c r="Z17" s="85"/>
      <c r="AA17" s="86"/>
      <c r="AB17" s="31"/>
      <c r="AC17" s="86"/>
      <c r="AD17" s="86"/>
      <c r="AE17" s="86"/>
      <c r="AF17" s="31"/>
      <c r="AG17" s="86"/>
      <c r="AH17" s="86"/>
      <c r="AI17" s="126"/>
      <c r="AJ17" s="140" t="str">
        <f t="shared" ref="AJ17:AJ77" si="8">IF(AI17&gt;0, IF(AI17&gt;=14,"D",IF(AI17&gt;=8,"N","E")),"")</f>
        <v/>
      </c>
      <c r="AK17" s="15"/>
      <c r="AL17" s="15"/>
      <c r="AM17" s="136"/>
      <c r="AN17" s="137" t="str">
        <f t="shared" ref="AN17:AN77" si="9">IF(AM17&gt;0, IF(AM17&gt;=14,"D",IF(AM17&gt;=8,"N","E")),"")</f>
        <v/>
      </c>
      <c r="AO17" s="138"/>
      <c r="AP17" s="138"/>
      <c r="AQ17" s="138"/>
      <c r="AR17" s="138"/>
    </row>
    <row r="18" spans="2:44" s="13" customFormat="1" ht="135">
      <c r="B18" s="85" t="s">
        <v>609</v>
      </c>
      <c r="C18" s="25" t="s">
        <v>528</v>
      </c>
      <c r="D18" s="25" t="s">
        <v>1045</v>
      </c>
      <c r="E18" s="25" t="s">
        <v>1046</v>
      </c>
      <c r="F18" s="32" t="s">
        <v>1</v>
      </c>
      <c r="G18" s="10" t="s">
        <v>1257</v>
      </c>
      <c r="H18" s="10" t="s">
        <v>1256</v>
      </c>
      <c r="I18" s="27"/>
      <c r="J18" s="26" t="s">
        <v>79</v>
      </c>
      <c r="K18" s="90" t="s">
        <v>1212</v>
      </c>
      <c r="L18" s="28" t="s">
        <v>474</v>
      </c>
      <c r="M18" s="51" t="s">
        <v>0</v>
      </c>
      <c r="N18" s="51" t="s">
        <v>1233</v>
      </c>
      <c r="O18" s="30" t="s">
        <v>0</v>
      </c>
      <c r="P18" s="29">
        <v>42773</v>
      </c>
      <c r="Q18" s="194" t="s">
        <v>1295</v>
      </c>
      <c r="R18" s="30"/>
      <c r="S18" s="30" t="s">
        <v>0</v>
      </c>
      <c r="T18" s="31">
        <v>42794</v>
      </c>
      <c r="U18" s="213" t="s">
        <v>1295</v>
      </c>
      <c r="V18" s="85"/>
      <c r="W18" s="98"/>
      <c r="X18" s="31"/>
      <c r="Y18" s="98"/>
      <c r="Z18" s="85"/>
      <c r="AA18" s="86"/>
      <c r="AB18" s="31"/>
      <c r="AC18" s="86"/>
      <c r="AD18" s="86"/>
      <c r="AE18" s="86"/>
      <c r="AF18" s="31"/>
      <c r="AG18" s="86"/>
      <c r="AH18" s="86"/>
      <c r="AI18" s="126"/>
      <c r="AJ18" s="140" t="str">
        <f t="shared" si="8"/>
        <v/>
      </c>
      <c r="AK18" s="15"/>
      <c r="AL18" s="15"/>
      <c r="AM18" s="136"/>
      <c r="AN18" s="137" t="str">
        <f t="shared" si="9"/>
        <v/>
      </c>
      <c r="AO18" s="138"/>
      <c r="AP18" s="138"/>
      <c r="AQ18" s="138"/>
      <c r="AR18" s="138"/>
    </row>
    <row r="19" spans="2:44" s="13" customFormat="1" ht="135">
      <c r="B19" s="85" t="s">
        <v>608</v>
      </c>
      <c r="C19" s="25" t="s">
        <v>528</v>
      </c>
      <c r="D19" s="25" t="s">
        <v>552</v>
      </c>
      <c r="E19" s="25" t="s">
        <v>1047</v>
      </c>
      <c r="F19" s="32" t="s">
        <v>1</v>
      </c>
      <c r="G19" s="10" t="s">
        <v>1257</v>
      </c>
      <c r="H19" s="10" t="s">
        <v>1256</v>
      </c>
      <c r="I19" s="27"/>
      <c r="J19" s="26" t="s">
        <v>79</v>
      </c>
      <c r="K19" s="90" t="s">
        <v>1212</v>
      </c>
      <c r="L19" s="28" t="s">
        <v>474</v>
      </c>
      <c r="M19" s="51" t="s">
        <v>0</v>
      </c>
      <c r="N19" s="51" t="s">
        <v>1233</v>
      </c>
      <c r="O19" s="30" t="s">
        <v>0</v>
      </c>
      <c r="P19" s="29">
        <v>42773</v>
      </c>
      <c r="Q19" s="194" t="s">
        <v>1295</v>
      </c>
      <c r="R19" s="30"/>
      <c r="S19" s="30" t="s">
        <v>0</v>
      </c>
      <c r="T19" s="31">
        <v>42794</v>
      </c>
      <c r="U19" s="213" t="s">
        <v>1295</v>
      </c>
      <c r="V19" s="85"/>
      <c r="W19" s="98"/>
      <c r="X19" s="31"/>
      <c r="Y19" s="98"/>
      <c r="Z19" s="85"/>
      <c r="AA19" s="86"/>
      <c r="AB19" s="31"/>
      <c r="AC19" s="86"/>
      <c r="AD19" s="86"/>
      <c r="AE19" s="86"/>
      <c r="AF19" s="31"/>
      <c r="AG19" s="86"/>
      <c r="AH19" s="86"/>
      <c r="AI19" s="126"/>
      <c r="AJ19" s="140" t="str">
        <f t="shared" si="8"/>
        <v/>
      </c>
      <c r="AK19" s="15"/>
      <c r="AL19" s="15"/>
      <c r="AM19" s="136"/>
      <c r="AN19" s="137" t="str">
        <f t="shared" si="9"/>
        <v/>
      </c>
      <c r="AO19" s="138"/>
      <c r="AP19" s="138"/>
      <c r="AQ19" s="138"/>
      <c r="AR19" s="138"/>
    </row>
    <row r="20" spans="2:44" s="13" customFormat="1" ht="60">
      <c r="B20" s="85" t="s">
        <v>607</v>
      </c>
      <c r="C20" s="25" t="s">
        <v>549</v>
      </c>
      <c r="D20" s="25" t="s">
        <v>606</v>
      </c>
      <c r="E20" s="25" t="s">
        <v>547</v>
      </c>
      <c r="F20" s="32" t="s">
        <v>1</v>
      </c>
      <c r="G20" s="10" t="s">
        <v>1257</v>
      </c>
      <c r="H20" s="10" t="s">
        <v>1256</v>
      </c>
      <c r="I20" s="27"/>
      <c r="J20" s="26" t="s">
        <v>79</v>
      </c>
      <c r="K20" s="90" t="s">
        <v>1212</v>
      </c>
      <c r="L20" s="28" t="s">
        <v>465</v>
      </c>
      <c r="M20" s="51" t="s">
        <v>0</v>
      </c>
      <c r="N20" s="51" t="s">
        <v>1233</v>
      </c>
      <c r="O20" s="30" t="s">
        <v>0</v>
      </c>
      <c r="P20" s="29">
        <v>42773</v>
      </c>
      <c r="Q20" s="194" t="s">
        <v>1295</v>
      </c>
      <c r="R20" s="30"/>
      <c r="S20" s="30" t="s">
        <v>0</v>
      </c>
      <c r="T20" s="31">
        <v>42794</v>
      </c>
      <c r="U20" s="213" t="s">
        <v>1295</v>
      </c>
      <c r="V20" s="85"/>
      <c r="W20" s="98"/>
      <c r="X20" s="31"/>
      <c r="Y20" s="98"/>
      <c r="Z20" s="85"/>
      <c r="AA20" s="86"/>
      <c r="AB20" s="31"/>
      <c r="AC20" s="86"/>
      <c r="AD20" s="86"/>
      <c r="AE20" s="86"/>
      <c r="AF20" s="31"/>
      <c r="AG20" s="86"/>
      <c r="AH20" s="86"/>
      <c r="AI20" s="126"/>
      <c r="AJ20" s="140" t="str">
        <f t="shared" si="8"/>
        <v/>
      </c>
      <c r="AK20" s="15"/>
      <c r="AL20" s="15"/>
      <c r="AM20" s="136"/>
      <c r="AN20" s="137" t="str">
        <f t="shared" si="9"/>
        <v/>
      </c>
      <c r="AO20" s="138"/>
      <c r="AP20" s="138"/>
      <c r="AQ20" s="138"/>
      <c r="AR20" s="138"/>
    </row>
    <row r="21" spans="2:44" s="13" customFormat="1" ht="105">
      <c r="B21" s="85" t="s">
        <v>605</v>
      </c>
      <c r="C21" s="25" t="s">
        <v>534</v>
      </c>
      <c r="D21" s="25" t="s">
        <v>545</v>
      </c>
      <c r="E21" s="25" t="s">
        <v>604</v>
      </c>
      <c r="F21" s="32" t="s">
        <v>1</v>
      </c>
      <c r="G21" s="10" t="s">
        <v>1257</v>
      </c>
      <c r="H21" s="10" t="s">
        <v>1256</v>
      </c>
      <c r="I21" s="27"/>
      <c r="J21" s="26" t="s">
        <v>79</v>
      </c>
      <c r="K21" s="90" t="s">
        <v>1212</v>
      </c>
      <c r="L21" s="28" t="s">
        <v>474</v>
      </c>
      <c r="M21" s="51" t="s">
        <v>0</v>
      </c>
      <c r="N21" s="51" t="s">
        <v>1233</v>
      </c>
      <c r="O21" s="30" t="s">
        <v>0</v>
      </c>
      <c r="P21" s="29">
        <v>42773</v>
      </c>
      <c r="Q21" s="194" t="s">
        <v>1295</v>
      </c>
      <c r="R21" s="30"/>
      <c r="S21" s="30" t="s">
        <v>0</v>
      </c>
      <c r="T21" s="31">
        <v>42794</v>
      </c>
      <c r="U21" s="213" t="s">
        <v>1295</v>
      </c>
      <c r="V21" s="85"/>
      <c r="W21" s="98"/>
      <c r="X21" s="31"/>
      <c r="Y21" s="98"/>
      <c r="Z21" s="85"/>
      <c r="AA21" s="86"/>
      <c r="AB21" s="31"/>
      <c r="AC21" s="86"/>
      <c r="AD21" s="86"/>
      <c r="AE21" s="86"/>
      <c r="AF21" s="31"/>
      <c r="AG21" s="86"/>
      <c r="AH21" s="86"/>
      <c r="AI21" s="126"/>
      <c r="AJ21" s="140" t="str">
        <f t="shared" si="8"/>
        <v/>
      </c>
      <c r="AK21" s="15"/>
      <c r="AL21" s="15"/>
      <c r="AM21" s="136"/>
      <c r="AN21" s="137" t="str">
        <f t="shared" si="9"/>
        <v/>
      </c>
      <c r="AO21" s="138"/>
      <c r="AP21" s="138"/>
      <c r="AQ21" s="138"/>
      <c r="AR21" s="138"/>
    </row>
    <row r="22" spans="2:44" s="13" customFormat="1" ht="105">
      <c r="B22" s="85" t="s">
        <v>603</v>
      </c>
      <c r="C22" s="25" t="s">
        <v>534</v>
      </c>
      <c r="D22" s="25" t="s">
        <v>542</v>
      </c>
      <c r="E22" s="25" t="s">
        <v>1048</v>
      </c>
      <c r="F22" s="32" t="s">
        <v>1</v>
      </c>
      <c r="G22" s="10" t="s">
        <v>1257</v>
      </c>
      <c r="H22" s="10" t="s">
        <v>1256</v>
      </c>
      <c r="I22" s="27"/>
      <c r="J22" s="26" t="s">
        <v>79</v>
      </c>
      <c r="K22" s="90" t="s">
        <v>1212</v>
      </c>
      <c r="L22" s="28" t="s">
        <v>474</v>
      </c>
      <c r="M22" s="51" t="s">
        <v>0</v>
      </c>
      <c r="N22" s="51" t="s">
        <v>1233</v>
      </c>
      <c r="O22" s="30" t="s">
        <v>0</v>
      </c>
      <c r="P22" s="29">
        <v>42773</v>
      </c>
      <c r="Q22" s="194" t="s">
        <v>1295</v>
      </c>
      <c r="R22" s="30"/>
      <c r="S22" s="30" t="s">
        <v>0</v>
      </c>
      <c r="T22" s="31">
        <v>42794</v>
      </c>
      <c r="U22" s="213" t="s">
        <v>1295</v>
      </c>
      <c r="V22" s="85"/>
      <c r="W22" s="98"/>
      <c r="X22" s="31"/>
      <c r="Y22" s="98"/>
      <c r="Z22" s="85"/>
      <c r="AA22" s="86"/>
      <c r="AB22" s="31"/>
      <c r="AC22" s="86"/>
      <c r="AD22" s="86"/>
      <c r="AE22" s="86"/>
      <c r="AF22" s="31"/>
      <c r="AG22" s="86"/>
      <c r="AH22" s="86"/>
      <c r="AI22" s="126"/>
      <c r="AJ22" s="140" t="str">
        <f t="shared" si="8"/>
        <v/>
      </c>
      <c r="AK22" s="15"/>
      <c r="AL22" s="15"/>
      <c r="AM22" s="136"/>
      <c r="AN22" s="137" t="str">
        <f t="shared" si="9"/>
        <v/>
      </c>
      <c r="AO22" s="138"/>
      <c r="AP22" s="138"/>
      <c r="AQ22" s="138"/>
      <c r="AR22" s="138"/>
    </row>
    <row r="23" spans="2:44" s="13" customFormat="1" ht="90">
      <c r="B23" s="85" t="s">
        <v>602</v>
      </c>
      <c r="C23" s="25" t="s">
        <v>534</v>
      </c>
      <c r="D23" s="25" t="s">
        <v>539</v>
      </c>
      <c r="E23" s="25" t="s">
        <v>601</v>
      </c>
      <c r="F23" s="32" t="s">
        <v>1</v>
      </c>
      <c r="G23" s="10" t="s">
        <v>1257</v>
      </c>
      <c r="H23" s="10" t="s">
        <v>1256</v>
      </c>
      <c r="I23" s="27"/>
      <c r="J23" s="26" t="s">
        <v>79</v>
      </c>
      <c r="K23" s="90" t="s">
        <v>1212</v>
      </c>
      <c r="L23" s="28" t="s">
        <v>474</v>
      </c>
      <c r="M23" s="51" t="s">
        <v>0</v>
      </c>
      <c r="N23" s="51" t="s">
        <v>1233</v>
      </c>
      <c r="O23" s="30" t="s">
        <v>0</v>
      </c>
      <c r="P23" s="29">
        <v>42773</v>
      </c>
      <c r="Q23" s="194" t="s">
        <v>1295</v>
      </c>
      <c r="R23" s="30"/>
      <c r="S23" s="30" t="s">
        <v>0</v>
      </c>
      <c r="T23" s="31">
        <v>42794</v>
      </c>
      <c r="U23" s="213" t="s">
        <v>1295</v>
      </c>
      <c r="V23" s="85"/>
      <c r="W23" s="98"/>
      <c r="X23" s="31"/>
      <c r="Y23" s="98"/>
      <c r="Z23" s="85"/>
      <c r="AA23" s="86"/>
      <c r="AB23" s="31"/>
      <c r="AC23" s="86"/>
      <c r="AD23" s="86"/>
      <c r="AE23" s="86"/>
      <c r="AF23" s="31"/>
      <c r="AG23" s="86"/>
      <c r="AH23" s="86"/>
      <c r="AI23" s="126"/>
      <c r="AJ23" s="140" t="str">
        <f t="shared" si="8"/>
        <v/>
      </c>
      <c r="AK23" s="15"/>
      <c r="AL23" s="15"/>
      <c r="AM23" s="136"/>
      <c r="AN23" s="137" t="str">
        <f t="shared" si="9"/>
        <v/>
      </c>
      <c r="AO23" s="138"/>
      <c r="AP23" s="138"/>
      <c r="AQ23" s="138"/>
      <c r="AR23" s="138"/>
    </row>
    <row r="24" spans="2:44" s="13" customFormat="1" ht="75">
      <c r="B24" s="85" t="s">
        <v>600</v>
      </c>
      <c r="C24" s="25" t="s">
        <v>534</v>
      </c>
      <c r="D24" s="25" t="s">
        <v>536</v>
      </c>
      <c r="E24" s="25" t="s">
        <v>562</v>
      </c>
      <c r="F24" s="32" t="s">
        <v>1</v>
      </c>
      <c r="G24" s="10" t="s">
        <v>1257</v>
      </c>
      <c r="H24" s="10" t="s">
        <v>1256</v>
      </c>
      <c r="I24" s="27"/>
      <c r="J24" s="26" t="s">
        <v>79</v>
      </c>
      <c r="K24" s="90" t="s">
        <v>1212</v>
      </c>
      <c r="L24" s="28" t="s">
        <v>474</v>
      </c>
      <c r="M24" s="51" t="s">
        <v>0</v>
      </c>
      <c r="N24" s="51" t="s">
        <v>1233</v>
      </c>
      <c r="O24" s="30" t="s">
        <v>0</v>
      </c>
      <c r="P24" s="29">
        <v>42773</v>
      </c>
      <c r="Q24" s="194" t="s">
        <v>1295</v>
      </c>
      <c r="R24" s="30"/>
      <c r="S24" s="30" t="s">
        <v>0</v>
      </c>
      <c r="T24" s="31">
        <v>42794</v>
      </c>
      <c r="U24" s="213" t="s">
        <v>1295</v>
      </c>
      <c r="V24" s="85"/>
      <c r="W24" s="98"/>
      <c r="X24" s="31"/>
      <c r="Y24" s="98"/>
      <c r="Z24" s="85"/>
      <c r="AA24" s="86"/>
      <c r="AB24" s="31"/>
      <c r="AC24" s="86"/>
      <c r="AD24" s="86"/>
      <c r="AE24" s="86"/>
      <c r="AF24" s="31"/>
      <c r="AG24" s="86"/>
      <c r="AH24" s="86"/>
      <c r="AI24" s="126"/>
      <c r="AJ24" s="140" t="str">
        <f t="shared" si="8"/>
        <v/>
      </c>
      <c r="AK24" s="15"/>
      <c r="AL24" s="15"/>
      <c r="AM24" s="136"/>
      <c r="AN24" s="137" t="str">
        <f t="shared" si="9"/>
        <v/>
      </c>
      <c r="AO24" s="138"/>
      <c r="AP24" s="138"/>
      <c r="AQ24" s="138"/>
      <c r="AR24" s="138"/>
    </row>
    <row r="25" spans="2:44" s="13" customFormat="1" ht="75">
      <c r="B25" s="85" t="s">
        <v>599</v>
      </c>
      <c r="C25" s="25" t="s">
        <v>534</v>
      </c>
      <c r="D25" s="25" t="s">
        <v>533</v>
      </c>
      <c r="E25" s="25" t="s">
        <v>562</v>
      </c>
      <c r="F25" s="32" t="s">
        <v>1</v>
      </c>
      <c r="G25" s="10" t="s">
        <v>1257</v>
      </c>
      <c r="H25" s="10" t="s">
        <v>1256</v>
      </c>
      <c r="I25" s="27"/>
      <c r="J25" s="26" t="s">
        <v>79</v>
      </c>
      <c r="K25" s="90" t="s">
        <v>1212</v>
      </c>
      <c r="L25" s="28" t="s">
        <v>474</v>
      </c>
      <c r="M25" s="51" t="s">
        <v>0</v>
      </c>
      <c r="N25" s="51" t="s">
        <v>1233</v>
      </c>
      <c r="O25" s="30" t="s">
        <v>0</v>
      </c>
      <c r="P25" s="29">
        <v>42773</v>
      </c>
      <c r="Q25" s="194" t="s">
        <v>1295</v>
      </c>
      <c r="R25" s="30"/>
      <c r="S25" s="30" t="s">
        <v>0</v>
      </c>
      <c r="T25" s="31">
        <v>42794</v>
      </c>
      <c r="U25" s="213" t="s">
        <v>1295</v>
      </c>
      <c r="V25" s="85"/>
      <c r="W25" s="98"/>
      <c r="X25" s="31"/>
      <c r="Y25" s="98"/>
      <c r="Z25" s="85"/>
      <c r="AA25" s="86"/>
      <c r="AB25" s="31"/>
      <c r="AC25" s="86"/>
      <c r="AD25" s="86"/>
      <c r="AE25" s="86"/>
      <c r="AF25" s="31"/>
      <c r="AG25" s="86"/>
      <c r="AH25" s="86"/>
      <c r="AI25" s="126"/>
      <c r="AJ25" s="140" t="str">
        <f t="shared" si="8"/>
        <v/>
      </c>
      <c r="AK25" s="15"/>
      <c r="AL25" s="15"/>
      <c r="AM25" s="136"/>
      <c r="AN25" s="137" t="str">
        <f t="shared" si="9"/>
        <v/>
      </c>
      <c r="AO25" s="138"/>
      <c r="AP25" s="138"/>
      <c r="AQ25" s="138"/>
      <c r="AR25" s="138"/>
    </row>
    <row r="26" spans="2:44" s="13" customFormat="1" ht="120">
      <c r="B26" s="85" t="s">
        <v>598</v>
      </c>
      <c r="C26" s="25" t="s">
        <v>528</v>
      </c>
      <c r="D26" s="25" t="s">
        <v>531</v>
      </c>
      <c r="E26" s="25" t="s">
        <v>597</v>
      </c>
      <c r="F26" s="32" t="s">
        <v>1</v>
      </c>
      <c r="G26" s="10" t="s">
        <v>1257</v>
      </c>
      <c r="H26" s="10" t="s">
        <v>1256</v>
      </c>
      <c r="I26" s="27"/>
      <c r="J26" s="26" t="s">
        <v>79</v>
      </c>
      <c r="K26" s="90" t="s">
        <v>1212</v>
      </c>
      <c r="L26" s="28" t="s">
        <v>474</v>
      </c>
      <c r="M26" s="51" t="s">
        <v>0</v>
      </c>
      <c r="N26" s="51" t="s">
        <v>1233</v>
      </c>
      <c r="O26" s="30" t="s">
        <v>0</v>
      </c>
      <c r="P26" s="29">
        <v>42773</v>
      </c>
      <c r="Q26" s="194" t="s">
        <v>1295</v>
      </c>
      <c r="R26" s="30"/>
      <c r="S26" s="30" t="s">
        <v>0</v>
      </c>
      <c r="T26" s="31">
        <v>42794</v>
      </c>
      <c r="U26" s="213" t="s">
        <v>1295</v>
      </c>
      <c r="V26" s="85"/>
      <c r="W26" s="98"/>
      <c r="X26" s="31"/>
      <c r="Y26" s="98"/>
      <c r="Z26" s="85"/>
      <c r="AA26" s="86"/>
      <c r="AB26" s="31"/>
      <c r="AC26" s="86"/>
      <c r="AD26" s="86"/>
      <c r="AE26" s="86"/>
      <c r="AF26" s="31"/>
      <c r="AG26" s="86"/>
      <c r="AH26" s="86"/>
      <c r="AI26" s="126"/>
      <c r="AJ26" s="140" t="str">
        <f t="shared" si="8"/>
        <v/>
      </c>
      <c r="AK26" s="15"/>
      <c r="AL26" s="15"/>
      <c r="AM26" s="136"/>
      <c r="AN26" s="137" t="str">
        <f t="shared" si="9"/>
        <v/>
      </c>
      <c r="AO26" s="138"/>
      <c r="AP26" s="138"/>
      <c r="AQ26" s="138"/>
      <c r="AR26" s="138"/>
    </row>
    <row r="27" spans="2:44" s="13" customFormat="1" ht="120">
      <c r="B27" s="85" t="s">
        <v>596</v>
      </c>
      <c r="C27" s="25" t="s">
        <v>528</v>
      </c>
      <c r="D27" s="25" t="s">
        <v>527</v>
      </c>
      <c r="E27" s="25" t="s">
        <v>1049</v>
      </c>
      <c r="F27" s="32" t="s">
        <v>1</v>
      </c>
      <c r="G27" s="10" t="s">
        <v>1257</v>
      </c>
      <c r="H27" s="10" t="s">
        <v>1256</v>
      </c>
      <c r="I27" s="27"/>
      <c r="J27" s="26" t="s">
        <v>79</v>
      </c>
      <c r="K27" s="90" t="s">
        <v>1212</v>
      </c>
      <c r="L27" s="28" t="s">
        <v>474</v>
      </c>
      <c r="M27" s="51" t="s">
        <v>0</v>
      </c>
      <c r="N27" s="51" t="s">
        <v>1233</v>
      </c>
      <c r="O27" s="30" t="s">
        <v>0</v>
      </c>
      <c r="P27" s="29">
        <v>42773</v>
      </c>
      <c r="Q27" s="194" t="s">
        <v>1295</v>
      </c>
      <c r="R27" s="30"/>
      <c r="S27" s="30" t="s">
        <v>0</v>
      </c>
      <c r="T27" s="31">
        <v>42794</v>
      </c>
      <c r="U27" s="213" t="s">
        <v>1295</v>
      </c>
      <c r="V27" s="85"/>
      <c r="W27" s="98"/>
      <c r="X27" s="31"/>
      <c r="Y27" s="98"/>
      <c r="Z27" s="85"/>
      <c r="AA27" s="86"/>
      <c r="AB27" s="31"/>
      <c r="AC27" s="86"/>
      <c r="AD27" s="86"/>
      <c r="AE27" s="86"/>
      <c r="AF27" s="31"/>
      <c r="AG27" s="86"/>
      <c r="AH27" s="86"/>
      <c r="AI27" s="126"/>
      <c r="AJ27" s="140" t="str">
        <f t="shared" si="8"/>
        <v/>
      </c>
      <c r="AK27" s="15"/>
      <c r="AL27" s="15"/>
      <c r="AM27" s="136"/>
      <c r="AN27" s="137" t="str">
        <f t="shared" si="9"/>
        <v/>
      </c>
      <c r="AO27" s="138"/>
      <c r="AP27" s="138"/>
      <c r="AQ27" s="138"/>
      <c r="AR27" s="138"/>
    </row>
    <row r="28" spans="2:44" s="13" customFormat="1" ht="90">
      <c r="B28" s="85" t="s">
        <v>595</v>
      </c>
      <c r="C28" s="25" t="s">
        <v>512</v>
      </c>
      <c r="D28" s="25" t="s">
        <v>594</v>
      </c>
      <c r="E28" s="25" t="s">
        <v>593</v>
      </c>
      <c r="F28" s="32" t="s">
        <v>1</v>
      </c>
      <c r="G28" s="10" t="s">
        <v>1257</v>
      </c>
      <c r="H28" s="10" t="s">
        <v>1256</v>
      </c>
      <c r="I28" s="27"/>
      <c r="J28" s="26" t="s">
        <v>79</v>
      </c>
      <c r="K28" s="90" t="s">
        <v>1212</v>
      </c>
      <c r="L28" s="28" t="s">
        <v>474</v>
      </c>
      <c r="M28" s="51" t="s">
        <v>0</v>
      </c>
      <c r="N28" s="51" t="s">
        <v>1233</v>
      </c>
      <c r="O28" s="30" t="s">
        <v>0</v>
      </c>
      <c r="P28" s="29">
        <v>42773</v>
      </c>
      <c r="Q28" s="194" t="s">
        <v>1295</v>
      </c>
      <c r="R28" s="30"/>
      <c r="S28" s="30" t="s">
        <v>0</v>
      </c>
      <c r="T28" s="31">
        <v>42794</v>
      </c>
      <c r="U28" s="213" t="s">
        <v>1295</v>
      </c>
      <c r="V28" s="85"/>
      <c r="W28" s="98"/>
      <c r="X28" s="31"/>
      <c r="Y28" s="98"/>
      <c r="Z28" s="85"/>
      <c r="AA28" s="86"/>
      <c r="AB28" s="31"/>
      <c r="AC28" s="86"/>
      <c r="AD28" s="86"/>
      <c r="AE28" s="86"/>
      <c r="AF28" s="31"/>
      <c r="AG28" s="86"/>
      <c r="AH28" s="86"/>
      <c r="AI28" s="126"/>
      <c r="AJ28" s="140" t="str">
        <f t="shared" si="8"/>
        <v/>
      </c>
      <c r="AK28" s="15"/>
      <c r="AL28" s="15"/>
      <c r="AM28" s="136"/>
      <c r="AN28" s="137" t="str">
        <f t="shared" si="9"/>
        <v/>
      </c>
      <c r="AO28" s="138"/>
      <c r="AP28" s="138"/>
      <c r="AQ28" s="138"/>
      <c r="AR28" s="138"/>
    </row>
    <row r="29" spans="2:44" s="13" customFormat="1" ht="105">
      <c r="B29" s="85" t="s">
        <v>592</v>
      </c>
      <c r="C29" s="25" t="s">
        <v>508</v>
      </c>
      <c r="D29" s="25" t="s">
        <v>591</v>
      </c>
      <c r="E29" s="25" t="s">
        <v>590</v>
      </c>
      <c r="F29" s="32" t="s">
        <v>1</v>
      </c>
      <c r="G29" s="10" t="s">
        <v>1257</v>
      </c>
      <c r="H29" s="10" t="s">
        <v>1256</v>
      </c>
      <c r="I29" s="27"/>
      <c r="J29" s="26" t="s">
        <v>79</v>
      </c>
      <c r="K29" s="90" t="s">
        <v>1212</v>
      </c>
      <c r="L29" s="28" t="s">
        <v>474</v>
      </c>
      <c r="M29" s="51" t="s">
        <v>0</v>
      </c>
      <c r="N29" s="51" t="s">
        <v>1233</v>
      </c>
      <c r="O29" s="30" t="s">
        <v>0</v>
      </c>
      <c r="P29" s="29">
        <v>42773</v>
      </c>
      <c r="Q29" s="194" t="s">
        <v>1295</v>
      </c>
      <c r="R29" s="30"/>
      <c r="S29" s="30" t="s">
        <v>0</v>
      </c>
      <c r="T29" s="31">
        <v>42794</v>
      </c>
      <c r="U29" s="213" t="s">
        <v>1295</v>
      </c>
      <c r="V29" s="85"/>
      <c r="W29" s="98"/>
      <c r="X29" s="31"/>
      <c r="Y29" s="98"/>
      <c r="Z29" s="85"/>
      <c r="AA29" s="86"/>
      <c r="AB29" s="31"/>
      <c r="AC29" s="86"/>
      <c r="AD29" s="86"/>
      <c r="AE29" s="86"/>
      <c r="AF29" s="31"/>
      <c r="AG29" s="86"/>
      <c r="AH29" s="86"/>
      <c r="AI29" s="126"/>
      <c r="AJ29" s="140" t="str">
        <f t="shared" si="8"/>
        <v/>
      </c>
      <c r="AK29" s="15"/>
      <c r="AL29" s="15"/>
      <c r="AM29" s="136"/>
      <c r="AN29" s="137" t="str">
        <f t="shared" si="9"/>
        <v/>
      </c>
      <c r="AO29" s="139"/>
      <c r="AP29" s="139"/>
      <c r="AQ29" s="139"/>
      <c r="AR29" s="139"/>
    </row>
    <row r="30" spans="2:44" s="13" customFormat="1" ht="90">
      <c r="B30" s="85" t="s">
        <v>589</v>
      </c>
      <c r="C30" s="25" t="s">
        <v>512</v>
      </c>
      <c r="D30" s="25" t="s">
        <v>511</v>
      </c>
      <c r="E30" s="25" t="s">
        <v>588</v>
      </c>
      <c r="F30" s="32" t="s">
        <v>1</v>
      </c>
      <c r="G30" s="10" t="s">
        <v>1257</v>
      </c>
      <c r="H30" s="10" t="s">
        <v>1256</v>
      </c>
      <c r="I30" s="27"/>
      <c r="J30" s="26" t="s">
        <v>79</v>
      </c>
      <c r="K30" s="90" t="s">
        <v>1212</v>
      </c>
      <c r="L30" s="28" t="s">
        <v>474</v>
      </c>
      <c r="M30" s="51" t="s">
        <v>0</v>
      </c>
      <c r="N30" s="51" t="s">
        <v>1233</v>
      </c>
      <c r="O30" s="30" t="s">
        <v>0</v>
      </c>
      <c r="P30" s="29">
        <v>42773</v>
      </c>
      <c r="Q30" s="194" t="s">
        <v>1295</v>
      </c>
      <c r="R30" s="30"/>
      <c r="S30" s="30" t="s">
        <v>0</v>
      </c>
      <c r="T30" s="31">
        <v>42794</v>
      </c>
      <c r="U30" s="213" t="s">
        <v>1295</v>
      </c>
      <c r="V30" s="85"/>
      <c r="W30" s="98"/>
      <c r="X30" s="31"/>
      <c r="Y30" s="98"/>
      <c r="Z30" s="85"/>
      <c r="AA30" s="86"/>
      <c r="AB30" s="31"/>
      <c r="AC30" s="86"/>
      <c r="AD30" s="86"/>
      <c r="AE30" s="86"/>
      <c r="AF30" s="31"/>
      <c r="AG30" s="86"/>
      <c r="AH30" s="86"/>
      <c r="AI30" s="126"/>
      <c r="AJ30" s="140" t="str">
        <f t="shared" si="8"/>
        <v/>
      </c>
      <c r="AK30" s="15"/>
      <c r="AL30" s="15"/>
      <c r="AM30" s="136"/>
      <c r="AN30" s="137" t="str">
        <f t="shared" si="9"/>
        <v/>
      </c>
      <c r="AO30" s="139"/>
      <c r="AP30" s="139"/>
      <c r="AQ30" s="139"/>
      <c r="AR30" s="139"/>
    </row>
    <row r="31" spans="2:44" s="13" customFormat="1" ht="105">
      <c r="B31" s="85" t="s">
        <v>587</v>
      </c>
      <c r="C31" s="25" t="s">
        <v>508</v>
      </c>
      <c r="D31" s="25" t="s">
        <v>507</v>
      </c>
      <c r="E31" s="25" t="s">
        <v>586</v>
      </c>
      <c r="F31" s="32" t="s">
        <v>1</v>
      </c>
      <c r="G31" s="10" t="s">
        <v>1257</v>
      </c>
      <c r="H31" s="10" t="s">
        <v>1256</v>
      </c>
      <c r="I31" s="27"/>
      <c r="J31" s="26" t="s">
        <v>79</v>
      </c>
      <c r="K31" s="90" t="s">
        <v>1212</v>
      </c>
      <c r="L31" s="28" t="s">
        <v>474</v>
      </c>
      <c r="M31" s="51" t="s">
        <v>0</v>
      </c>
      <c r="N31" s="51" t="s">
        <v>1233</v>
      </c>
      <c r="O31" s="30" t="s">
        <v>0</v>
      </c>
      <c r="P31" s="29">
        <v>42773</v>
      </c>
      <c r="Q31" s="194" t="s">
        <v>1295</v>
      </c>
      <c r="R31" s="30"/>
      <c r="S31" s="30" t="s">
        <v>0</v>
      </c>
      <c r="T31" s="31">
        <v>42794</v>
      </c>
      <c r="U31" s="213" t="s">
        <v>1295</v>
      </c>
      <c r="V31" s="85"/>
      <c r="W31" s="98"/>
      <c r="X31" s="31"/>
      <c r="Y31" s="98"/>
      <c r="Z31" s="85"/>
      <c r="AA31" s="86"/>
      <c r="AB31" s="31"/>
      <c r="AC31" s="86"/>
      <c r="AD31" s="86"/>
      <c r="AE31" s="86"/>
      <c r="AF31" s="31"/>
      <c r="AG31" s="86"/>
      <c r="AH31" s="86"/>
      <c r="AI31" s="126"/>
      <c r="AJ31" s="140" t="str">
        <f t="shared" si="8"/>
        <v/>
      </c>
      <c r="AK31" s="15"/>
      <c r="AL31" s="15"/>
      <c r="AM31" s="136"/>
      <c r="AN31" s="137" t="str">
        <f t="shared" si="9"/>
        <v/>
      </c>
      <c r="AO31" s="139"/>
      <c r="AP31" s="139"/>
      <c r="AQ31" s="139"/>
      <c r="AR31" s="139"/>
    </row>
    <row r="32" spans="2:44" s="13" customFormat="1" ht="75">
      <c r="B32" s="85" t="s">
        <v>585</v>
      </c>
      <c r="C32" s="25" t="s">
        <v>502</v>
      </c>
      <c r="D32" s="25" t="s">
        <v>504</v>
      </c>
      <c r="E32" s="25" t="s">
        <v>1050</v>
      </c>
      <c r="F32" s="32" t="s">
        <v>1</v>
      </c>
      <c r="G32" s="10" t="s">
        <v>1257</v>
      </c>
      <c r="H32" s="10" t="s">
        <v>1256</v>
      </c>
      <c r="I32" s="27"/>
      <c r="J32" s="26" t="s">
        <v>79</v>
      </c>
      <c r="K32" s="90" t="s">
        <v>1212</v>
      </c>
      <c r="L32" s="28" t="s">
        <v>474</v>
      </c>
      <c r="M32" s="51" t="s">
        <v>0</v>
      </c>
      <c r="N32" s="51" t="s">
        <v>1233</v>
      </c>
      <c r="O32" s="30" t="s">
        <v>0</v>
      </c>
      <c r="P32" s="29">
        <v>42773</v>
      </c>
      <c r="Q32" s="194" t="s">
        <v>1295</v>
      </c>
      <c r="R32" s="30"/>
      <c r="S32" s="30" t="s">
        <v>0</v>
      </c>
      <c r="T32" s="31">
        <v>42794</v>
      </c>
      <c r="U32" s="213" t="s">
        <v>1295</v>
      </c>
      <c r="V32" s="85"/>
      <c r="W32" s="98"/>
      <c r="X32" s="31"/>
      <c r="Y32" s="98"/>
      <c r="Z32" s="85"/>
      <c r="AA32" s="86"/>
      <c r="AB32" s="31"/>
      <c r="AC32" s="86"/>
      <c r="AD32" s="86"/>
      <c r="AE32" s="86"/>
      <c r="AF32" s="31"/>
      <c r="AG32" s="86"/>
      <c r="AH32" s="86"/>
      <c r="AI32" s="126"/>
      <c r="AJ32" s="140" t="str">
        <f t="shared" si="8"/>
        <v/>
      </c>
      <c r="AK32" s="15"/>
      <c r="AL32" s="15"/>
      <c r="AM32" s="136"/>
      <c r="AN32" s="137" t="str">
        <f t="shared" si="9"/>
        <v/>
      </c>
      <c r="AO32" s="139"/>
      <c r="AP32" s="139"/>
      <c r="AQ32" s="139"/>
      <c r="AR32" s="139"/>
    </row>
    <row r="33" spans="1:44" s="13" customFormat="1" ht="75">
      <c r="B33" s="85" t="s">
        <v>584</v>
      </c>
      <c r="C33" s="25" t="s">
        <v>502</v>
      </c>
      <c r="D33" s="25" t="s">
        <v>501</v>
      </c>
      <c r="E33" s="25" t="s">
        <v>1050</v>
      </c>
      <c r="F33" s="32" t="s">
        <v>1</v>
      </c>
      <c r="G33" s="10" t="s">
        <v>1257</v>
      </c>
      <c r="H33" s="10" t="s">
        <v>1256</v>
      </c>
      <c r="I33" s="27"/>
      <c r="J33" s="26" t="s">
        <v>79</v>
      </c>
      <c r="K33" s="90" t="s">
        <v>1212</v>
      </c>
      <c r="L33" s="28" t="s">
        <v>474</v>
      </c>
      <c r="M33" s="51" t="s">
        <v>0</v>
      </c>
      <c r="N33" s="51" t="s">
        <v>1233</v>
      </c>
      <c r="O33" s="30" t="s">
        <v>0</v>
      </c>
      <c r="P33" s="29">
        <v>42773</v>
      </c>
      <c r="Q33" s="194" t="s">
        <v>1295</v>
      </c>
      <c r="R33" s="30"/>
      <c r="S33" s="30" t="s">
        <v>0</v>
      </c>
      <c r="T33" s="31">
        <v>42794</v>
      </c>
      <c r="U33" s="213" t="s">
        <v>1295</v>
      </c>
      <c r="V33" s="85"/>
      <c r="W33" s="98"/>
      <c r="X33" s="31"/>
      <c r="Y33" s="98"/>
      <c r="Z33" s="85"/>
      <c r="AA33" s="86"/>
      <c r="AB33" s="31"/>
      <c r="AC33" s="86"/>
      <c r="AD33" s="86"/>
      <c r="AE33" s="86"/>
      <c r="AF33" s="31"/>
      <c r="AG33" s="86"/>
      <c r="AH33" s="86"/>
      <c r="AI33" s="126"/>
      <c r="AJ33" s="140" t="str">
        <f t="shared" si="8"/>
        <v/>
      </c>
      <c r="AK33" s="15"/>
      <c r="AL33" s="15"/>
      <c r="AM33" s="136"/>
      <c r="AN33" s="137" t="str">
        <f t="shared" si="9"/>
        <v/>
      </c>
      <c r="AO33" s="139"/>
      <c r="AP33" s="139"/>
      <c r="AQ33" s="139"/>
      <c r="AR33" s="139"/>
    </row>
    <row r="34" spans="1:44" s="13" customFormat="1" ht="75">
      <c r="B34" s="85" t="s">
        <v>583</v>
      </c>
      <c r="C34" s="25" t="s">
        <v>499</v>
      </c>
      <c r="D34" s="25" t="s">
        <v>498</v>
      </c>
      <c r="E34" s="25" t="s">
        <v>562</v>
      </c>
      <c r="F34" s="32" t="s">
        <v>1</v>
      </c>
      <c r="G34" s="10" t="s">
        <v>1257</v>
      </c>
      <c r="H34" s="10" t="s">
        <v>1256</v>
      </c>
      <c r="I34" s="27"/>
      <c r="J34" s="26" t="s">
        <v>79</v>
      </c>
      <c r="K34" s="90" t="s">
        <v>1212</v>
      </c>
      <c r="L34" s="28" t="s">
        <v>474</v>
      </c>
      <c r="M34" s="51" t="s">
        <v>0</v>
      </c>
      <c r="N34" s="51" t="s">
        <v>1233</v>
      </c>
      <c r="O34" s="30" t="s">
        <v>0</v>
      </c>
      <c r="P34" s="29">
        <v>42773</v>
      </c>
      <c r="Q34" s="194" t="s">
        <v>1295</v>
      </c>
      <c r="R34" s="30"/>
      <c r="S34" s="30" t="s">
        <v>0</v>
      </c>
      <c r="T34" s="31">
        <v>42794</v>
      </c>
      <c r="U34" s="213" t="s">
        <v>1295</v>
      </c>
      <c r="V34" s="85"/>
      <c r="W34" s="98"/>
      <c r="X34" s="31"/>
      <c r="Y34" s="98"/>
      <c r="Z34" s="85"/>
      <c r="AA34" s="86"/>
      <c r="AB34" s="31"/>
      <c r="AC34" s="86"/>
      <c r="AD34" s="86"/>
      <c r="AE34" s="86"/>
      <c r="AF34" s="31"/>
      <c r="AG34" s="86"/>
      <c r="AH34" s="86"/>
      <c r="AI34" s="126"/>
      <c r="AJ34" s="140" t="str">
        <f t="shared" si="8"/>
        <v/>
      </c>
      <c r="AK34" s="15"/>
      <c r="AL34" s="15"/>
      <c r="AM34" s="136"/>
      <c r="AN34" s="137" t="str">
        <f t="shared" si="9"/>
        <v/>
      </c>
      <c r="AO34" s="139"/>
      <c r="AP34" s="139"/>
      <c r="AQ34" s="139"/>
      <c r="AR34" s="139"/>
    </row>
    <row r="35" spans="1:44" s="13" customFormat="1" ht="60">
      <c r="B35" s="85" t="s">
        <v>582</v>
      </c>
      <c r="C35" s="25" t="s">
        <v>495</v>
      </c>
      <c r="D35" s="25" t="s">
        <v>494</v>
      </c>
      <c r="E35" s="25" t="s">
        <v>581</v>
      </c>
      <c r="F35" s="32" t="s">
        <v>1</v>
      </c>
      <c r="G35" s="10" t="s">
        <v>1257</v>
      </c>
      <c r="H35" s="10" t="s">
        <v>1256</v>
      </c>
      <c r="I35" s="27"/>
      <c r="J35" s="26" t="s">
        <v>79</v>
      </c>
      <c r="K35" s="90" t="s">
        <v>1212</v>
      </c>
      <c r="L35" s="28" t="s">
        <v>474</v>
      </c>
      <c r="M35" s="51" t="s">
        <v>0</v>
      </c>
      <c r="N35" s="51" t="s">
        <v>1233</v>
      </c>
      <c r="O35" s="30" t="s">
        <v>0</v>
      </c>
      <c r="P35" s="29">
        <v>42773</v>
      </c>
      <c r="Q35" s="194" t="s">
        <v>1295</v>
      </c>
      <c r="R35" s="30"/>
      <c r="S35" s="30" t="s">
        <v>0</v>
      </c>
      <c r="T35" s="31">
        <v>42794</v>
      </c>
      <c r="U35" s="213" t="s">
        <v>1295</v>
      </c>
      <c r="V35" s="85"/>
      <c r="W35" s="98"/>
      <c r="X35" s="31"/>
      <c r="Y35" s="98"/>
      <c r="Z35" s="85"/>
      <c r="AA35" s="86"/>
      <c r="AB35" s="31"/>
      <c r="AC35" s="86"/>
      <c r="AD35" s="86"/>
      <c r="AE35" s="86"/>
      <c r="AF35" s="31"/>
      <c r="AG35" s="86"/>
      <c r="AH35" s="86"/>
      <c r="AI35" s="126"/>
      <c r="AJ35" s="140" t="str">
        <f t="shared" si="8"/>
        <v/>
      </c>
      <c r="AK35" s="15"/>
      <c r="AL35" s="15"/>
      <c r="AM35" s="136"/>
      <c r="AN35" s="137" t="str">
        <f t="shared" si="9"/>
        <v/>
      </c>
      <c r="AO35" s="139"/>
      <c r="AP35" s="139"/>
      <c r="AQ35" s="139"/>
      <c r="AR35" s="139"/>
    </row>
    <row r="36" spans="1:44" s="13" customFormat="1" ht="60">
      <c r="B36" s="85" t="s">
        <v>580</v>
      </c>
      <c r="C36" s="25" t="s">
        <v>491</v>
      </c>
      <c r="D36" s="25" t="s">
        <v>490</v>
      </c>
      <c r="E36" s="25" t="s">
        <v>547</v>
      </c>
      <c r="F36" s="32" t="s">
        <v>1</v>
      </c>
      <c r="G36" s="10" t="s">
        <v>1257</v>
      </c>
      <c r="H36" s="10" t="s">
        <v>1256</v>
      </c>
      <c r="I36" s="27"/>
      <c r="J36" s="26" t="s">
        <v>79</v>
      </c>
      <c r="K36" s="90" t="s">
        <v>1212</v>
      </c>
      <c r="L36" s="28" t="s">
        <v>474</v>
      </c>
      <c r="M36" s="51" t="s">
        <v>0</v>
      </c>
      <c r="N36" s="51" t="s">
        <v>1233</v>
      </c>
      <c r="O36" s="30" t="s">
        <v>0</v>
      </c>
      <c r="P36" s="29">
        <v>42773</v>
      </c>
      <c r="Q36" s="194" t="s">
        <v>1295</v>
      </c>
      <c r="R36" s="30"/>
      <c r="S36" s="30" t="s">
        <v>0</v>
      </c>
      <c r="T36" s="31">
        <v>42794</v>
      </c>
      <c r="U36" s="213" t="s">
        <v>1295</v>
      </c>
      <c r="V36" s="85"/>
      <c r="W36" s="98"/>
      <c r="X36" s="31"/>
      <c r="Y36" s="98"/>
      <c r="Z36" s="85"/>
      <c r="AA36" s="86"/>
      <c r="AB36" s="31"/>
      <c r="AC36" s="86"/>
      <c r="AD36" s="86"/>
      <c r="AE36" s="86"/>
      <c r="AF36" s="31"/>
      <c r="AG36" s="86"/>
      <c r="AH36" s="86"/>
      <c r="AI36" s="126"/>
      <c r="AJ36" s="140" t="str">
        <f t="shared" si="8"/>
        <v/>
      </c>
      <c r="AK36" s="15"/>
      <c r="AL36" s="15"/>
      <c r="AM36" s="136"/>
      <c r="AN36" s="137" t="str">
        <f t="shared" si="9"/>
        <v/>
      </c>
      <c r="AO36" s="139"/>
      <c r="AP36" s="139"/>
      <c r="AQ36" s="139"/>
      <c r="AR36" s="139"/>
    </row>
    <row r="37" spans="1:44" s="13" customFormat="1" ht="120">
      <c r="B37" s="85" t="s">
        <v>579</v>
      </c>
      <c r="C37" s="25" t="s">
        <v>483</v>
      </c>
      <c r="D37" s="25" t="s">
        <v>1051</v>
      </c>
      <c r="E37" s="25" t="s">
        <v>578</v>
      </c>
      <c r="F37" s="32" t="s">
        <v>1</v>
      </c>
      <c r="G37" s="10" t="s">
        <v>1257</v>
      </c>
      <c r="H37" s="10" t="s">
        <v>1256</v>
      </c>
      <c r="I37" s="27"/>
      <c r="J37" s="26" t="s">
        <v>79</v>
      </c>
      <c r="K37" s="90" t="s">
        <v>1212</v>
      </c>
      <c r="L37" s="28" t="s">
        <v>474</v>
      </c>
      <c r="M37" s="51" t="s">
        <v>0</v>
      </c>
      <c r="N37" s="51" t="s">
        <v>1233</v>
      </c>
      <c r="O37" s="30" t="s">
        <v>0</v>
      </c>
      <c r="P37" s="29">
        <v>42773</v>
      </c>
      <c r="Q37" s="194" t="s">
        <v>1295</v>
      </c>
      <c r="R37" s="30"/>
      <c r="S37" s="30" t="s">
        <v>0</v>
      </c>
      <c r="T37" s="31">
        <v>42794</v>
      </c>
      <c r="U37" s="213" t="s">
        <v>1295</v>
      </c>
      <c r="V37" s="85"/>
      <c r="W37" s="98"/>
      <c r="X37" s="31"/>
      <c r="Y37" s="98"/>
      <c r="Z37" s="85"/>
      <c r="AA37" s="86"/>
      <c r="AB37" s="31"/>
      <c r="AC37" s="86"/>
      <c r="AD37" s="86"/>
      <c r="AE37" s="86"/>
      <c r="AF37" s="31"/>
      <c r="AG37" s="86"/>
      <c r="AH37" s="86"/>
      <c r="AI37" s="126"/>
      <c r="AJ37" s="140" t="str">
        <f t="shared" si="8"/>
        <v/>
      </c>
      <c r="AK37" s="15"/>
      <c r="AL37" s="15"/>
      <c r="AM37" s="136"/>
      <c r="AN37" s="137" t="str">
        <f t="shared" si="9"/>
        <v/>
      </c>
      <c r="AO37" s="139"/>
      <c r="AP37" s="139"/>
      <c r="AQ37" s="139"/>
      <c r="AR37" s="139"/>
    </row>
    <row r="38" spans="1:44" s="13" customFormat="1" ht="135">
      <c r="B38" s="85" t="s">
        <v>577</v>
      </c>
      <c r="C38" s="25" t="s">
        <v>483</v>
      </c>
      <c r="D38" s="25" t="s">
        <v>1052</v>
      </c>
      <c r="E38" s="25" t="s">
        <v>489</v>
      </c>
      <c r="F38" s="32" t="s">
        <v>1</v>
      </c>
      <c r="G38" s="10" t="s">
        <v>1257</v>
      </c>
      <c r="H38" s="10" t="s">
        <v>1256</v>
      </c>
      <c r="I38" s="27"/>
      <c r="J38" s="26" t="s">
        <v>79</v>
      </c>
      <c r="K38" s="90" t="s">
        <v>1212</v>
      </c>
      <c r="L38" s="28" t="s">
        <v>474</v>
      </c>
      <c r="M38" s="51" t="s">
        <v>0</v>
      </c>
      <c r="N38" s="51" t="s">
        <v>1233</v>
      </c>
      <c r="O38" s="30" t="s">
        <v>0</v>
      </c>
      <c r="P38" s="29">
        <v>42773</v>
      </c>
      <c r="Q38" s="194" t="s">
        <v>1295</v>
      </c>
      <c r="R38" s="30"/>
      <c r="S38" s="30" t="s">
        <v>0</v>
      </c>
      <c r="T38" s="31">
        <v>42794</v>
      </c>
      <c r="U38" s="213" t="s">
        <v>1295</v>
      </c>
      <c r="V38" s="85"/>
      <c r="W38" s="98"/>
      <c r="X38" s="31"/>
      <c r="Y38" s="98"/>
      <c r="Z38" s="85"/>
      <c r="AA38" s="86"/>
      <c r="AB38" s="31"/>
      <c r="AC38" s="86"/>
      <c r="AD38" s="86"/>
      <c r="AE38" s="86"/>
      <c r="AF38" s="31"/>
      <c r="AG38" s="86"/>
      <c r="AH38" s="86"/>
      <c r="AI38" s="126"/>
      <c r="AJ38" s="140" t="str">
        <f t="shared" si="8"/>
        <v/>
      </c>
      <c r="AK38" s="15"/>
      <c r="AL38" s="15"/>
      <c r="AM38" s="136"/>
      <c r="AN38" s="137" t="str">
        <f t="shared" si="9"/>
        <v/>
      </c>
      <c r="AO38" s="139"/>
      <c r="AP38" s="139"/>
      <c r="AQ38" s="139"/>
      <c r="AR38" s="139"/>
    </row>
    <row r="39" spans="1:44" s="13" customFormat="1" ht="135">
      <c r="B39" s="85" t="s">
        <v>576</v>
      </c>
      <c r="C39" s="25" t="s">
        <v>483</v>
      </c>
      <c r="D39" s="25" t="s">
        <v>1053</v>
      </c>
      <c r="E39" s="25" t="s">
        <v>562</v>
      </c>
      <c r="F39" s="32" t="s">
        <v>1</v>
      </c>
      <c r="G39" s="10" t="s">
        <v>1257</v>
      </c>
      <c r="H39" s="10" t="s">
        <v>1256</v>
      </c>
      <c r="I39" s="27"/>
      <c r="J39" s="26" t="s">
        <v>79</v>
      </c>
      <c r="K39" s="90" t="s">
        <v>1212</v>
      </c>
      <c r="L39" s="28" t="s">
        <v>474</v>
      </c>
      <c r="M39" s="51" t="s">
        <v>0</v>
      </c>
      <c r="N39" s="51" t="s">
        <v>1233</v>
      </c>
      <c r="O39" s="30" t="s">
        <v>0</v>
      </c>
      <c r="P39" s="29">
        <v>42773</v>
      </c>
      <c r="Q39" s="194" t="s">
        <v>1295</v>
      </c>
      <c r="R39" s="30"/>
      <c r="S39" s="30" t="s">
        <v>0</v>
      </c>
      <c r="T39" s="31">
        <v>42794</v>
      </c>
      <c r="U39" s="213" t="s">
        <v>1295</v>
      </c>
      <c r="V39" s="85"/>
      <c r="W39" s="98"/>
      <c r="X39" s="31"/>
      <c r="Y39" s="98"/>
      <c r="Z39" s="85"/>
      <c r="AA39" s="86"/>
      <c r="AB39" s="31"/>
      <c r="AC39" s="86"/>
      <c r="AD39" s="86"/>
      <c r="AE39" s="86"/>
      <c r="AF39" s="31"/>
      <c r="AG39" s="86"/>
      <c r="AH39" s="86"/>
      <c r="AI39" s="126"/>
      <c r="AJ39" s="140" t="str">
        <f t="shared" si="8"/>
        <v/>
      </c>
      <c r="AK39" s="15"/>
      <c r="AL39" s="15"/>
      <c r="AM39" s="136"/>
      <c r="AN39" s="137" t="str">
        <f t="shared" si="9"/>
        <v/>
      </c>
      <c r="AO39" s="139"/>
      <c r="AP39" s="139"/>
      <c r="AQ39" s="139"/>
      <c r="AR39" s="139"/>
    </row>
    <row r="40" spans="1:44" s="13" customFormat="1" ht="105">
      <c r="B40" s="85" t="s">
        <v>575</v>
      </c>
      <c r="C40" s="25" t="s">
        <v>477</v>
      </c>
      <c r="D40" s="25" t="s">
        <v>1054</v>
      </c>
      <c r="E40" s="25" t="s">
        <v>1055</v>
      </c>
      <c r="F40" s="32" t="s">
        <v>1</v>
      </c>
      <c r="G40" s="10" t="s">
        <v>1257</v>
      </c>
      <c r="H40" s="10" t="s">
        <v>1256</v>
      </c>
      <c r="I40" s="27"/>
      <c r="J40" s="26" t="s">
        <v>79</v>
      </c>
      <c r="K40" s="90" t="s">
        <v>1212</v>
      </c>
      <c r="L40" s="28" t="s">
        <v>474</v>
      </c>
      <c r="M40" s="51" t="s">
        <v>0</v>
      </c>
      <c r="N40" s="51" t="s">
        <v>1233</v>
      </c>
      <c r="O40" s="30" t="s">
        <v>0</v>
      </c>
      <c r="P40" s="29">
        <v>42773</v>
      </c>
      <c r="Q40" s="194" t="s">
        <v>1295</v>
      </c>
      <c r="R40" s="30"/>
      <c r="S40" s="30" t="s">
        <v>0</v>
      </c>
      <c r="T40" s="31">
        <v>42794</v>
      </c>
      <c r="U40" s="213" t="s">
        <v>1295</v>
      </c>
      <c r="V40" s="85"/>
      <c r="W40" s="98"/>
      <c r="X40" s="31"/>
      <c r="Y40" s="98"/>
      <c r="Z40" s="85"/>
      <c r="AA40" s="86"/>
      <c r="AB40" s="31"/>
      <c r="AC40" s="86"/>
      <c r="AD40" s="86"/>
      <c r="AE40" s="86"/>
      <c r="AF40" s="31"/>
      <c r="AG40" s="86"/>
      <c r="AH40" s="86"/>
      <c r="AI40" s="126"/>
      <c r="AJ40" s="140" t="str">
        <f t="shared" si="8"/>
        <v/>
      </c>
      <c r="AK40" s="15"/>
      <c r="AL40" s="15"/>
      <c r="AM40" s="136"/>
      <c r="AN40" s="137" t="str">
        <f t="shared" si="9"/>
        <v/>
      </c>
      <c r="AO40" s="139"/>
      <c r="AP40" s="139"/>
      <c r="AQ40" s="139"/>
      <c r="AR40" s="139"/>
    </row>
    <row r="41" spans="1:44" s="13" customFormat="1" ht="75">
      <c r="B41" s="85" t="s">
        <v>574</v>
      </c>
      <c r="C41" s="25" t="s">
        <v>477</v>
      </c>
      <c r="D41" s="25" t="s">
        <v>573</v>
      </c>
      <c r="E41" s="25" t="s">
        <v>572</v>
      </c>
      <c r="F41" s="32" t="s">
        <v>1</v>
      </c>
      <c r="G41" s="10" t="s">
        <v>1257</v>
      </c>
      <c r="H41" s="10" t="s">
        <v>1256</v>
      </c>
      <c r="I41" s="27"/>
      <c r="J41" s="26" t="s">
        <v>79</v>
      </c>
      <c r="K41" s="90" t="s">
        <v>1212</v>
      </c>
      <c r="L41" s="28" t="s">
        <v>474</v>
      </c>
      <c r="M41" s="51" t="s">
        <v>0</v>
      </c>
      <c r="N41" s="51" t="s">
        <v>1233</v>
      </c>
      <c r="O41" s="30" t="s">
        <v>0</v>
      </c>
      <c r="P41" s="29">
        <v>42773</v>
      </c>
      <c r="Q41" s="194" t="s">
        <v>1295</v>
      </c>
      <c r="R41" s="30"/>
      <c r="S41" s="30" t="s">
        <v>0</v>
      </c>
      <c r="T41" s="31">
        <v>42794</v>
      </c>
      <c r="U41" s="213" t="s">
        <v>1295</v>
      </c>
      <c r="V41" s="85"/>
      <c r="W41" s="98"/>
      <c r="X41" s="31"/>
      <c r="Y41" s="98"/>
      <c r="Z41" s="85"/>
      <c r="AA41" s="86"/>
      <c r="AB41" s="31"/>
      <c r="AC41" s="86"/>
      <c r="AD41" s="86"/>
      <c r="AE41" s="86"/>
      <c r="AF41" s="31"/>
      <c r="AG41" s="86"/>
      <c r="AH41" s="86"/>
      <c r="AI41" s="126"/>
      <c r="AJ41" s="140" t="str">
        <f t="shared" si="8"/>
        <v/>
      </c>
      <c r="AK41" s="15"/>
      <c r="AL41" s="15"/>
      <c r="AM41" s="136"/>
      <c r="AN41" s="137" t="str">
        <f t="shared" si="9"/>
        <v/>
      </c>
      <c r="AO41" s="139"/>
      <c r="AP41" s="139"/>
      <c r="AQ41" s="139"/>
      <c r="AR41" s="139"/>
    </row>
    <row r="42" spans="1:44" s="13" customFormat="1" ht="120">
      <c r="B42" s="85" t="s">
        <v>571</v>
      </c>
      <c r="C42" s="25" t="s">
        <v>467</v>
      </c>
      <c r="D42" s="25" t="s">
        <v>570</v>
      </c>
      <c r="E42" s="25" t="s">
        <v>1056</v>
      </c>
      <c r="F42" s="32" t="s">
        <v>1</v>
      </c>
      <c r="G42" s="10" t="s">
        <v>1257</v>
      </c>
      <c r="H42" s="10" t="s">
        <v>1256</v>
      </c>
      <c r="I42" s="27"/>
      <c r="J42" s="26" t="s">
        <v>79</v>
      </c>
      <c r="K42" s="90" t="s">
        <v>1212</v>
      </c>
      <c r="L42" s="28" t="s">
        <v>474</v>
      </c>
      <c r="M42" s="51" t="s">
        <v>0</v>
      </c>
      <c r="N42" s="51" t="s">
        <v>1233</v>
      </c>
      <c r="O42" s="30" t="s">
        <v>0</v>
      </c>
      <c r="P42" s="29">
        <v>42773</v>
      </c>
      <c r="Q42" s="194" t="s">
        <v>1295</v>
      </c>
      <c r="R42" s="30"/>
      <c r="S42" s="30" t="s">
        <v>0</v>
      </c>
      <c r="T42" s="31">
        <v>42794</v>
      </c>
      <c r="U42" s="213" t="s">
        <v>1295</v>
      </c>
      <c r="V42" s="85"/>
      <c r="W42" s="98"/>
      <c r="X42" s="31"/>
      <c r="Y42" s="98"/>
      <c r="Z42" s="85"/>
      <c r="AA42" s="86"/>
      <c r="AB42" s="31"/>
      <c r="AC42" s="86"/>
      <c r="AD42" s="86"/>
      <c r="AE42" s="86"/>
      <c r="AF42" s="31"/>
      <c r="AG42" s="86"/>
      <c r="AH42" s="86"/>
      <c r="AI42" s="126"/>
      <c r="AJ42" s="140" t="str">
        <f t="shared" si="8"/>
        <v/>
      </c>
      <c r="AK42" s="15"/>
      <c r="AL42" s="15"/>
      <c r="AM42" s="136"/>
      <c r="AN42" s="137" t="str">
        <f t="shared" si="9"/>
        <v/>
      </c>
      <c r="AO42" s="139"/>
      <c r="AP42" s="139"/>
      <c r="AQ42" s="139"/>
      <c r="AR42" s="139"/>
    </row>
    <row r="43" spans="1:44" s="13" customFormat="1" ht="75">
      <c r="B43" s="85" t="s">
        <v>569</v>
      </c>
      <c r="C43" s="25" t="s">
        <v>467</v>
      </c>
      <c r="D43" s="25" t="s">
        <v>568</v>
      </c>
      <c r="E43" s="25" t="s">
        <v>567</v>
      </c>
      <c r="F43" s="32" t="s">
        <v>1</v>
      </c>
      <c r="G43" s="10" t="s">
        <v>1257</v>
      </c>
      <c r="H43" s="10" t="s">
        <v>1256</v>
      </c>
      <c r="I43" s="27"/>
      <c r="J43" s="26" t="s">
        <v>79</v>
      </c>
      <c r="K43" s="90" t="s">
        <v>1212</v>
      </c>
      <c r="L43" s="28" t="s">
        <v>474</v>
      </c>
      <c r="M43" s="51" t="s">
        <v>0</v>
      </c>
      <c r="N43" s="51" t="s">
        <v>1233</v>
      </c>
      <c r="O43" s="30" t="s">
        <v>0</v>
      </c>
      <c r="P43" s="29">
        <v>42773</v>
      </c>
      <c r="Q43" s="194" t="s">
        <v>1295</v>
      </c>
      <c r="R43" s="30"/>
      <c r="S43" s="30" t="s">
        <v>0</v>
      </c>
      <c r="T43" s="31">
        <v>42794</v>
      </c>
      <c r="U43" s="213" t="s">
        <v>1295</v>
      </c>
      <c r="V43" s="85"/>
      <c r="W43" s="98"/>
      <c r="X43" s="31"/>
      <c r="Y43" s="98"/>
      <c r="Z43" s="85"/>
      <c r="AA43" s="86"/>
      <c r="AB43" s="31"/>
      <c r="AC43" s="86"/>
      <c r="AD43" s="86"/>
      <c r="AE43" s="86"/>
      <c r="AF43" s="31"/>
      <c r="AG43" s="86"/>
      <c r="AH43" s="86"/>
      <c r="AI43" s="126"/>
      <c r="AJ43" s="140" t="str">
        <f t="shared" si="8"/>
        <v/>
      </c>
      <c r="AK43" s="15"/>
      <c r="AL43" s="15"/>
      <c r="AM43" s="136"/>
      <c r="AN43" s="137" t="str">
        <f t="shared" si="9"/>
        <v/>
      </c>
      <c r="AO43" s="139"/>
      <c r="AP43" s="139"/>
      <c r="AQ43" s="139"/>
      <c r="AR43" s="139"/>
    </row>
    <row r="44" spans="1:44" s="13" customFormat="1" ht="75">
      <c r="B44" s="85" t="s">
        <v>566</v>
      </c>
      <c r="C44" s="25" t="s">
        <v>467</v>
      </c>
      <c r="D44" s="25" t="s">
        <v>565</v>
      </c>
      <c r="E44" s="25" t="s">
        <v>562</v>
      </c>
      <c r="F44" s="32" t="s">
        <v>1</v>
      </c>
      <c r="G44" s="10" t="s">
        <v>1257</v>
      </c>
      <c r="H44" s="10" t="s">
        <v>1256</v>
      </c>
      <c r="I44" s="27"/>
      <c r="J44" s="26" t="s">
        <v>79</v>
      </c>
      <c r="K44" s="90" t="s">
        <v>1212</v>
      </c>
      <c r="L44" s="28" t="s">
        <v>474</v>
      </c>
      <c r="M44" s="51" t="s">
        <v>0</v>
      </c>
      <c r="N44" s="51" t="s">
        <v>1233</v>
      </c>
      <c r="O44" s="30" t="s">
        <v>0</v>
      </c>
      <c r="P44" s="29">
        <v>42773</v>
      </c>
      <c r="Q44" s="194" t="s">
        <v>1295</v>
      </c>
      <c r="R44" s="30"/>
      <c r="S44" s="30" t="s">
        <v>0</v>
      </c>
      <c r="T44" s="31">
        <v>42794</v>
      </c>
      <c r="U44" s="213" t="s">
        <v>1295</v>
      </c>
      <c r="V44" s="85"/>
      <c r="W44" s="98"/>
      <c r="X44" s="31"/>
      <c r="Y44" s="98"/>
      <c r="Z44" s="85"/>
      <c r="AA44" s="86"/>
      <c r="AB44" s="31"/>
      <c r="AC44" s="86"/>
      <c r="AD44" s="86"/>
      <c r="AE44" s="86"/>
      <c r="AF44" s="31"/>
      <c r="AG44" s="86"/>
      <c r="AH44" s="86"/>
      <c r="AI44" s="126"/>
      <c r="AJ44" s="140" t="str">
        <f t="shared" si="8"/>
        <v/>
      </c>
      <c r="AK44" s="15"/>
      <c r="AL44" s="15"/>
      <c r="AM44" s="136"/>
      <c r="AN44" s="137" t="str">
        <f t="shared" si="9"/>
        <v/>
      </c>
      <c r="AO44" s="139"/>
      <c r="AP44" s="139"/>
      <c r="AQ44" s="139"/>
      <c r="AR44" s="139"/>
    </row>
    <row r="45" spans="1:44" s="13" customFormat="1" ht="75">
      <c r="B45" s="85" t="s">
        <v>564</v>
      </c>
      <c r="C45" s="25" t="s">
        <v>467</v>
      </c>
      <c r="D45" s="25" t="s">
        <v>563</v>
      </c>
      <c r="E45" s="25" t="s">
        <v>562</v>
      </c>
      <c r="F45" s="32" t="s">
        <v>1</v>
      </c>
      <c r="G45" s="10" t="s">
        <v>1257</v>
      </c>
      <c r="H45" s="10" t="s">
        <v>1256</v>
      </c>
      <c r="I45" s="27"/>
      <c r="J45" s="26" t="s">
        <v>79</v>
      </c>
      <c r="K45" s="90" t="s">
        <v>1212</v>
      </c>
      <c r="L45" s="28" t="s">
        <v>474</v>
      </c>
      <c r="M45" s="51" t="s">
        <v>0</v>
      </c>
      <c r="N45" s="51" t="s">
        <v>1233</v>
      </c>
      <c r="O45" s="30" t="s">
        <v>0</v>
      </c>
      <c r="P45" s="29">
        <v>42773</v>
      </c>
      <c r="Q45" s="194" t="s">
        <v>1295</v>
      </c>
      <c r="R45" s="30"/>
      <c r="S45" s="30" t="s">
        <v>0</v>
      </c>
      <c r="T45" s="31">
        <v>42794</v>
      </c>
      <c r="U45" s="213" t="s">
        <v>1295</v>
      </c>
      <c r="V45" s="85"/>
      <c r="W45" s="98"/>
      <c r="X45" s="31"/>
      <c r="Y45" s="98"/>
      <c r="Z45" s="85"/>
      <c r="AA45" s="86"/>
      <c r="AB45" s="31"/>
      <c r="AC45" s="86"/>
      <c r="AD45" s="86"/>
      <c r="AE45" s="86"/>
      <c r="AF45" s="31"/>
      <c r="AG45" s="86"/>
      <c r="AH45" s="86"/>
      <c r="AI45" s="126"/>
      <c r="AJ45" s="140" t="str">
        <f t="shared" si="8"/>
        <v/>
      </c>
      <c r="AK45" s="15"/>
      <c r="AL45" s="15"/>
      <c r="AM45" s="136"/>
      <c r="AN45" s="137" t="str">
        <f t="shared" si="9"/>
        <v/>
      </c>
      <c r="AO45" s="139"/>
      <c r="AP45" s="139"/>
      <c r="AQ45" s="139"/>
      <c r="AR45" s="139"/>
    </row>
    <row r="46" spans="1:44" s="13" customFormat="1">
      <c r="B46" s="22" t="s">
        <v>561</v>
      </c>
      <c r="C46" s="23"/>
      <c r="D46" s="23"/>
      <c r="E46" s="23"/>
      <c r="F46" s="24"/>
      <c r="G46" s="24"/>
      <c r="H46" s="24"/>
      <c r="I46" s="23"/>
      <c r="J46" s="23"/>
      <c r="K46" s="23"/>
      <c r="L46" s="24" t="s">
        <v>103</v>
      </c>
      <c r="M46" s="23"/>
      <c r="N46" s="23"/>
      <c r="O46" s="30"/>
      <c r="P46" s="29"/>
      <c r="Q46" s="30"/>
      <c r="R46" s="30"/>
      <c r="S46" s="85"/>
      <c r="T46" s="31"/>
      <c r="U46" s="85"/>
      <c r="V46" s="36"/>
      <c r="W46" s="85"/>
      <c r="X46" s="31"/>
      <c r="Y46" s="85"/>
      <c r="Z46" s="36"/>
      <c r="AA46" s="86"/>
      <c r="AB46" s="31"/>
      <c r="AC46" s="86"/>
      <c r="AD46" s="36"/>
      <c r="AE46" s="86"/>
      <c r="AF46" s="31"/>
      <c r="AG46" s="86"/>
      <c r="AH46" s="36"/>
      <c r="AI46" s="126"/>
      <c r="AJ46" s="140" t="str">
        <f t="shared" si="8"/>
        <v/>
      </c>
      <c r="AK46" s="15"/>
      <c r="AL46" s="15"/>
      <c r="AM46" s="136"/>
      <c r="AN46" s="137" t="str">
        <f t="shared" si="9"/>
        <v/>
      </c>
      <c r="AO46" s="139"/>
      <c r="AP46" s="139"/>
      <c r="AQ46" s="139"/>
      <c r="AR46" s="139"/>
    </row>
    <row r="47" spans="1:44" s="13" customFormat="1" ht="225">
      <c r="A47" s="33"/>
      <c r="B47" s="85" t="s">
        <v>560</v>
      </c>
      <c r="C47" s="25" t="s">
        <v>559</v>
      </c>
      <c r="D47" s="25" t="s">
        <v>558</v>
      </c>
      <c r="E47" s="25" t="s">
        <v>557</v>
      </c>
      <c r="F47" s="32" t="s">
        <v>1</v>
      </c>
      <c r="G47" s="10" t="s">
        <v>1257</v>
      </c>
      <c r="H47" s="10" t="s">
        <v>1256</v>
      </c>
      <c r="I47" s="27"/>
      <c r="J47" s="26" t="s">
        <v>79</v>
      </c>
      <c r="K47" s="90" t="s">
        <v>1212</v>
      </c>
      <c r="L47" s="28" t="s">
        <v>474</v>
      </c>
      <c r="M47" s="51" t="s">
        <v>0</v>
      </c>
      <c r="N47" s="51" t="s">
        <v>1233</v>
      </c>
      <c r="O47" s="30" t="s">
        <v>0</v>
      </c>
      <c r="P47" s="29">
        <v>42773</v>
      </c>
      <c r="Q47" s="194" t="s">
        <v>1295</v>
      </c>
      <c r="R47" s="30"/>
      <c r="S47" s="30" t="s">
        <v>0</v>
      </c>
      <c r="T47" s="31">
        <v>42794</v>
      </c>
      <c r="U47" s="213" t="s">
        <v>1295</v>
      </c>
      <c r="V47" s="85"/>
      <c r="W47" s="98"/>
      <c r="X47" s="31"/>
      <c r="Y47" s="98"/>
      <c r="Z47" s="85"/>
      <c r="AA47" s="86"/>
      <c r="AB47" s="31"/>
      <c r="AC47" s="86"/>
      <c r="AD47" s="86"/>
      <c r="AE47" s="86"/>
      <c r="AF47" s="31"/>
      <c r="AG47" s="86"/>
      <c r="AH47" s="86"/>
      <c r="AI47" s="126"/>
      <c r="AJ47" s="140" t="str">
        <f t="shared" si="8"/>
        <v/>
      </c>
      <c r="AK47" s="15"/>
      <c r="AL47" s="15"/>
      <c r="AM47" s="136"/>
      <c r="AN47" s="137" t="str">
        <f t="shared" si="9"/>
        <v/>
      </c>
      <c r="AO47" s="139"/>
      <c r="AP47" s="139"/>
      <c r="AQ47" s="139"/>
      <c r="AR47" s="139"/>
    </row>
    <row r="48" spans="1:44" s="13" customFormat="1" ht="195">
      <c r="B48" s="85" t="s">
        <v>556</v>
      </c>
      <c r="C48" s="25" t="s">
        <v>528</v>
      </c>
      <c r="D48" s="25" t="s">
        <v>555</v>
      </c>
      <c r="E48" s="25" t="s">
        <v>554</v>
      </c>
      <c r="F48" s="32" t="s">
        <v>1</v>
      </c>
      <c r="G48" s="10" t="s">
        <v>1257</v>
      </c>
      <c r="H48" s="10" t="s">
        <v>1256</v>
      </c>
      <c r="I48" s="27"/>
      <c r="J48" s="26" t="s">
        <v>79</v>
      </c>
      <c r="K48" s="90" t="s">
        <v>1212</v>
      </c>
      <c r="L48" s="28" t="s">
        <v>474</v>
      </c>
      <c r="M48" s="51" t="s">
        <v>0</v>
      </c>
      <c r="N48" s="51" t="s">
        <v>1233</v>
      </c>
      <c r="O48" s="30" t="s">
        <v>0</v>
      </c>
      <c r="P48" s="29">
        <v>42773</v>
      </c>
      <c r="Q48" s="194" t="s">
        <v>1295</v>
      </c>
      <c r="R48" s="30"/>
      <c r="S48" s="30" t="s">
        <v>0</v>
      </c>
      <c r="T48" s="31">
        <v>42794</v>
      </c>
      <c r="U48" s="213" t="s">
        <v>1295</v>
      </c>
      <c r="V48" s="85"/>
      <c r="W48" s="98"/>
      <c r="X48" s="31"/>
      <c r="Y48" s="98"/>
      <c r="Z48" s="85"/>
      <c r="AA48" s="86"/>
      <c r="AB48" s="31"/>
      <c r="AC48" s="86"/>
      <c r="AD48" s="86"/>
      <c r="AE48" s="86"/>
      <c r="AF48" s="31"/>
      <c r="AG48" s="86"/>
      <c r="AH48" s="86"/>
      <c r="AI48" s="126"/>
      <c r="AJ48" s="140" t="str">
        <f t="shared" si="8"/>
        <v/>
      </c>
      <c r="AK48" s="15"/>
      <c r="AL48" s="15"/>
      <c r="AM48" s="136"/>
      <c r="AN48" s="137" t="str">
        <f t="shared" si="9"/>
        <v/>
      </c>
      <c r="AO48" s="139"/>
      <c r="AP48" s="139"/>
      <c r="AQ48" s="139"/>
      <c r="AR48" s="139"/>
    </row>
    <row r="49" spans="2:44" s="13" customFormat="1" ht="180">
      <c r="B49" s="85" t="s">
        <v>553</v>
      </c>
      <c r="C49" s="25" t="s">
        <v>528</v>
      </c>
      <c r="D49" s="25" t="s">
        <v>552</v>
      </c>
      <c r="E49" s="25" t="s">
        <v>551</v>
      </c>
      <c r="F49" s="32" t="s">
        <v>1</v>
      </c>
      <c r="G49" s="10" t="s">
        <v>1257</v>
      </c>
      <c r="H49" s="10" t="s">
        <v>1256</v>
      </c>
      <c r="I49" s="27"/>
      <c r="J49" s="26" t="s">
        <v>79</v>
      </c>
      <c r="K49" s="90" t="s">
        <v>1212</v>
      </c>
      <c r="L49" s="28" t="s">
        <v>474</v>
      </c>
      <c r="M49" s="51" t="s">
        <v>0</v>
      </c>
      <c r="N49" s="51" t="s">
        <v>1233</v>
      </c>
      <c r="O49" s="30" t="s">
        <v>0</v>
      </c>
      <c r="P49" s="29">
        <v>42773</v>
      </c>
      <c r="Q49" s="194" t="s">
        <v>1295</v>
      </c>
      <c r="R49" s="30"/>
      <c r="S49" s="30" t="s">
        <v>0</v>
      </c>
      <c r="T49" s="31">
        <v>42794</v>
      </c>
      <c r="U49" s="213" t="s">
        <v>1295</v>
      </c>
      <c r="V49" s="85"/>
      <c r="W49" s="98"/>
      <c r="X49" s="31"/>
      <c r="Y49" s="98"/>
      <c r="Z49" s="85"/>
      <c r="AA49" s="86"/>
      <c r="AB49" s="31"/>
      <c r="AC49" s="86"/>
      <c r="AD49" s="86"/>
      <c r="AE49" s="86"/>
      <c r="AF49" s="31"/>
      <c r="AG49" s="86"/>
      <c r="AH49" s="86"/>
      <c r="AI49" s="126"/>
      <c r="AJ49" s="140" t="str">
        <f t="shared" si="8"/>
        <v/>
      </c>
      <c r="AK49" s="15"/>
      <c r="AL49" s="15"/>
      <c r="AM49" s="136"/>
      <c r="AN49" s="137" t="str">
        <f t="shared" si="9"/>
        <v/>
      </c>
      <c r="AO49" s="139"/>
      <c r="AP49" s="139"/>
      <c r="AQ49" s="139"/>
      <c r="AR49" s="139"/>
    </row>
    <row r="50" spans="2:44" s="13" customFormat="1" ht="45">
      <c r="B50" s="85" t="s">
        <v>550</v>
      </c>
      <c r="C50" s="85" t="s">
        <v>549</v>
      </c>
      <c r="D50" s="85" t="s">
        <v>548</v>
      </c>
      <c r="E50" s="85" t="s">
        <v>547</v>
      </c>
      <c r="F50" s="32" t="s">
        <v>1</v>
      </c>
      <c r="G50" s="10" t="s">
        <v>1257</v>
      </c>
      <c r="H50" s="10" t="s">
        <v>1256</v>
      </c>
      <c r="I50" s="27"/>
      <c r="J50" s="26" t="s">
        <v>79</v>
      </c>
      <c r="K50" s="90" t="s">
        <v>1212</v>
      </c>
      <c r="L50" s="28" t="s">
        <v>465</v>
      </c>
      <c r="M50" s="51" t="s">
        <v>0</v>
      </c>
      <c r="N50" s="51" t="s">
        <v>1233</v>
      </c>
      <c r="O50" s="30" t="s">
        <v>0</v>
      </c>
      <c r="P50" s="29">
        <v>42773</v>
      </c>
      <c r="Q50" s="194" t="s">
        <v>1295</v>
      </c>
      <c r="R50" s="30"/>
      <c r="S50" s="30" t="s">
        <v>0</v>
      </c>
      <c r="T50" s="31">
        <v>42794</v>
      </c>
      <c r="U50" s="213" t="s">
        <v>1295</v>
      </c>
      <c r="V50" s="85"/>
      <c r="W50" s="98"/>
      <c r="X50" s="31"/>
      <c r="Y50" s="98"/>
      <c r="Z50" s="85"/>
      <c r="AA50" s="86"/>
      <c r="AB50" s="31"/>
      <c r="AC50" s="86"/>
      <c r="AD50" s="86"/>
      <c r="AE50" s="86"/>
      <c r="AF50" s="31"/>
      <c r="AG50" s="86"/>
      <c r="AH50" s="86"/>
      <c r="AI50" s="126"/>
      <c r="AJ50" s="140" t="str">
        <f t="shared" si="8"/>
        <v/>
      </c>
      <c r="AK50" s="15"/>
      <c r="AL50" s="15"/>
      <c r="AM50" s="136"/>
      <c r="AN50" s="137" t="str">
        <f t="shared" si="9"/>
        <v/>
      </c>
      <c r="AO50" s="139"/>
      <c r="AP50" s="139"/>
      <c r="AQ50" s="139"/>
      <c r="AR50" s="139"/>
    </row>
    <row r="51" spans="2:44" s="13" customFormat="1" ht="180">
      <c r="B51" s="85" t="s">
        <v>546</v>
      </c>
      <c r="C51" s="25" t="s">
        <v>534</v>
      </c>
      <c r="D51" s="25" t="s">
        <v>545</v>
      </c>
      <c r="E51" s="25" t="s">
        <v>544</v>
      </c>
      <c r="F51" s="32" t="s">
        <v>1</v>
      </c>
      <c r="G51" s="10" t="s">
        <v>1257</v>
      </c>
      <c r="H51" s="10" t="s">
        <v>1256</v>
      </c>
      <c r="I51" s="27"/>
      <c r="J51" s="26" t="s">
        <v>79</v>
      </c>
      <c r="K51" s="90" t="s">
        <v>1212</v>
      </c>
      <c r="L51" s="28" t="s">
        <v>474</v>
      </c>
      <c r="M51" s="51" t="s">
        <v>0</v>
      </c>
      <c r="N51" s="51" t="s">
        <v>1233</v>
      </c>
      <c r="O51" s="30" t="s">
        <v>0</v>
      </c>
      <c r="P51" s="29">
        <v>42773</v>
      </c>
      <c r="Q51" s="194" t="s">
        <v>1295</v>
      </c>
      <c r="R51" s="30"/>
      <c r="S51" s="30" t="s">
        <v>0</v>
      </c>
      <c r="T51" s="31">
        <v>42794</v>
      </c>
      <c r="U51" s="213" t="s">
        <v>1295</v>
      </c>
      <c r="V51" s="85"/>
      <c r="W51" s="98"/>
      <c r="X51" s="31"/>
      <c r="Y51" s="98"/>
      <c r="Z51" s="85"/>
      <c r="AA51" s="86"/>
      <c r="AB51" s="31"/>
      <c r="AC51" s="86"/>
      <c r="AD51" s="86"/>
      <c r="AE51" s="86"/>
      <c r="AF51" s="31"/>
      <c r="AG51" s="86"/>
      <c r="AH51" s="86"/>
      <c r="AI51" s="126"/>
      <c r="AJ51" s="140" t="str">
        <f t="shared" si="8"/>
        <v/>
      </c>
      <c r="AK51" s="15"/>
      <c r="AL51" s="15"/>
      <c r="AM51" s="136"/>
      <c r="AN51" s="137" t="str">
        <f t="shared" si="9"/>
        <v/>
      </c>
      <c r="AO51" s="139"/>
      <c r="AP51" s="139"/>
      <c r="AQ51" s="139"/>
      <c r="AR51" s="139"/>
    </row>
    <row r="52" spans="2:44" s="13" customFormat="1" ht="180">
      <c r="B52" s="85" t="s">
        <v>543</v>
      </c>
      <c r="C52" s="25" t="s">
        <v>534</v>
      </c>
      <c r="D52" s="25" t="s">
        <v>542</v>
      </c>
      <c r="E52" s="25" t="s">
        <v>541</v>
      </c>
      <c r="F52" s="32" t="s">
        <v>1</v>
      </c>
      <c r="G52" s="10" t="s">
        <v>1257</v>
      </c>
      <c r="H52" s="10" t="s">
        <v>1256</v>
      </c>
      <c r="I52" s="27"/>
      <c r="J52" s="26" t="s">
        <v>79</v>
      </c>
      <c r="K52" s="90" t="s">
        <v>1212</v>
      </c>
      <c r="L52" s="28" t="s">
        <v>474</v>
      </c>
      <c r="M52" s="51" t="s">
        <v>0</v>
      </c>
      <c r="N52" s="51" t="s">
        <v>1233</v>
      </c>
      <c r="O52" s="30" t="s">
        <v>0</v>
      </c>
      <c r="P52" s="29">
        <v>42773</v>
      </c>
      <c r="Q52" s="194" t="s">
        <v>1295</v>
      </c>
      <c r="R52" s="30"/>
      <c r="S52" s="30" t="s">
        <v>0</v>
      </c>
      <c r="T52" s="31">
        <v>42794</v>
      </c>
      <c r="U52" s="213" t="s">
        <v>1295</v>
      </c>
      <c r="V52" s="85"/>
      <c r="W52" s="98"/>
      <c r="X52" s="31"/>
      <c r="Y52" s="98"/>
      <c r="Z52" s="85"/>
      <c r="AA52" s="86"/>
      <c r="AB52" s="31"/>
      <c r="AC52" s="86"/>
      <c r="AD52" s="86"/>
      <c r="AE52" s="86"/>
      <c r="AF52" s="31"/>
      <c r="AG52" s="86"/>
      <c r="AH52" s="86"/>
      <c r="AI52" s="126"/>
      <c r="AJ52" s="140" t="str">
        <f t="shared" si="8"/>
        <v/>
      </c>
      <c r="AK52" s="15"/>
      <c r="AL52" s="15"/>
      <c r="AM52" s="136"/>
      <c r="AN52" s="137" t="str">
        <f t="shared" si="9"/>
        <v/>
      </c>
      <c r="AO52" s="139"/>
      <c r="AP52" s="139"/>
      <c r="AQ52" s="139"/>
      <c r="AR52" s="139"/>
    </row>
    <row r="53" spans="2:44" s="13" customFormat="1" ht="165">
      <c r="B53" s="85" t="s">
        <v>540</v>
      </c>
      <c r="C53" s="25" t="s">
        <v>534</v>
      </c>
      <c r="D53" s="25" t="s">
        <v>539</v>
      </c>
      <c r="E53" s="25" t="s">
        <v>538</v>
      </c>
      <c r="F53" s="32" t="s">
        <v>1</v>
      </c>
      <c r="G53" s="10" t="s">
        <v>1257</v>
      </c>
      <c r="H53" s="10" t="s">
        <v>1256</v>
      </c>
      <c r="I53" s="27"/>
      <c r="J53" s="26" t="s">
        <v>79</v>
      </c>
      <c r="K53" s="90" t="s">
        <v>1212</v>
      </c>
      <c r="L53" s="28" t="s">
        <v>474</v>
      </c>
      <c r="M53" s="51" t="s">
        <v>0</v>
      </c>
      <c r="N53" s="51" t="s">
        <v>1233</v>
      </c>
      <c r="O53" s="30" t="s">
        <v>0</v>
      </c>
      <c r="P53" s="29">
        <v>42773</v>
      </c>
      <c r="Q53" s="194" t="s">
        <v>1295</v>
      </c>
      <c r="R53" s="30"/>
      <c r="S53" s="30" t="s">
        <v>0</v>
      </c>
      <c r="T53" s="31">
        <v>42794</v>
      </c>
      <c r="U53" s="213" t="s">
        <v>1295</v>
      </c>
      <c r="V53" s="85"/>
      <c r="W53" s="98"/>
      <c r="X53" s="31"/>
      <c r="Y53" s="98"/>
      <c r="Z53" s="85"/>
      <c r="AA53" s="86"/>
      <c r="AB53" s="31"/>
      <c r="AC53" s="86"/>
      <c r="AD53" s="86"/>
      <c r="AE53" s="86"/>
      <c r="AF53" s="31"/>
      <c r="AG53" s="86"/>
      <c r="AH53" s="86"/>
      <c r="AI53" s="126"/>
      <c r="AJ53" s="140" t="str">
        <f t="shared" si="8"/>
        <v/>
      </c>
      <c r="AK53" s="15"/>
      <c r="AL53" s="15"/>
      <c r="AM53" s="136"/>
      <c r="AN53" s="137" t="str">
        <f t="shared" si="9"/>
        <v/>
      </c>
      <c r="AO53" s="139"/>
      <c r="AP53" s="139"/>
      <c r="AQ53" s="139"/>
      <c r="AR53" s="139"/>
    </row>
    <row r="54" spans="2:44" s="13" customFormat="1" ht="150">
      <c r="B54" s="85" t="s">
        <v>537</v>
      </c>
      <c r="C54" s="25" t="s">
        <v>534</v>
      </c>
      <c r="D54" s="25" t="s">
        <v>536</v>
      </c>
      <c r="E54" s="25" t="s">
        <v>497</v>
      </c>
      <c r="F54" s="32" t="s">
        <v>1</v>
      </c>
      <c r="G54" s="10" t="s">
        <v>1257</v>
      </c>
      <c r="H54" s="10" t="s">
        <v>1256</v>
      </c>
      <c r="I54" s="27"/>
      <c r="J54" s="26" t="s">
        <v>79</v>
      </c>
      <c r="K54" s="90" t="s">
        <v>1212</v>
      </c>
      <c r="L54" s="28" t="s">
        <v>474</v>
      </c>
      <c r="M54" s="51" t="s">
        <v>0</v>
      </c>
      <c r="N54" s="51" t="s">
        <v>1233</v>
      </c>
      <c r="O54" s="30" t="s">
        <v>0</v>
      </c>
      <c r="P54" s="29">
        <v>42773</v>
      </c>
      <c r="Q54" s="194" t="s">
        <v>1295</v>
      </c>
      <c r="R54" s="30"/>
      <c r="S54" s="30" t="s">
        <v>0</v>
      </c>
      <c r="T54" s="31">
        <v>42794</v>
      </c>
      <c r="U54" s="213" t="s">
        <v>1295</v>
      </c>
      <c r="V54" s="85"/>
      <c r="W54" s="98"/>
      <c r="X54" s="31"/>
      <c r="Y54" s="98"/>
      <c r="Z54" s="85"/>
      <c r="AA54" s="86"/>
      <c r="AB54" s="31"/>
      <c r="AC54" s="86"/>
      <c r="AD54" s="86"/>
      <c r="AE54" s="86"/>
      <c r="AF54" s="31"/>
      <c r="AG54" s="86"/>
      <c r="AH54" s="86"/>
      <c r="AI54" s="126"/>
      <c r="AJ54" s="140" t="str">
        <f t="shared" si="8"/>
        <v/>
      </c>
      <c r="AK54" s="15"/>
      <c r="AL54" s="15"/>
      <c r="AM54" s="136"/>
      <c r="AN54" s="137" t="str">
        <f t="shared" si="9"/>
        <v/>
      </c>
      <c r="AO54" s="139"/>
      <c r="AP54" s="139"/>
      <c r="AQ54" s="139"/>
      <c r="AR54" s="139"/>
    </row>
    <row r="55" spans="2:44" s="13" customFormat="1" ht="150">
      <c r="B55" s="85" t="s">
        <v>535</v>
      </c>
      <c r="C55" s="25" t="s">
        <v>534</v>
      </c>
      <c r="D55" s="25" t="s">
        <v>533</v>
      </c>
      <c r="E55" s="25" t="s">
        <v>497</v>
      </c>
      <c r="F55" s="32" t="s">
        <v>1</v>
      </c>
      <c r="G55" s="10" t="s">
        <v>1257</v>
      </c>
      <c r="H55" s="10" t="s">
        <v>1256</v>
      </c>
      <c r="I55" s="27"/>
      <c r="J55" s="26" t="s">
        <v>79</v>
      </c>
      <c r="K55" s="90" t="s">
        <v>1212</v>
      </c>
      <c r="L55" s="28" t="s">
        <v>474</v>
      </c>
      <c r="M55" s="51" t="s">
        <v>0</v>
      </c>
      <c r="N55" s="51" t="s">
        <v>1233</v>
      </c>
      <c r="O55" s="30" t="s">
        <v>0</v>
      </c>
      <c r="P55" s="29">
        <v>42773</v>
      </c>
      <c r="Q55" s="194" t="s">
        <v>1295</v>
      </c>
      <c r="R55" s="30"/>
      <c r="S55" s="30" t="s">
        <v>0</v>
      </c>
      <c r="T55" s="31">
        <v>42794</v>
      </c>
      <c r="U55" s="213" t="s">
        <v>1295</v>
      </c>
      <c r="V55" s="85"/>
      <c r="W55" s="98"/>
      <c r="X55" s="31"/>
      <c r="Y55" s="98"/>
      <c r="Z55" s="85"/>
      <c r="AA55" s="86"/>
      <c r="AB55" s="31"/>
      <c r="AC55" s="86"/>
      <c r="AD55" s="86"/>
      <c r="AE55" s="86"/>
      <c r="AF55" s="31"/>
      <c r="AG55" s="86"/>
      <c r="AH55" s="86"/>
      <c r="AI55" s="126"/>
      <c r="AJ55" s="140" t="str">
        <f t="shared" si="8"/>
        <v/>
      </c>
      <c r="AK55" s="15"/>
      <c r="AL55" s="15"/>
      <c r="AM55" s="136"/>
      <c r="AN55" s="137" t="str">
        <f t="shared" si="9"/>
        <v/>
      </c>
      <c r="AO55" s="139"/>
      <c r="AP55" s="139"/>
      <c r="AQ55" s="139"/>
      <c r="AR55" s="139"/>
    </row>
    <row r="56" spans="2:44" s="13" customFormat="1" ht="195">
      <c r="B56" s="85" t="s">
        <v>532</v>
      </c>
      <c r="C56" s="25" t="s">
        <v>528</v>
      </c>
      <c r="D56" s="25" t="s">
        <v>531</v>
      </c>
      <c r="E56" s="25" t="s">
        <v>530</v>
      </c>
      <c r="F56" s="32" t="s">
        <v>1</v>
      </c>
      <c r="G56" s="10" t="s">
        <v>1257</v>
      </c>
      <c r="H56" s="10" t="s">
        <v>1256</v>
      </c>
      <c r="I56" s="27"/>
      <c r="J56" s="26" t="s">
        <v>79</v>
      </c>
      <c r="K56" s="90" t="s">
        <v>1212</v>
      </c>
      <c r="L56" s="28" t="s">
        <v>474</v>
      </c>
      <c r="M56" s="51" t="s">
        <v>0</v>
      </c>
      <c r="N56" s="51" t="s">
        <v>1233</v>
      </c>
      <c r="O56" s="30" t="s">
        <v>0</v>
      </c>
      <c r="P56" s="29">
        <v>42773</v>
      </c>
      <c r="Q56" s="194" t="s">
        <v>1295</v>
      </c>
      <c r="R56" s="30"/>
      <c r="S56" s="30" t="s">
        <v>0</v>
      </c>
      <c r="T56" s="31">
        <v>42794</v>
      </c>
      <c r="U56" s="213" t="s">
        <v>1295</v>
      </c>
      <c r="V56" s="85"/>
      <c r="W56" s="98"/>
      <c r="X56" s="31"/>
      <c r="Y56" s="98"/>
      <c r="Z56" s="85"/>
      <c r="AA56" s="86"/>
      <c r="AB56" s="31"/>
      <c r="AC56" s="86"/>
      <c r="AD56" s="86"/>
      <c r="AE56" s="86"/>
      <c r="AF56" s="31"/>
      <c r="AG56" s="86"/>
      <c r="AH56" s="86"/>
      <c r="AI56" s="126"/>
      <c r="AJ56" s="140" t="str">
        <f t="shared" si="8"/>
        <v/>
      </c>
      <c r="AK56" s="15"/>
      <c r="AL56" s="15"/>
      <c r="AM56" s="136"/>
      <c r="AN56" s="137" t="str">
        <f t="shared" si="9"/>
        <v/>
      </c>
      <c r="AO56" s="139"/>
      <c r="AP56" s="139"/>
      <c r="AQ56" s="139"/>
      <c r="AR56" s="139"/>
    </row>
    <row r="57" spans="2:44" s="13" customFormat="1" ht="195">
      <c r="B57" s="85" t="s">
        <v>529</v>
      </c>
      <c r="C57" s="25" t="s">
        <v>528</v>
      </c>
      <c r="D57" s="25" t="s">
        <v>527</v>
      </c>
      <c r="E57" s="25" t="s">
        <v>526</v>
      </c>
      <c r="F57" s="32" t="s">
        <v>1</v>
      </c>
      <c r="G57" s="10" t="s">
        <v>1257</v>
      </c>
      <c r="H57" s="10" t="s">
        <v>1256</v>
      </c>
      <c r="I57" s="27"/>
      <c r="J57" s="26" t="s">
        <v>79</v>
      </c>
      <c r="K57" s="90" t="s">
        <v>1212</v>
      </c>
      <c r="L57" s="28" t="s">
        <v>474</v>
      </c>
      <c r="M57" s="51" t="s">
        <v>0</v>
      </c>
      <c r="N57" s="51" t="s">
        <v>1233</v>
      </c>
      <c r="O57" s="30" t="s">
        <v>0</v>
      </c>
      <c r="P57" s="29">
        <v>42773</v>
      </c>
      <c r="Q57" s="194" t="s">
        <v>1295</v>
      </c>
      <c r="R57" s="30"/>
      <c r="S57" s="30" t="s">
        <v>0</v>
      </c>
      <c r="T57" s="31">
        <v>42794</v>
      </c>
      <c r="U57" s="213" t="s">
        <v>1295</v>
      </c>
      <c r="V57" s="85"/>
      <c r="W57" s="98"/>
      <c r="X57" s="31"/>
      <c r="Y57" s="98"/>
      <c r="Z57" s="85"/>
      <c r="AA57" s="86"/>
      <c r="AB57" s="31"/>
      <c r="AC57" s="86"/>
      <c r="AD57" s="86"/>
      <c r="AE57" s="86"/>
      <c r="AF57" s="31"/>
      <c r="AG57" s="86"/>
      <c r="AH57" s="86"/>
      <c r="AI57" s="126"/>
      <c r="AJ57" s="140" t="str">
        <f t="shared" si="8"/>
        <v/>
      </c>
      <c r="AK57" s="15"/>
      <c r="AL57" s="15"/>
      <c r="AM57" s="136"/>
      <c r="AN57" s="137" t="str">
        <f t="shared" si="9"/>
        <v/>
      </c>
      <c r="AO57" s="139"/>
      <c r="AP57" s="139"/>
      <c r="AQ57" s="139"/>
      <c r="AR57" s="139"/>
    </row>
    <row r="58" spans="2:44" s="13" customFormat="1" ht="165">
      <c r="B58" s="85" t="s">
        <v>525</v>
      </c>
      <c r="C58" s="25" t="s">
        <v>512</v>
      </c>
      <c r="D58" s="25" t="s">
        <v>524</v>
      </c>
      <c r="E58" s="25" t="s">
        <v>523</v>
      </c>
      <c r="F58" s="32" t="s">
        <v>1</v>
      </c>
      <c r="G58" s="10" t="s">
        <v>1257</v>
      </c>
      <c r="H58" s="10" t="s">
        <v>1256</v>
      </c>
      <c r="I58" s="27"/>
      <c r="J58" s="26" t="s">
        <v>79</v>
      </c>
      <c r="K58" s="90" t="s">
        <v>1212</v>
      </c>
      <c r="L58" s="28" t="s">
        <v>474</v>
      </c>
      <c r="M58" s="51" t="s">
        <v>0</v>
      </c>
      <c r="N58" s="51" t="s">
        <v>1233</v>
      </c>
      <c r="O58" s="30" t="s">
        <v>0</v>
      </c>
      <c r="P58" s="29">
        <v>42773</v>
      </c>
      <c r="Q58" s="194" t="s">
        <v>1295</v>
      </c>
      <c r="R58" s="30"/>
      <c r="S58" s="30" t="s">
        <v>0</v>
      </c>
      <c r="T58" s="31">
        <v>42794</v>
      </c>
      <c r="U58" s="213" t="s">
        <v>1295</v>
      </c>
      <c r="V58" s="85"/>
      <c r="W58" s="98"/>
      <c r="X58" s="31"/>
      <c r="Y58" s="98"/>
      <c r="Z58" s="85"/>
      <c r="AA58" s="86"/>
      <c r="AB58" s="31"/>
      <c r="AC58" s="86"/>
      <c r="AD58" s="86"/>
      <c r="AE58" s="86"/>
      <c r="AF58" s="31"/>
      <c r="AG58" s="86"/>
      <c r="AH58" s="86"/>
      <c r="AI58" s="126"/>
      <c r="AJ58" s="140" t="str">
        <f t="shared" si="8"/>
        <v/>
      </c>
      <c r="AK58" s="15"/>
      <c r="AL58" s="15"/>
      <c r="AM58" s="136"/>
      <c r="AN58" s="137" t="str">
        <f t="shared" si="9"/>
        <v/>
      </c>
      <c r="AO58" s="139"/>
      <c r="AP58" s="139"/>
      <c r="AQ58" s="139"/>
      <c r="AR58" s="139"/>
    </row>
    <row r="59" spans="2:44" s="13" customFormat="1" ht="195">
      <c r="B59" s="85" t="s">
        <v>522</v>
      </c>
      <c r="C59" s="25" t="s">
        <v>508</v>
      </c>
      <c r="D59" s="25" t="s">
        <v>521</v>
      </c>
      <c r="E59" s="25" t="s">
        <v>520</v>
      </c>
      <c r="F59" s="32" t="s">
        <v>1</v>
      </c>
      <c r="G59" s="10" t="s">
        <v>1257</v>
      </c>
      <c r="H59" s="10" t="s">
        <v>1256</v>
      </c>
      <c r="I59" s="27"/>
      <c r="J59" s="26" t="s">
        <v>79</v>
      </c>
      <c r="K59" s="90" t="s">
        <v>1212</v>
      </c>
      <c r="L59" s="28" t="s">
        <v>474</v>
      </c>
      <c r="M59" s="51" t="s">
        <v>0</v>
      </c>
      <c r="N59" s="51" t="s">
        <v>1233</v>
      </c>
      <c r="O59" s="30" t="s">
        <v>0</v>
      </c>
      <c r="P59" s="29">
        <v>42773</v>
      </c>
      <c r="Q59" s="194" t="s">
        <v>1295</v>
      </c>
      <c r="R59" s="30"/>
      <c r="S59" s="30" t="s">
        <v>0</v>
      </c>
      <c r="T59" s="31">
        <v>42794</v>
      </c>
      <c r="U59" s="213" t="s">
        <v>1295</v>
      </c>
      <c r="V59" s="85"/>
      <c r="W59" s="98"/>
      <c r="X59" s="31"/>
      <c r="Y59" s="98"/>
      <c r="Z59" s="85"/>
      <c r="AA59" s="86"/>
      <c r="AB59" s="31"/>
      <c r="AC59" s="86"/>
      <c r="AD59" s="86"/>
      <c r="AE59" s="86"/>
      <c r="AF59" s="31"/>
      <c r="AG59" s="86"/>
      <c r="AH59" s="86"/>
      <c r="AI59" s="126"/>
      <c r="AJ59" s="140" t="str">
        <f t="shared" si="8"/>
        <v/>
      </c>
      <c r="AK59" s="15"/>
      <c r="AL59" s="15"/>
      <c r="AM59" s="136"/>
      <c r="AN59" s="137" t="str">
        <f t="shared" si="9"/>
        <v/>
      </c>
      <c r="AO59" s="139"/>
      <c r="AP59" s="139"/>
      <c r="AQ59" s="139"/>
      <c r="AR59" s="139"/>
    </row>
    <row r="60" spans="2:44" s="13" customFormat="1" ht="105">
      <c r="B60" s="85" t="s">
        <v>519</v>
      </c>
      <c r="C60" s="25" t="s">
        <v>512</v>
      </c>
      <c r="D60" s="25" t="s">
        <v>518</v>
      </c>
      <c r="E60" s="25" t="s">
        <v>517</v>
      </c>
      <c r="F60" s="32" t="s">
        <v>1</v>
      </c>
      <c r="G60" s="10" t="s">
        <v>1257</v>
      </c>
      <c r="H60" s="10" t="s">
        <v>1256</v>
      </c>
      <c r="I60" s="27"/>
      <c r="J60" s="26" t="s">
        <v>79</v>
      </c>
      <c r="K60" s="90" t="s">
        <v>1212</v>
      </c>
      <c r="L60" s="28" t="s">
        <v>474</v>
      </c>
      <c r="M60" s="51" t="s">
        <v>0</v>
      </c>
      <c r="N60" s="51" t="s">
        <v>1233</v>
      </c>
      <c r="O60" s="30" t="s">
        <v>0</v>
      </c>
      <c r="P60" s="29">
        <v>42773</v>
      </c>
      <c r="Q60" s="194" t="s">
        <v>1295</v>
      </c>
      <c r="R60" s="30"/>
      <c r="S60" s="30" t="s">
        <v>0</v>
      </c>
      <c r="T60" s="31">
        <v>42794</v>
      </c>
      <c r="U60" s="213" t="s">
        <v>1295</v>
      </c>
      <c r="V60" s="85"/>
      <c r="W60" s="98"/>
      <c r="X60" s="31"/>
      <c r="Y60" s="98"/>
      <c r="Z60" s="85"/>
      <c r="AA60" s="86"/>
      <c r="AB60" s="31"/>
      <c r="AC60" s="86"/>
      <c r="AD60" s="86"/>
      <c r="AE60" s="86"/>
      <c r="AF60" s="31"/>
      <c r="AG60" s="86"/>
      <c r="AH60" s="86"/>
      <c r="AI60" s="126"/>
      <c r="AJ60" s="140" t="str">
        <f t="shared" si="8"/>
        <v/>
      </c>
      <c r="AK60" s="15"/>
      <c r="AL60" s="15"/>
      <c r="AM60" s="136"/>
      <c r="AN60" s="137" t="str">
        <f t="shared" si="9"/>
        <v/>
      </c>
      <c r="AO60" s="139"/>
      <c r="AP60" s="139"/>
      <c r="AQ60" s="139"/>
      <c r="AR60" s="139"/>
    </row>
    <row r="61" spans="2:44" s="13" customFormat="1" ht="120">
      <c r="B61" s="85" t="s">
        <v>516</v>
      </c>
      <c r="C61" s="25" t="s">
        <v>508</v>
      </c>
      <c r="D61" s="25" t="s">
        <v>515</v>
      </c>
      <c r="E61" s="25" t="s">
        <v>514</v>
      </c>
      <c r="F61" s="32" t="s">
        <v>1</v>
      </c>
      <c r="G61" s="10" t="s">
        <v>1257</v>
      </c>
      <c r="H61" s="10" t="s">
        <v>1256</v>
      </c>
      <c r="I61" s="27"/>
      <c r="J61" s="26" t="s">
        <v>79</v>
      </c>
      <c r="K61" s="90" t="s">
        <v>1212</v>
      </c>
      <c r="L61" s="28" t="s">
        <v>474</v>
      </c>
      <c r="M61" s="51" t="s">
        <v>0</v>
      </c>
      <c r="N61" s="51" t="s">
        <v>1233</v>
      </c>
      <c r="O61" s="30" t="s">
        <v>0</v>
      </c>
      <c r="P61" s="29">
        <v>42773</v>
      </c>
      <c r="Q61" s="194" t="s">
        <v>1295</v>
      </c>
      <c r="R61" s="30"/>
      <c r="S61" s="30" t="s">
        <v>0</v>
      </c>
      <c r="T61" s="31">
        <v>42794</v>
      </c>
      <c r="U61" s="213" t="s">
        <v>1295</v>
      </c>
      <c r="V61" s="85"/>
      <c r="W61" s="98"/>
      <c r="X61" s="31"/>
      <c r="Y61" s="98"/>
      <c r="Z61" s="85"/>
      <c r="AA61" s="86"/>
      <c r="AB61" s="31"/>
      <c r="AC61" s="86"/>
      <c r="AD61" s="86"/>
      <c r="AE61" s="86"/>
      <c r="AF61" s="31"/>
      <c r="AG61" s="86"/>
      <c r="AH61" s="86"/>
      <c r="AI61" s="126"/>
      <c r="AJ61" s="140" t="str">
        <f t="shared" si="8"/>
        <v/>
      </c>
      <c r="AK61" s="15"/>
      <c r="AL61" s="15"/>
      <c r="AM61" s="136"/>
      <c r="AN61" s="137" t="str">
        <f t="shared" si="9"/>
        <v/>
      </c>
      <c r="AO61" s="139"/>
      <c r="AP61" s="139"/>
      <c r="AQ61" s="139"/>
      <c r="AR61" s="139"/>
    </row>
    <row r="62" spans="2:44" s="13" customFormat="1" ht="165">
      <c r="B62" s="85" t="s">
        <v>513</v>
      </c>
      <c r="C62" s="25" t="s">
        <v>512</v>
      </c>
      <c r="D62" s="25" t="s">
        <v>511</v>
      </c>
      <c r="E62" s="25" t="s">
        <v>510</v>
      </c>
      <c r="F62" s="32" t="s">
        <v>1</v>
      </c>
      <c r="G62" s="10" t="s">
        <v>1257</v>
      </c>
      <c r="H62" s="10" t="s">
        <v>1256</v>
      </c>
      <c r="I62" s="27"/>
      <c r="J62" s="26" t="s">
        <v>79</v>
      </c>
      <c r="K62" s="90" t="s">
        <v>1212</v>
      </c>
      <c r="L62" s="28" t="s">
        <v>474</v>
      </c>
      <c r="M62" s="51" t="s">
        <v>0</v>
      </c>
      <c r="N62" s="51" t="s">
        <v>1233</v>
      </c>
      <c r="O62" s="30" t="s">
        <v>0</v>
      </c>
      <c r="P62" s="29">
        <v>42773</v>
      </c>
      <c r="Q62" s="194" t="s">
        <v>1295</v>
      </c>
      <c r="R62" s="30"/>
      <c r="S62" s="30" t="s">
        <v>0</v>
      </c>
      <c r="T62" s="31">
        <v>42794</v>
      </c>
      <c r="U62" s="213" t="s">
        <v>1295</v>
      </c>
      <c r="V62" s="85"/>
      <c r="W62" s="98"/>
      <c r="X62" s="31"/>
      <c r="Y62" s="98"/>
      <c r="Z62" s="85"/>
      <c r="AA62" s="86"/>
      <c r="AB62" s="31"/>
      <c r="AC62" s="86"/>
      <c r="AD62" s="86"/>
      <c r="AE62" s="86"/>
      <c r="AF62" s="31"/>
      <c r="AG62" s="86"/>
      <c r="AH62" s="86"/>
      <c r="AI62" s="126"/>
      <c r="AJ62" s="140" t="str">
        <f t="shared" si="8"/>
        <v/>
      </c>
      <c r="AK62" s="15"/>
      <c r="AL62" s="15"/>
      <c r="AM62" s="136"/>
      <c r="AN62" s="137" t="str">
        <f t="shared" si="9"/>
        <v/>
      </c>
      <c r="AO62" s="139"/>
      <c r="AP62" s="139"/>
      <c r="AQ62" s="139"/>
      <c r="AR62" s="139"/>
    </row>
    <row r="63" spans="2:44" s="13" customFormat="1" ht="195">
      <c r="B63" s="85" t="s">
        <v>509</v>
      </c>
      <c r="C63" s="25" t="s">
        <v>508</v>
      </c>
      <c r="D63" s="25" t="s">
        <v>507</v>
      </c>
      <c r="E63" s="25" t="s">
        <v>506</v>
      </c>
      <c r="F63" s="32" t="s">
        <v>1</v>
      </c>
      <c r="G63" s="10" t="s">
        <v>1257</v>
      </c>
      <c r="H63" s="10" t="s">
        <v>1256</v>
      </c>
      <c r="I63" s="27"/>
      <c r="J63" s="26" t="s">
        <v>79</v>
      </c>
      <c r="K63" s="90" t="s">
        <v>1212</v>
      </c>
      <c r="L63" s="28" t="s">
        <v>474</v>
      </c>
      <c r="M63" s="51" t="s">
        <v>0</v>
      </c>
      <c r="N63" s="51" t="s">
        <v>1233</v>
      </c>
      <c r="O63" s="30" t="s">
        <v>0</v>
      </c>
      <c r="P63" s="29">
        <v>42773</v>
      </c>
      <c r="Q63" s="194" t="s">
        <v>1295</v>
      </c>
      <c r="R63" s="30"/>
      <c r="S63" s="30" t="s">
        <v>0</v>
      </c>
      <c r="T63" s="31">
        <v>42794</v>
      </c>
      <c r="U63" s="213" t="s">
        <v>1295</v>
      </c>
      <c r="V63" s="85"/>
      <c r="W63" s="98"/>
      <c r="X63" s="31"/>
      <c r="Y63" s="98"/>
      <c r="Z63" s="85"/>
      <c r="AA63" s="86"/>
      <c r="AB63" s="31"/>
      <c r="AC63" s="86"/>
      <c r="AD63" s="86"/>
      <c r="AE63" s="86"/>
      <c r="AF63" s="31"/>
      <c r="AG63" s="86"/>
      <c r="AH63" s="86"/>
      <c r="AI63" s="126"/>
      <c r="AJ63" s="140" t="str">
        <f t="shared" si="8"/>
        <v/>
      </c>
      <c r="AK63" s="15"/>
      <c r="AL63" s="15"/>
      <c r="AM63" s="136"/>
      <c r="AN63" s="137" t="str">
        <f t="shared" si="9"/>
        <v/>
      </c>
      <c r="AO63" s="139"/>
      <c r="AP63" s="139"/>
      <c r="AQ63" s="139"/>
      <c r="AR63" s="139"/>
    </row>
    <row r="64" spans="2:44" s="13" customFormat="1" ht="150">
      <c r="B64" s="85" t="s">
        <v>505</v>
      </c>
      <c r="C64" s="25" t="s">
        <v>502</v>
      </c>
      <c r="D64" s="25" t="s">
        <v>504</v>
      </c>
      <c r="E64" s="25" t="s">
        <v>497</v>
      </c>
      <c r="F64" s="32" t="s">
        <v>1</v>
      </c>
      <c r="G64" s="10" t="s">
        <v>1257</v>
      </c>
      <c r="H64" s="10" t="s">
        <v>1256</v>
      </c>
      <c r="I64" s="27"/>
      <c r="J64" s="26" t="s">
        <v>79</v>
      </c>
      <c r="K64" s="90" t="s">
        <v>1212</v>
      </c>
      <c r="L64" s="28" t="s">
        <v>474</v>
      </c>
      <c r="M64" s="51" t="s">
        <v>0</v>
      </c>
      <c r="N64" s="51" t="s">
        <v>1233</v>
      </c>
      <c r="O64" s="30" t="s">
        <v>0</v>
      </c>
      <c r="P64" s="29">
        <v>42773</v>
      </c>
      <c r="Q64" s="194" t="s">
        <v>1295</v>
      </c>
      <c r="R64" s="30"/>
      <c r="S64" s="30" t="s">
        <v>0</v>
      </c>
      <c r="T64" s="31">
        <v>42794</v>
      </c>
      <c r="U64" s="213" t="s">
        <v>1295</v>
      </c>
      <c r="V64" s="85"/>
      <c r="W64" s="98"/>
      <c r="X64" s="31"/>
      <c r="Y64" s="98"/>
      <c r="Z64" s="85"/>
      <c r="AA64" s="86"/>
      <c r="AB64" s="31"/>
      <c r="AC64" s="86"/>
      <c r="AD64" s="86"/>
      <c r="AE64" s="86"/>
      <c r="AF64" s="31"/>
      <c r="AG64" s="86"/>
      <c r="AH64" s="86"/>
      <c r="AI64" s="126"/>
      <c r="AJ64" s="140" t="str">
        <f t="shared" si="8"/>
        <v/>
      </c>
      <c r="AK64" s="15"/>
      <c r="AL64" s="15"/>
      <c r="AM64" s="136"/>
      <c r="AN64" s="137" t="str">
        <f t="shared" si="9"/>
        <v/>
      </c>
      <c r="AO64" s="139"/>
      <c r="AP64" s="139"/>
      <c r="AQ64" s="139"/>
      <c r="AR64" s="139"/>
    </row>
    <row r="65" spans="2:44" s="13" customFormat="1" ht="150">
      <c r="B65" s="85" t="s">
        <v>503</v>
      </c>
      <c r="C65" s="25" t="s">
        <v>502</v>
      </c>
      <c r="D65" s="25" t="s">
        <v>501</v>
      </c>
      <c r="E65" s="25" t="s">
        <v>497</v>
      </c>
      <c r="F65" s="32" t="s">
        <v>1</v>
      </c>
      <c r="G65" s="10" t="s">
        <v>1257</v>
      </c>
      <c r="H65" s="10" t="s">
        <v>1256</v>
      </c>
      <c r="I65" s="27"/>
      <c r="J65" s="26" t="s">
        <v>79</v>
      </c>
      <c r="K65" s="90" t="s">
        <v>1212</v>
      </c>
      <c r="L65" s="28" t="s">
        <v>474</v>
      </c>
      <c r="M65" s="51" t="s">
        <v>0</v>
      </c>
      <c r="N65" s="51" t="s">
        <v>1233</v>
      </c>
      <c r="O65" s="30" t="s">
        <v>0</v>
      </c>
      <c r="P65" s="29">
        <v>42773</v>
      </c>
      <c r="Q65" s="194" t="s">
        <v>1295</v>
      </c>
      <c r="R65" s="30"/>
      <c r="S65" s="30" t="s">
        <v>0</v>
      </c>
      <c r="T65" s="31">
        <v>42794</v>
      </c>
      <c r="U65" s="213" t="s">
        <v>1295</v>
      </c>
      <c r="V65" s="85"/>
      <c r="W65" s="98"/>
      <c r="X65" s="31"/>
      <c r="Y65" s="98"/>
      <c r="Z65" s="85"/>
      <c r="AA65" s="86"/>
      <c r="AB65" s="31"/>
      <c r="AC65" s="86"/>
      <c r="AD65" s="86"/>
      <c r="AE65" s="86"/>
      <c r="AF65" s="31"/>
      <c r="AG65" s="86"/>
      <c r="AH65" s="86"/>
      <c r="AI65" s="126"/>
      <c r="AJ65" s="140" t="str">
        <f t="shared" si="8"/>
        <v/>
      </c>
      <c r="AK65" s="15"/>
      <c r="AL65" s="15"/>
      <c r="AM65" s="136"/>
      <c r="AN65" s="137" t="str">
        <f t="shared" si="9"/>
        <v/>
      </c>
      <c r="AO65" s="139"/>
      <c r="AP65" s="139"/>
      <c r="AQ65" s="139"/>
      <c r="AR65" s="139"/>
    </row>
    <row r="66" spans="2:44" s="13" customFormat="1" ht="150">
      <c r="B66" s="85" t="s">
        <v>500</v>
      </c>
      <c r="C66" s="25" t="s">
        <v>499</v>
      </c>
      <c r="D66" s="25" t="s">
        <v>498</v>
      </c>
      <c r="E66" s="25" t="s">
        <v>497</v>
      </c>
      <c r="F66" s="32" t="s">
        <v>1</v>
      </c>
      <c r="G66" s="10" t="s">
        <v>1257</v>
      </c>
      <c r="H66" s="10" t="s">
        <v>1256</v>
      </c>
      <c r="I66" s="27"/>
      <c r="J66" s="26" t="s">
        <v>79</v>
      </c>
      <c r="K66" s="90" t="s">
        <v>1212</v>
      </c>
      <c r="L66" s="28" t="s">
        <v>474</v>
      </c>
      <c r="M66" s="51" t="s">
        <v>0</v>
      </c>
      <c r="N66" s="51" t="s">
        <v>1233</v>
      </c>
      <c r="O66" s="30" t="s">
        <v>0</v>
      </c>
      <c r="P66" s="29">
        <v>42773</v>
      </c>
      <c r="Q66" s="194" t="s">
        <v>1295</v>
      </c>
      <c r="R66" s="30"/>
      <c r="S66" s="30" t="s">
        <v>0</v>
      </c>
      <c r="T66" s="31">
        <v>42794</v>
      </c>
      <c r="U66" s="213" t="s">
        <v>1295</v>
      </c>
      <c r="V66" s="85"/>
      <c r="W66" s="98"/>
      <c r="X66" s="31"/>
      <c r="Y66" s="98"/>
      <c r="Z66" s="85"/>
      <c r="AA66" s="86"/>
      <c r="AB66" s="31"/>
      <c r="AC66" s="86"/>
      <c r="AD66" s="86"/>
      <c r="AE66" s="86"/>
      <c r="AF66" s="31"/>
      <c r="AG66" s="86"/>
      <c r="AH66" s="86"/>
      <c r="AI66" s="126"/>
      <c r="AJ66" s="140" t="str">
        <f t="shared" si="8"/>
        <v/>
      </c>
      <c r="AK66" s="15"/>
      <c r="AL66" s="15"/>
      <c r="AM66" s="136"/>
      <c r="AN66" s="137" t="str">
        <f t="shared" si="9"/>
        <v/>
      </c>
      <c r="AO66" s="139"/>
      <c r="AP66" s="139"/>
      <c r="AQ66" s="139"/>
      <c r="AR66" s="139"/>
    </row>
    <row r="67" spans="2:44" s="13" customFormat="1" ht="75">
      <c r="B67" s="85" t="s">
        <v>496</v>
      </c>
      <c r="C67" s="25" t="s">
        <v>495</v>
      </c>
      <c r="D67" s="25" t="s">
        <v>494</v>
      </c>
      <c r="E67" s="25" t="s">
        <v>493</v>
      </c>
      <c r="F67" s="32" t="s">
        <v>1</v>
      </c>
      <c r="G67" s="10" t="s">
        <v>1257</v>
      </c>
      <c r="H67" s="10" t="s">
        <v>1256</v>
      </c>
      <c r="I67" s="27"/>
      <c r="J67" s="26" t="s">
        <v>79</v>
      </c>
      <c r="K67" s="90" t="s">
        <v>1212</v>
      </c>
      <c r="L67" s="28" t="s">
        <v>474</v>
      </c>
      <c r="M67" s="51" t="s">
        <v>0</v>
      </c>
      <c r="N67" s="51" t="s">
        <v>1233</v>
      </c>
      <c r="O67" s="30" t="s">
        <v>0</v>
      </c>
      <c r="P67" s="29">
        <v>42773</v>
      </c>
      <c r="Q67" s="194" t="s">
        <v>1295</v>
      </c>
      <c r="R67" s="30"/>
      <c r="S67" s="30" t="s">
        <v>0</v>
      </c>
      <c r="T67" s="31">
        <v>42794</v>
      </c>
      <c r="U67" s="213" t="s">
        <v>1295</v>
      </c>
      <c r="V67" s="85"/>
      <c r="W67" s="98"/>
      <c r="X67" s="31"/>
      <c r="Y67" s="98"/>
      <c r="Z67" s="85"/>
      <c r="AA67" s="86"/>
      <c r="AB67" s="31"/>
      <c r="AC67" s="86"/>
      <c r="AD67" s="86"/>
      <c r="AE67" s="86"/>
      <c r="AF67" s="31"/>
      <c r="AG67" s="86"/>
      <c r="AH67" s="86"/>
      <c r="AI67" s="126"/>
      <c r="AJ67" s="140" t="str">
        <f t="shared" si="8"/>
        <v/>
      </c>
      <c r="AK67" s="15"/>
      <c r="AL67" s="15"/>
      <c r="AM67" s="136"/>
      <c r="AN67" s="137" t="str">
        <f t="shared" si="9"/>
        <v/>
      </c>
      <c r="AO67" s="139"/>
      <c r="AP67" s="139"/>
      <c r="AQ67" s="139"/>
      <c r="AR67" s="139"/>
    </row>
    <row r="68" spans="2:44" s="13" customFormat="1" ht="60">
      <c r="B68" s="85" t="s">
        <v>492</v>
      </c>
      <c r="C68" s="25" t="s">
        <v>491</v>
      </c>
      <c r="D68" s="25" t="s">
        <v>490</v>
      </c>
      <c r="E68" s="25" t="s">
        <v>489</v>
      </c>
      <c r="F68" s="32" t="s">
        <v>1</v>
      </c>
      <c r="G68" s="10" t="s">
        <v>1257</v>
      </c>
      <c r="H68" s="10" t="s">
        <v>1256</v>
      </c>
      <c r="I68" s="27"/>
      <c r="J68" s="26" t="s">
        <v>79</v>
      </c>
      <c r="K68" s="90" t="s">
        <v>1212</v>
      </c>
      <c r="L68" s="28" t="s">
        <v>474</v>
      </c>
      <c r="M68" s="51" t="s">
        <v>0</v>
      </c>
      <c r="N68" s="51" t="s">
        <v>1233</v>
      </c>
      <c r="O68" s="30" t="s">
        <v>0</v>
      </c>
      <c r="P68" s="29">
        <v>42773</v>
      </c>
      <c r="Q68" s="194" t="s">
        <v>1295</v>
      </c>
      <c r="R68" s="30"/>
      <c r="S68" s="30" t="s">
        <v>0</v>
      </c>
      <c r="T68" s="31">
        <v>42794</v>
      </c>
      <c r="U68" s="213" t="s">
        <v>1295</v>
      </c>
      <c r="V68" s="85"/>
      <c r="W68" s="98"/>
      <c r="X68" s="31"/>
      <c r="Y68" s="98"/>
      <c r="Z68" s="85"/>
      <c r="AA68" s="86"/>
      <c r="AB68" s="31"/>
      <c r="AC68" s="86"/>
      <c r="AD68" s="86"/>
      <c r="AE68" s="86"/>
      <c r="AF68" s="31"/>
      <c r="AG68" s="86"/>
      <c r="AH68" s="86"/>
      <c r="AI68" s="126"/>
      <c r="AJ68" s="140" t="str">
        <f t="shared" si="8"/>
        <v/>
      </c>
      <c r="AK68" s="15"/>
      <c r="AL68" s="15"/>
      <c r="AM68" s="136"/>
      <c r="AN68" s="137" t="str">
        <f t="shared" si="9"/>
        <v/>
      </c>
      <c r="AO68" s="139"/>
      <c r="AP68" s="139"/>
      <c r="AQ68" s="139"/>
      <c r="AR68" s="139"/>
    </row>
    <row r="69" spans="2:44" s="13" customFormat="1" ht="150">
      <c r="B69" s="85" t="s">
        <v>488</v>
      </c>
      <c r="C69" s="25" t="s">
        <v>483</v>
      </c>
      <c r="D69" s="25" t="s">
        <v>487</v>
      </c>
      <c r="E69" s="25" t="s">
        <v>481</v>
      </c>
      <c r="F69" s="32" t="s">
        <v>1</v>
      </c>
      <c r="G69" s="10" t="s">
        <v>1257</v>
      </c>
      <c r="H69" s="10" t="s">
        <v>1256</v>
      </c>
      <c r="I69" s="27"/>
      <c r="J69" s="26" t="s">
        <v>79</v>
      </c>
      <c r="K69" s="90" t="s">
        <v>1212</v>
      </c>
      <c r="L69" s="28" t="s">
        <v>474</v>
      </c>
      <c r="M69" s="51" t="s">
        <v>0</v>
      </c>
      <c r="N69" s="51" t="s">
        <v>1233</v>
      </c>
      <c r="O69" s="30" t="s">
        <v>0</v>
      </c>
      <c r="P69" s="29">
        <v>42773</v>
      </c>
      <c r="Q69" s="194" t="s">
        <v>1295</v>
      </c>
      <c r="R69" s="30"/>
      <c r="S69" s="30" t="s">
        <v>0</v>
      </c>
      <c r="T69" s="31">
        <v>42794</v>
      </c>
      <c r="U69" s="213" t="s">
        <v>1295</v>
      </c>
      <c r="V69" s="85"/>
      <c r="W69" s="98"/>
      <c r="X69" s="31"/>
      <c r="Y69" s="98"/>
      <c r="Z69" s="85"/>
      <c r="AA69" s="86"/>
      <c r="AB69" s="31"/>
      <c r="AC69" s="86"/>
      <c r="AD69" s="86"/>
      <c r="AE69" s="86"/>
      <c r="AF69" s="31"/>
      <c r="AG69" s="86"/>
      <c r="AH69" s="86"/>
      <c r="AI69" s="126"/>
      <c r="AJ69" s="140" t="str">
        <f t="shared" si="8"/>
        <v/>
      </c>
      <c r="AK69" s="15"/>
      <c r="AL69" s="15"/>
      <c r="AM69" s="136"/>
      <c r="AN69" s="137" t="str">
        <f t="shared" si="9"/>
        <v/>
      </c>
      <c r="AO69" s="139"/>
      <c r="AP69" s="139"/>
      <c r="AQ69" s="139"/>
      <c r="AR69" s="139"/>
    </row>
    <row r="70" spans="2:44" s="13" customFormat="1" ht="60">
      <c r="B70" s="85" t="s">
        <v>486</v>
      </c>
      <c r="C70" s="25" t="s">
        <v>483</v>
      </c>
      <c r="D70" s="25" t="s">
        <v>485</v>
      </c>
      <c r="E70" s="25" t="s">
        <v>475</v>
      </c>
      <c r="F70" s="32" t="s">
        <v>1</v>
      </c>
      <c r="G70" s="10" t="s">
        <v>1257</v>
      </c>
      <c r="H70" s="10" t="s">
        <v>1256</v>
      </c>
      <c r="I70" s="27"/>
      <c r="J70" s="26" t="s">
        <v>79</v>
      </c>
      <c r="K70" s="90" t="s">
        <v>1212</v>
      </c>
      <c r="L70" s="28" t="s">
        <v>474</v>
      </c>
      <c r="M70" s="51" t="s">
        <v>0</v>
      </c>
      <c r="N70" s="51" t="s">
        <v>1233</v>
      </c>
      <c r="O70" s="30" t="s">
        <v>0</v>
      </c>
      <c r="P70" s="29">
        <v>42773</v>
      </c>
      <c r="Q70" s="194" t="s">
        <v>1295</v>
      </c>
      <c r="R70" s="30"/>
      <c r="S70" s="30" t="s">
        <v>0</v>
      </c>
      <c r="T70" s="31">
        <v>42794</v>
      </c>
      <c r="U70" s="213" t="s">
        <v>1295</v>
      </c>
      <c r="V70" s="85"/>
      <c r="W70" s="98"/>
      <c r="X70" s="31"/>
      <c r="Y70" s="98"/>
      <c r="Z70" s="85"/>
      <c r="AA70" s="86"/>
      <c r="AB70" s="31"/>
      <c r="AC70" s="86"/>
      <c r="AD70" s="86"/>
      <c r="AE70" s="86"/>
      <c r="AF70" s="31"/>
      <c r="AG70" s="86"/>
      <c r="AH70" s="86"/>
      <c r="AI70" s="126"/>
      <c r="AJ70" s="140" t="str">
        <f t="shared" si="8"/>
        <v/>
      </c>
      <c r="AK70" s="15"/>
      <c r="AL70" s="15"/>
      <c r="AM70" s="136"/>
      <c r="AN70" s="137" t="str">
        <f t="shared" si="9"/>
        <v/>
      </c>
      <c r="AO70" s="139"/>
      <c r="AP70" s="139"/>
      <c r="AQ70" s="139"/>
      <c r="AR70" s="139"/>
    </row>
    <row r="71" spans="2:44" s="13" customFormat="1" ht="150">
      <c r="B71" s="85" t="s">
        <v>484</v>
      </c>
      <c r="C71" s="25" t="s">
        <v>483</v>
      </c>
      <c r="D71" s="25" t="s">
        <v>482</v>
      </c>
      <c r="E71" s="25" t="s">
        <v>481</v>
      </c>
      <c r="F71" s="32" t="s">
        <v>1</v>
      </c>
      <c r="G71" s="10" t="s">
        <v>1257</v>
      </c>
      <c r="H71" s="10" t="s">
        <v>1256</v>
      </c>
      <c r="I71" s="27"/>
      <c r="J71" s="26" t="s">
        <v>79</v>
      </c>
      <c r="K71" s="90" t="s">
        <v>1212</v>
      </c>
      <c r="L71" s="28" t="s">
        <v>474</v>
      </c>
      <c r="M71" s="51" t="s">
        <v>0</v>
      </c>
      <c r="N71" s="51" t="s">
        <v>1233</v>
      </c>
      <c r="O71" s="30" t="s">
        <v>0</v>
      </c>
      <c r="P71" s="29">
        <v>42773</v>
      </c>
      <c r="Q71" s="194" t="s">
        <v>1295</v>
      </c>
      <c r="R71" s="30"/>
      <c r="S71" s="30" t="s">
        <v>0</v>
      </c>
      <c r="T71" s="31">
        <v>42794</v>
      </c>
      <c r="U71" s="213" t="s">
        <v>1295</v>
      </c>
      <c r="V71" s="85"/>
      <c r="W71" s="98"/>
      <c r="X71" s="31"/>
      <c r="Y71" s="98"/>
      <c r="Z71" s="85"/>
      <c r="AA71" s="86"/>
      <c r="AB71" s="31"/>
      <c r="AC71" s="86"/>
      <c r="AD71" s="86"/>
      <c r="AE71" s="86"/>
      <c r="AF71" s="31"/>
      <c r="AG71" s="86"/>
      <c r="AH71" s="86"/>
      <c r="AI71" s="126"/>
      <c r="AJ71" s="140" t="str">
        <f t="shared" si="8"/>
        <v/>
      </c>
      <c r="AK71" s="15"/>
      <c r="AL71" s="15"/>
      <c r="AM71" s="136"/>
      <c r="AN71" s="137" t="str">
        <f t="shared" si="9"/>
        <v/>
      </c>
      <c r="AO71" s="139"/>
      <c r="AP71" s="139"/>
      <c r="AQ71" s="139"/>
      <c r="AR71" s="139"/>
    </row>
    <row r="72" spans="2:44" s="13" customFormat="1" ht="60">
      <c r="B72" s="85" t="s">
        <v>480</v>
      </c>
      <c r="C72" s="25" t="s">
        <v>477</v>
      </c>
      <c r="D72" s="25" t="s">
        <v>479</v>
      </c>
      <c r="E72" s="25" t="s">
        <v>475</v>
      </c>
      <c r="F72" s="32" t="s">
        <v>1</v>
      </c>
      <c r="G72" s="10" t="s">
        <v>1257</v>
      </c>
      <c r="H72" s="10" t="s">
        <v>1256</v>
      </c>
      <c r="I72" s="27"/>
      <c r="J72" s="26" t="s">
        <v>79</v>
      </c>
      <c r="K72" s="90" t="s">
        <v>1212</v>
      </c>
      <c r="L72" s="28" t="s">
        <v>474</v>
      </c>
      <c r="M72" s="51" t="s">
        <v>0</v>
      </c>
      <c r="N72" s="51" t="s">
        <v>1233</v>
      </c>
      <c r="O72" s="30" t="s">
        <v>0</v>
      </c>
      <c r="P72" s="29">
        <v>42773</v>
      </c>
      <c r="Q72" s="194" t="s">
        <v>1295</v>
      </c>
      <c r="R72" s="30"/>
      <c r="S72" s="30" t="s">
        <v>0</v>
      </c>
      <c r="T72" s="31">
        <v>42794</v>
      </c>
      <c r="U72" s="213" t="s">
        <v>1295</v>
      </c>
      <c r="V72" s="85"/>
      <c r="W72" s="98"/>
      <c r="X72" s="31"/>
      <c r="Y72" s="98"/>
      <c r="Z72" s="85"/>
      <c r="AA72" s="86"/>
      <c r="AB72" s="31"/>
      <c r="AC72" s="86"/>
      <c r="AD72" s="86"/>
      <c r="AE72" s="86"/>
      <c r="AF72" s="31"/>
      <c r="AG72" s="86"/>
      <c r="AH72" s="86"/>
      <c r="AI72" s="126"/>
      <c r="AJ72" s="140" t="str">
        <f t="shared" si="8"/>
        <v/>
      </c>
      <c r="AK72" s="15"/>
      <c r="AL72" s="15"/>
      <c r="AM72" s="136"/>
      <c r="AN72" s="137" t="str">
        <f t="shared" si="9"/>
        <v/>
      </c>
      <c r="AO72" s="139"/>
      <c r="AP72" s="139"/>
      <c r="AQ72" s="139"/>
      <c r="AR72" s="139"/>
    </row>
    <row r="73" spans="2:44" s="13" customFormat="1" ht="60">
      <c r="B73" s="85" t="s">
        <v>478</v>
      </c>
      <c r="C73" s="25" t="s">
        <v>477</v>
      </c>
      <c r="D73" s="25" t="s">
        <v>476</v>
      </c>
      <c r="E73" s="25" t="s">
        <v>475</v>
      </c>
      <c r="F73" s="32" t="s">
        <v>1</v>
      </c>
      <c r="G73" s="10" t="s">
        <v>1257</v>
      </c>
      <c r="H73" s="10" t="s">
        <v>1256</v>
      </c>
      <c r="I73" s="27"/>
      <c r="J73" s="26" t="s">
        <v>79</v>
      </c>
      <c r="K73" s="90" t="s">
        <v>1212</v>
      </c>
      <c r="L73" s="28" t="s">
        <v>474</v>
      </c>
      <c r="M73" s="51" t="s">
        <v>0</v>
      </c>
      <c r="N73" s="51" t="s">
        <v>1233</v>
      </c>
      <c r="O73" s="30" t="s">
        <v>0</v>
      </c>
      <c r="P73" s="29">
        <v>42773</v>
      </c>
      <c r="Q73" s="194" t="s">
        <v>1295</v>
      </c>
      <c r="R73" s="30"/>
      <c r="S73" s="30" t="s">
        <v>0</v>
      </c>
      <c r="T73" s="31">
        <v>42794</v>
      </c>
      <c r="U73" s="213" t="s">
        <v>1295</v>
      </c>
      <c r="V73" s="85"/>
      <c r="W73" s="98"/>
      <c r="X73" s="31"/>
      <c r="Y73" s="98"/>
      <c r="Z73" s="85"/>
      <c r="AA73" s="86"/>
      <c r="AB73" s="31"/>
      <c r="AC73" s="86"/>
      <c r="AD73" s="86"/>
      <c r="AE73" s="86"/>
      <c r="AF73" s="31"/>
      <c r="AG73" s="86"/>
      <c r="AH73" s="86"/>
      <c r="AI73" s="126"/>
      <c r="AJ73" s="140" t="str">
        <f t="shared" si="8"/>
        <v/>
      </c>
      <c r="AK73" s="15"/>
      <c r="AL73" s="15"/>
      <c r="AM73" s="136"/>
      <c r="AN73" s="137" t="str">
        <f t="shared" si="9"/>
        <v/>
      </c>
      <c r="AO73" s="139"/>
      <c r="AP73" s="139"/>
      <c r="AQ73" s="139"/>
      <c r="AR73" s="139"/>
    </row>
    <row r="74" spans="2:44" s="13" customFormat="1" ht="210">
      <c r="B74" s="85" t="s">
        <v>473</v>
      </c>
      <c r="C74" s="85" t="s">
        <v>467</v>
      </c>
      <c r="D74" s="85" t="s">
        <v>1057</v>
      </c>
      <c r="E74" s="85" t="s">
        <v>472</v>
      </c>
      <c r="F74" s="32" t="s">
        <v>1</v>
      </c>
      <c r="G74" s="10" t="s">
        <v>1257</v>
      </c>
      <c r="H74" s="10" t="s">
        <v>1256</v>
      </c>
      <c r="I74" s="27"/>
      <c r="J74" s="26" t="s">
        <v>79</v>
      </c>
      <c r="K74" s="90" t="s">
        <v>1212</v>
      </c>
      <c r="L74" s="28" t="s">
        <v>465</v>
      </c>
      <c r="M74" s="51" t="s">
        <v>0</v>
      </c>
      <c r="N74" s="51" t="s">
        <v>1233</v>
      </c>
      <c r="O74" s="30" t="s">
        <v>0</v>
      </c>
      <c r="P74" s="29">
        <v>42773</v>
      </c>
      <c r="Q74" s="194" t="s">
        <v>1295</v>
      </c>
      <c r="R74" s="30"/>
      <c r="S74" s="30" t="s">
        <v>0</v>
      </c>
      <c r="T74" s="31">
        <v>42794</v>
      </c>
      <c r="U74" s="213" t="s">
        <v>1295</v>
      </c>
      <c r="V74" s="85"/>
      <c r="W74" s="98"/>
      <c r="X74" s="31"/>
      <c r="Y74" s="98"/>
      <c r="Z74" s="85"/>
      <c r="AA74" s="86"/>
      <c r="AB74" s="31"/>
      <c r="AC74" s="86"/>
      <c r="AD74" s="86"/>
      <c r="AE74" s="86"/>
      <c r="AF74" s="31"/>
      <c r="AG74" s="86"/>
      <c r="AH74" s="86"/>
      <c r="AI74" s="126"/>
      <c r="AJ74" s="140" t="str">
        <f t="shared" si="8"/>
        <v/>
      </c>
      <c r="AK74" s="15"/>
      <c r="AL74" s="15"/>
      <c r="AM74" s="136"/>
      <c r="AN74" s="137" t="str">
        <f t="shared" si="9"/>
        <v/>
      </c>
      <c r="AO74" s="139"/>
      <c r="AP74" s="139"/>
      <c r="AQ74" s="139"/>
      <c r="AR74" s="139"/>
    </row>
    <row r="75" spans="2:44" s="13" customFormat="1" ht="150">
      <c r="B75" s="85" t="s">
        <v>471</v>
      </c>
      <c r="C75" s="85" t="s">
        <v>467</v>
      </c>
      <c r="D75" s="85" t="s">
        <v>1058</v>
      </c>
      <c r="E75" s="85" t="s">
        <v>470</v>
      </c>
      <c r="F75" s="32" t="s">
        <v>1</v>
      </c>
      <c r="G75" s="10" t="s">
        <v>1257</v>
      </c>
      <c r="H75" s="10" t="s">
        <v>1256</v>
      </c>
      <c r="I75" s="27"/>
      <c r="J75" s="26" t="s">
        <v>79</v>
      </c>
      <c r="K75" s="90" t="s">
        <v>1212</v>
      </c>
      <c r="L75" s="28" t="s">
        <v>465</v>
      </c>
      <c r="M75" s="51" t="s">
        <v>0</v>
      </c>
      <c r="N75" s="51" t="s">
        <v>1233</v>
      </c>
      <c r="O75" s="30" t="s">
        <v>0</v>
      </c>
      <c r="P75" s="29">
        <v>42773</v>
      </c>
      <c r="Q75" s="194" t="s">
        <v>1295</v>
      </c>
      <c r="R75" s="30"/>
      <c r="S75" s="30" t="s">
        <v>0</v>
      </c>
      <c r="T75" s="31">
        <v>42794</v>
      </c>
      <c r="U75" s="213" t="s">
        <v>1295</v>
      </c>
      <c r="V75" s="85"/>
      <c r="W75" s="98"/>
      <c r="X75" s="31"/>
      <c r="Y75" s="98"/>
      <c r="Z75" s="85"/>
      <c r="AA75" s="86"/>
      <c r="AB75" s="31"/>
      <c r="AC75" s="86"/>
      <c r="AD75" s="86"/>
      <c r="AE75" s="86"/>
      <c r="AF75" s="31"/>
      <c r="AG75" s="86"/>
      <c r="AH75" s="86"/>
      <c r="AI75" s="126"/>
      <c r="AJ75" s="140" t="str">
        <f t="shared" si="8"/>
        <v/>
      </c>
      <c r="AK75" s="15"/>
      <c r="AL75" s="15"/>
      <c r="AM75" s="136"/>
      <c r="AN75" s="137" t="str">
        <f t="shared" si="9"/>
        <v/>
      </c>
      <c r="AO75" s="139"/>
      <c r="AP75" s="139"/>
      <c r="AQ75" s="139"/>
      <c r="AR75" s="139"/>
    </row>
    <row r="76" spans="2:44" s="13" customFormat="1" ht="150">
      <c r="B76" s="85" t="s">
        <v>469</v>
      </c>
      <c r="C76" s="85" t="s">
        <v>467</v>
      </c>
      <c r="D76" s="85" t="s">
        <v>1059</v>
      </c>
      <c r="E76" s="85" t="s">
        <v>466</v>
      </c>
      <c r="F76" s="32" t="s">
        <v>1</v>
      </c>
      <c r="G76" s="10" t="s">
        <v>1257</v>
      </c>
      <c r="H76" s="10" t="s">
        <v>1256</v>
      </c>
      <c r="I76" s="27"/>
      <c r="J76" s="26" t="s">
        <v>79</v>
      </c>
      <c r="K76" s="90" t="s">
        <v>1212</v>
      </c>
      <c r="L76" s="28" t="s">
        <v>465</v>
      </c>
      <c r="M76" s="51" t="s">
        <v>0</v>
      </c>
      <c r="N76" s="51" t="s">
        <v>1233</v>
      </c>
      <c r="O76" s="30" t="s">
        <v>0</v>
      </c>
      <c r="P76" s="29">
        <v>42773</v>
      </c>
      <c r="Q76" s="194" t="s">
        <v>1295</v>
      </c>
      <c r="R76" s="30"/>
      <c r="S76" s="30" t="s">
        <v>0</v>
      </c>
      <c r="T76" s="31">
        <v>42794</v>
      </c>
      <c r="U76" s="213" t="s">
        <v>1295</v>
      </c>
      <c r="V76" s="85"/>
      <c r="W76" s="98"/>
      <c r="X76" s="31"/>
      <c r="Y76" s="98"/>
      <c r="Z76" s="85"/>
      <c r="AA76" s="86"/>
      <c r="AB76" s="31"/>
      <c r="AC76" s="86"/>
      <c r="AD76" s="86"/>
      <c r="AE76" s="86"/>
      <c r="AF76" s="31"/>
      <c r="AG76" s="86"/>
      <c r="AH76" s="86"/>
      <c r="AI76" s="126"/>
      <c r="AJ76" s="140" t="str">
        <f t="shared" si="8"/>
        <v/>
      </c>
      <c r="AK76" s="15"/>
      <c r="AL76" s="15"/>
      <c r="AM76" s="136"/>
      <c r="AN76" s="137" t="str">
        <f t="shared" si="9"/>
        <v/>
      </c>
      <c r="AO76" s="139"/>
      <c r="AP76" s="139"/>
      <c r="AQ76" s="139"/>
      <c r="AR76" s="139"/>
    </row>
    <row r="77" spans="2:44" s="13" customFormat="1" ht="150">
      <c r="B77" s="85" t="s">
        <v>468</v>
      </c>
      <c r="C77" s="85" t="s">
        <v>467</v>
      </c>
      <c r="D77" s="85" t="s">
        <v>1060</v>
      </c>
      <c r="E77" s="85" t="s">
        <v>466</v>
      </c>
      <c r="F77" s="32" t="s">
        <v>1</v>
      </c>
      <c r="G77" s="10" t="s">
        <v>1257</v>
      </c>
      <c r="H77" s="10" t="s">
        <v>1256</v>
      </c>
      <c r="I77" s="27"/>
      <c r="J77" s="26" t="s">
        <v>79</v>
      </c>
      <c r="K77" s="90" t="s">
        <v>1212</v>
      </c>
      <c r="L77" s="28" t="s">
        <v>465</v>
      </c>
      <c r="M77" s="51" t="s">
        <v>0</v>
      </c>
      <c r="N77" s="51" t="s">
        <v>1233</v>
      </c>
      <c r="O77" s="30" t="s">
        <v>0</v>
      </c>
      <c r="P77" s="29">
        <v>42773</v>
      </c>
      <c r="Q77" s="194" t="s">
        <v>1295</v>
      </c>
      <c r="R77" s="30"/>
      <c r="S77" s="30" t="s">
        <v>0</v>
      </c>
      <c r="T77" s="31">
        <v>42794</v>
      </c>
      <c r="U77" s="213" t="s">
        <v>1295</v>
      </c>
      <c r="V77" s="85"/>
      <c r="W77" s="98"/>
      <c r="X77" s="31"/>
      <c r="Y77" s="98"/>
      <c r="Z77" s="85"/>
      <c r="AA77" s="86"/>
      <c r="AB77" s="31"/>
      <c r="AC77" s="86"/>
      <c r="AD77" s="86"/>
      <c r="AE77" s="86"/>
      <c r="AF77" s="31"/>
      <c r="AG77" s="86"/>
      <c r="AH77" s="86"/>
      <c r="AI77" s="126"/>
      <c r="AJ77" s="140" t="str">
        <f t="shared" si="8"/>
        <v/>
      </c>
      <c r="AK77" s="15"/>
      <c r="AL77" s="15"/>
      <c r="AM77" s="136"/>
      <c r="AN77" s="137" t="str">
        <f t="shared" si="9"/>
        <v/>
      </c>
      <c r="AO77" s="139"/>
      <c r="AP77" s="139"/>
      <c r="AQ77" s="139"/>
      <c r="AR77" s="139"/>
    </row>
  </sheetData>
  <sheetProtection selectLockedCells="1" selectUnlockedCells="1"/>
  <autoFilter ref="B14:AJ77"/>
  <mergeCells count="14">
    <mergeCell ref="G13:H13"/>
    <mergeCell ref="M13:N13"/>
    <mergeCell ref="O12:R12"/>
    <mergeCell ref="W12:Z12"/>
    <mergeCell ref="S12:V12"/>
    <mergeCell ref="AM11:AN11"/>
    <mergeCell ref="AI11:AJ11"/>
    <mergeCell ref="AA12:AD12"/>
    <mergeCell ref="AE12:AH12"/>
    <mergeCell ref="O11:R11"/>
    <mergeCell ref="S11:V11"/>
    <mergeCell ref="W11:Z11"/>
    <mergeCell ref="AA11:AD11"/>
    <mergeCell ref="AE11:AH11"/>
  </mergeCells>
  <phoneticPr fontId="169"/>
  <hyperlinks>
    <hyperlink ref="L2" location="Test_Report_Summary!A1" display="Test_Report_Summary"/>
    <hyperlink ref="L3" location="PCL_Summary!A1" display="PCL_Summary!A1"/>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1"/>
  <sheetViews>
    <sheetView topLeftCell="G1" zoomScale="70" zoomScaleNormal="70" workbookViewId="0">
      <pane ySplit="14" topLeftCell="A15" activePane="bottomLeft" state="frozen"/>
      <selection pane="bottomLeft" activeCell="Q18" sqref="Q18"/>
    </sheetView>
  </sheetViews>
  <sheetFormatPr defaultColWidth="11.5703125" defaultRowHeight="15" outlineLevelRow="1"/>
  <cols>
    <col min="1" max="1" width="1.7109375" style="13" customWidth="1"/>
    <col min="2" max="2" width="21.42578125" style="13" customWidth="1"/>
    <col min="3" max="3" width="12.7109375" style="13" customWidth="1"/>
    <col min="4" max="4" width="52" style="13" customWidth="1"/>
    <col min="5" max="5" width="33.42578125" style="13" bestFit="1" customWidth="1"/>
    <col min="6" max="8" width="12.5703125" style="16" customWidth="1"/>
    <col min="9" max="9" width="15.28515625" style="14" customWidth="1"/>
    <col min="10" max="10" width="18.85546875" style="34" bestFit="1" customWidth="1"/>
    <col min="11" max="11" width="11.28515625" style="34" bestFit="1" customWidth="1"/>
    <col min="12" max="12" width="12.5703125" style="16" bestFit="1" customWidth="1"/>
    <col min="13" max="14" width="12.5703125" style="16" customWidth="1"/>
    <col min="15" max="16" width="11.42578125" style="35" customWidth="1"/>
    <col min="17" max="17" width="20.7109375" style="35" bestFit="1" customWidth="1"/>
    <col min="18" max="34" width="11.42578125" style="35" customWidth="1"/>
    <col min="35" max="35" width="24.5703125" style="15" bestFit="1" customWidth="1"/>
    <col min="36" max="36" width="11.42578125" style="15" customWidth="1"/>
    <col min="37" max="37" width="11.5703125" style="15"/>
    <col min="38" max="38" width="3.5703125" style="15" customWidth="1"/>
    <col min="39" max="39" width="14.140625" style="139" customWidth="1"/>
    <col min="40" max="40" width="18.5703125" style="139" customWidth="1"/>
    <col min="41" max="41" width="11" style="139" bestFit="1" customWidth="1"/>
    <col min="42" max="42" width="12.140625" style="139" bestFit="1" customWidth="1"/>
    <col min="43" max="43" width="11.5703125" style="139"/>
    <col min="44" max="44" width="10.5703125" style="139" bestFit="1" customWidth="1"/>
    <col min="45" max="16384" width="11.5703125" style="15"/>
  </cols>
  <sheetData>
    <row r="1" spans="1:44" s="128" customFormat="1" ht="15.75" outlineLevel="1" thickBot="1">
      <c r="A1" s="133" t="s">
        <v>440</v>
      </c>
      <c r="B1" s="133"/>
      <c r="C1" s="127">
        <f>COUNTA($D$15:$D$1000)-COUNTIF($K$15:$K$1000,"-")</f>
        <v>21</v>
      </c>
      <c r="D1" s="149" t="s">
        <v>1222</v>
      </c>
      <c r="E1" s="150">
        <f>COUNTIF($L$15:$L$1000,D1)</f>
        <v>0</v>
      </c>
      <c r="F1" s="127"/>
      <c r="G1" s="127"/>
      <c r="H1" s="127"/>
      <c r="I1" s="127"/>
      <c r="J1" s="127"/>
      <c r="K1" s="129"/>
      <c r="L1" s="127"/>
      <c r="M1" s="127"/>
      <c r="N1" s="127"/>
      <c r="O1" s="151" t="s">
        <v>1215</v>
      </c>
      <c r="P1" s="151">
        <f>COUNTIFS(Q15:Q1000,"*RVC*")</f>
        <v>0</v>
      </c>
      <c r="Q1" s="151" t="s">
        <v>895</v>
      </c>
      <c r="R1" s="151">
        <f>COUNTIFS(Q15:Q1000,"*GCS*")</f>
        <v>21</v>
      </c>
      <c r="S1" s="151" t="s">
        <v>1215</v>
      </c>
      <c r="T1" s="151">
        <f>COUNTIFS(U15:U1000,"*RVC*")</f>
        <v>0</v>
      </c>
      <c r="U1" s="151" t="s">
        <v>895</v>
      </c>
      <c r="V1" s="151">
        <f>COUNTIFS(U15:U1000,"*GCS*")</f>
        <v>21</v>
      </c>
      <c r="W1" s="151" t="s">
        <v>1215</v>
      </c>
      <c r="X1" s="151">
        <f>COUNTIFS(Y15:Y1000,"*RVC*")</f>
        <v>0</v>
      </c>
      <c r="Y1" s="151" t="s">
        <v>895</v>
      </c>
      <c r="Z1" s="151">
        <f>COUNTIFS(Y15:Y1000,"*GCS*")</f>
        <v>0</v>
      </c>
      <c r="AA1" s="151" t="s">
        <v>1215</v>
      </c>
      <c r="AB1" s="151">
        <f>COUNTIFS(AC15:AC1000,"*RVC*")</f>
        <v>0</v>
      </c>
      <c r="AC1" s="151" t="s">
        <v>895</v>
      </c>
      <c r="AD1" s="151">
        <f>COUNTIFS(AC15:AC1000,"*GCS*")</f>
        <v>0</v>
      </c>
      <c r="AE1" s="151" t="s">
        <v>1215</v>
      </c>
      <c r="AF1" s="151">
        <f>COUNTIFS(AG15:AG1000,"*RVC*")</f>
        <v>0</v>
      </c>
      <c r="AG1" s="151" t="s">
        <v>895</v>
      </c>
      <c r="AH1" s="151">
        <f>COUNTIFS(AG15:AG1000,"*GCS*")</f>
        <v>0</v>
      </c>
      <c r="AI1" s="127"/>
      <c r="AJ1" s="152"/>
    </row>
    <row r="2" spans="1:44" s="146" customFormat="1" ht="16.5" customHeight="1" outlineLevel="1">
      <c r="A2" s="153"/>
      <c r="B2" s="153" t="s">
        <v>425</v>
      </c>
      <c r="C2" s="145">
        <f>SUM(COUNTIF($L$15:$L$1000,{"*Ju*","*RCP*"}))</f>
        <v>21</v>
      </c>
      <c r="D2" s="99" t="s">
        <v>1223</v>
      </c>
      <c r="E2" s="100">
        <f>COUNTIF($L$15:$L$1000,D2)</f>
        <v>0</v>
      </c>
      <c r="F2" s="145"/>
      <c r="G2" s="145"/>
      <c r="H2" s="145"/>
      <c r="I2" s="145"/>
      <c r="J2" s="145"/>
      <c r="L2" s="154"/>
      <c r="M2" s="145"/>
      <c r="N2" s="145"/>
      <c r="O2" s="155"/>
      <c r="P2" s="156" t="s">
        <v>439</v>
      </c>
      <c r="Q2" s="156" t="s">
        <v>425</v>
      </c>
      <c r="R2" s="157" t="s">
        <v>438</v>
      </c>
      <c r="S2" s="155"/>
      <c r="T2" s="156" t="s">
        <v>439</v>
      </c>
      <c r="U2" s="156" t="s">
        <v>425</v>
      </c>
      <c r="V2" s="157" t="s">
        <v>438</v>
      </c>
      <c r="W2" s="155"/>
      <c r="X2" s="156" t="s">
        <v>439</v>
      </c>
      <c r="Y2" s="156" t="s">
        <v>425</v>
      </c>
      <c r="Z2" s="157" t="s">
        <v>438</v>
      </c>
      <c r="AA2" s="155"/>
      <c r="AB2" s="156" t="s">
        <v>439</v>
      </c>
      <c r="AC2" s="156" t="s">
        <v>425</v>
      </c>
      <c r="AD2" s="157" t="s">
        <v>438</v>
      </c>
      <c r="AE2" s="155"/>
      <c r="AF2" s="156" t="s">
        <v>439</v>
      </c>
      <c r="AG2" s="156" t="s">
        <v>425</v>
      </c>
      <c r="AH2" s="157" t="s">
        <v>438</v>
      </c>
      <c r="AI2" s="118" t="s">
        <v>1240</v>
      </c>
      <c r="AJ2" s="119" t="s">
        <v>423</v>
      </c>
      <c r="AK2" s="118" t="s">
        <v>1241</v>
      </c>
      <c r="AM2" s="158" t="s">
        <v>1264</v>
      </c>
      <c r="AN2" s="159">
        <f>Summary!P2</f>
        <v>1</v>
      </c>
      <c r="AO2" s="118" t="s">
        <v>1265</v>
      </c>
      <c r="AP2" s="118" t="s">
        <v>1266</v>
      </c>
      <c r="AQ2" s="118" t="s">
        <v>1267</v>
      </c>
      <c r="AR2" s="118" t="s">
        <v>1258</v>
      </c>
    </row>
    <row r="3" spans="1:44" s="146" customFormat="1" ht="16.5" customHeight="1" outlineLevel="1">
      <c r="A3" s="153"/>
      <c r="B3" s="153" t="s">
        <v>438</v>
      </c>
      <c r="C3" s="145">
        <f>C1-C2</f>
        <v>0</v>
      </c>
      <c r="D3" s="160"/>
      <c r="E3" s="148"/>
      <c r="F3" s="161"/>
      <c r="G3" s="161"/>
      <c r="H3" s="142" t="s">
        <v>1258</v>
      </c>
      <c r="I3" s="143" t="s">
        <v>1259</v>
      </c>
      <c r="J3" s="144" t="s">
        <v>1240</v>
      </c>
      <c r="L3" s="162"/>
      <c r="M3" s="163" t="s">
        <v>1215</v>
      </c>
      <c r="N3" s="163">
        <f>COUNTIFS($N$15:$N$1000,"*RVC*")</f>
        <v>0</v>
      </c>
      <c r="O3" s="164" t="s">
        <v>437</v>
      </c>
      <c r="P3" s="165">
        <f>SUM(Q3:R3)</f>
        <v>21</v>
      </c>
      <c r="Q3" s="166">
        <f>SUM(Q4:Q5)</f>
        <v>21</v>
      </c>
      <c r="R3" s="167">
        <f>SUM(R4:R5)</f>
        <v>0</v>
      </c>
      <c r="S3" s="164" t="s">
        <v>437</v>
      </c>
      <c r="T3" s="165">
        <f>SUM(U3:V3)</f>
        <v>21</v>
      </c>
      <c r="U3" s="166">
        <f>SUM(U4:U5)</f>
        <v>21</v>
      </c>
      <c r="V3" s="167">
        <f>SUM(V4:V5)</f>
        <v>0</v>
      </c>
      <c r="W3" s="164" t="s">
        <v>437</v>
      </c>
      <c r="X3" s="165">
        <f>SUM(Y3:Z3)</f>
        <v>0</v>
      </c>
      <c r="Y3" s="166">
        <f>SUM(Y4:Y5)</f>
        <v>0</v>
      </c>
      <c r="Z3" s="167">
        <f>SUM(Z4:Z5)</f>
        <v>0</v>
      </c>
      <c r="AA3" s="164" t="s">
        <v>437</v>
      </c>
      <c r="AB3" s="165">
        <f>SUM(AC3:AD3)</f>
        <v>0</v>
      </c>
      <c r="AC3" s="166">
        <f>SUM(AC4:AC5)</f>
        <v>0</v>
      </c>
      <c r="AD3" s="167">
        <f>SUM(AD4:AD5)</f>
        <v>0</v>
      </c>
      <c r="AE3" s="164" t="s">
        <v>437</v>
      </c>
      <c r="AF3" s="165">
        <f>SUM(AG3:AH3)</f>
        <v>0</v>
      </c>
      <c r="AG3" s="166">
        <f>SUM(AG4:AG5)</f>
        <v>0</v>
      </c>
      <c r="AH3" s="168">
        <f>SUM(AH4:AH5)</f>
        <v>0</v>
      </c>
      <c r="AI3" s="120">
        <f ca="1">SUMIFS($AI$15:$AI$1500,$L$15:$L$1500,"*Manual*", INDIRECT(VLOOKUP($AN$2,$AM$3:$AN$7,2,FALSE)),"*"&amp;AJ3&amp;"*")</f>
        <v>0</v>
      </c>
      <c r="AJ3" s="120" t="s">
        <v>1242</v>
      </c>
      <c r="AK3" s="121">
        <f ca="1">COUNTIFS($L$15:$L$1500, "*Manual*", INDIRECT(VLOOKUP($AN$2,$AM$3:$AN$7,2,FALSE)),  "*"&amp;AJ3&amp;"*")</f>
        <v>0</v>
      </c>
      <c r="AM3" s="141">
        <v>1</v>
      </c>
      <c r="AN3" s="141" t="s">
        <v>1268</v>
      </c>
      <c r="AO3" s="141">
        <f ca="1">SUMIFS($AI$15:$AI$1500,$L$15:$L$1500,"*Manual*", INDIRECT(AN3),"&lt;&gt;"&amp;"")</f>
        <v>0</v>
      </c>
      <c r="AP3" s="141">
        <f ca="1">COUNTIFS($L$15:$L$1500,"*Manual*",INDIRECT(AN3),"&lt;&gt;"&amp;"")</f>
        <v>0</v>
      </c>
      <c r="AQ3" s="141">
        <f ca="1">IFERROR(AO3/AP3,0)</f>
        <v>0</v>
      </c>
      <c r="AR3" s="141" t="str">
        <f ca="1">IF(AQ3&gt;0,IF(AQ3&gt;=14,"D",IF(AQ3&gt;=8,"N","E")),"NOT-YET")</f>
        <v>NOT-YET</v>
      </c>
    </row>
    <row r="4" spans="1:44" s="146" customFormat="1" ht="16.5" customHeight="1" outlineLevel="1">
      <c r="C4" s="145"/>
      <c r="D4" s="160"/>
      <c r="E4" s="148"/>
      <c r="H4" s="145" t="s">
        <v>1260</v>
      </c>
      <c r="I4" s="146">
        <f ca="1">COUNTIFS($L$15:$L$1500,"*Manual*",INDIRECT(VLOOKUP($AN$2,$AM$3:$AN$7,2,FALSE)),  "&lt;&gt;"&amp;"", $AI$15:$AI$1500,"*"&amp;H4&amp;"*")</f>
        <v>0</v>
      </c>
      <c r="J4" s="147">
        <f ca="1">SUMIFS($AI$15:$AI$1500,$L$15:$L$1500,"*Manual*", INDIRECT(VLOOKUP($AN$2,$AM$3:$AN$7,2,FALSE)),"&lt;&gt;"&amp;"",$AJ$15:$AJ$1500,"*"&amp;H4&amp;"*")</f>
        <v>0</v>
      </c>
      <c r="M4" s="163" t="s">
        <v>895</v>
      </c>
      <c r="N4" s="163">
        <f>COUNTIFS($N$15:$N$1000,"*GCS*")</f>
        <v>21</v>
      </c>
      <c r="O4" s="169" t="s">
        <v>0</v>
      </c>
      <c r="P4" s="170">
        <f>COUNTIF(O$15:O$1000,O4)</f>
        <v>21</v>
      </c>
      <c r="Q4" s="166">
        <f>SUM(COUNTIFS(Q$15:Q$2500,{"*Ju*","*RCP*"},O$15:O$2500,O4))</f>
        <v>21</v>
      </c>
      <c r="R4" s="171">
        <f>P4-Q4</f>
        <v>0</v>
      </c>
      <c r="S4" s="169" t="s">
        <v>0</v>
      </c>
      <c r="T4" s="170">
        <f>COUNTIF(S$15:S$1000,S4)</f>
        <v>21</v>
      </c>
      <c r="U4" s="166">
        <f>SUM(COUNTIFS(U$15:U$2500,{"*Ju*","*RCP*"},S$15:S$2500,S4))</f>
        <v>21</v>
      </c>
      <c r="V4" s="171">
        <f>T4-U4</f>
        <v>0</v>
      </c>
      <c r="W4" s="169" t="s">
        <v>0</v>
      </c>
      <c r="X4" s="170">
        <f>COUNTIF(W$15:W$1000,W4)</f>
        <v>0</v>
      </c>
      <c r="Y4" s="166">
        <f>SUM(COUNTIFS(Y$15:Y$2500,{"*Ju*","*RCP*"},W$15:W$2500,W4))</f>
        <v>0</v>
      </c>
      <c r="Z4" s="171">
        <f>X4-Y4</f>
        <v>0</v>
      </c>
      <c r="AA4" s="169" t="s">
        <v>0</v>
      </c>
      <c r="AB4" s="170">
        <f>COUNTIF(AA$15:AA$1000,AA4)</f>
        <v>0</v>
      </c>
      <c r="AC4" s="166">
        <f>SUM(COUNTIFS(AC$15:AC$2500,{"*Ju*","*RCP*"},AA$15:AA$2500,AA4))</f>
        <v>0</v>
      </c>
      <c r="AD4" s="171">
        <f>AB4-AC4</f>
        <v>0</v>
      </c>
      <c r="AE4" s="169" t="s">
        <v>0</v>
      </c>
      <c r="AF4" s="170">
        <f>COUNTIF(AE$15:AE$1000,AE4)</f>
        <v>0</v>
      </c>
      <c r="AG4" s="166">
        <f>SUM(COUNTIFS(AG$15:AG$2500,{"*Ju*","*RCP*"},AE$15:AE$2500,AE4))</f>
        <v>0</v>
      </c>
      <c r="AH4" s="172">
        <f>AF4-AG4</f>
        <v>0</v>
      </c>
      <c r="AI4" s="120">
        <f t="shared" ref="AI4:AI8" ca="1" si="0">SUMIFS($AI$15:$AI$1500,$L$15:$L$1500,"*Manual*", INDIRECT(VLOOKUP($AN$2,$AM$3:$AN$7,2,FALSE)),"*"&amp;AJ4&amp;"*")</f>
        <v>0</v>
      </c>
      <c r="AJ4" s="120" t="s">
        <v>1243</v>
      </c>
      <c r="AK4" s="121">
        <f t="shared" ref="AK4:AK9" ca="1" si="1">COUNTIFS($L$15:$L$1500, "*Manual*", INDIRECT(VLOOKUP($AN$2,$AM$3:$AN$7,2,FALSE)),  "*"&amp;AJ4&amp;"*")</f>
        <v>0</v>
      </c>
      <c r="AM4" s="141">
        <v>2</v>
      </c>
      <c r="AN4" s="141" t="s">
        <v>1269</v>
      </c>
      <c r="AO4" s="141">
        <f t="shared" ref="AO4:AO7" ca="1" si="2">SUMIFS($AI$15:$AI$1500,$L$15:$L$1500,"*Manual*", INDIRECT(AN4),"&lt;&gt;"&amp;"")</f>
        <v>0</v>
      </c>
      <c r="AP4" s="141">
        <f t="shared" ref="AP4:AP7" ca="1" si="3">COUNTIFS($L$15:$L$1500,"*Manual*",INDIRECT(AN4),"&lt;&gt;"&amp;"")</f>
        <v>0</v>
      </c>
      <c r="AQ4" s="141">
        <f t="shared" ref="AQ4:AQ7" ca="1" si="4">IFERROR(AO4/AP4,0)</f>
        <v>0</v>
      </c>
      <c r="AR4" s="141" t="str">
        <f t="shared" ref="AR4:AR7" ca="1" si="5">IF(AQ4&gt;0,IF(AQ4&gt;=14,"D",IF(AQ4&gt;=8,"N","E")),"NOT-YET")</f>
        <v>NOT-YET</v>
      </c>
    </row>
    <row r="5" spans="1:44" s="146" customFormat="1" ht="16.5" customHeight="1" outlineLevel="1">
      <c r="C5" s="145"/>
      <c r="D5" s="160"/>
      <c r="E5" s="148"/>
      <c r="H5" s="145" t="s">
        <v>1261</v>
      </c>
      <c r="I5" s="146">
        <f t="shared" ref="I5:I6" ca="1" si="6">COUNTIFS($L$15:$L$1500,"*Manual*",INDIRECT(VLOOKUP($AN$2,$AM$3:$AN$7,2,FALSE)),  "&lt;&gt;"&amp;"", $AI$15:$AI$1500,"*"&amp;H5&amp;"*")</f>
        <v>0</v>
      </c>
      <c r="J5" s="147">
        <f t="shared" ref="J5:J6" ca="1" si="7">SUMIFS($AI$15:$AI$1500,$L$15:$L$1500,"*Manual*", INDIRECT(VLOOKUP($AN$2,$AM$3:$AN$7,2,FALSE)),"&lt;&gt;"&amp;"",$AJ$15:$AJ$1500,"*"&amp;H5&amp;"*")</f>
        <v>0</v>
      </c>
      <c r="K5" s="148"/>
      <c r="M5" s="101" t="s">
        <v>0</v>
      </c>
      <c r="N5" s="101">
        <f>COUNTIFS($M$15:$M$1000,"*Pass*")</f>
        <v>25</v>
      </c>
      <c r="O5" s="173" t="s">
        <v>436</v>
      </c>
      <c r="P5" s="174">
        <f>SUM(P6:P9)</f>
        <v>0</v>
      </c>
      <c r="Q5" s="166">
        <f>SUM(Q6:Q9)</f>
        <v>0</v>
      </c>
      <c r="R5" s="171">
        <f>SUM(R6:R9)</f>
        <v>0</v>
      </c>
      <c r="S5" s="173" t="s">
        <v>436</v>
      </c>
      <c r="T5" s="174">
        <f>SUM(T6:T9)</f>
        <v>0</v>
      </c>
      <c r="U5" s="166">
        <f>SUM(U6:U9)</f>
        <v>0</v>
      </c>
      <c r="V5" s="171">
        <f>SUM(V6:V9)</f>
        <v>0</v>
      </c>
      <c r="W5" s="173" t="s">
        <v>436</v>
      </c>
      <c r="X5" s="174">
        <f>SUM(X6:X9)</f>
        <v>0</v>
      </c>
      <c r="Y5" s="166">
        <f>SUM(Y6:Y9)</f>
        <v>0</v>
      </c>
      <c r="Z5" s="171">
        <f>SUM(Z6:Z9)</f>
        <v>0</v>
      </c>
      <c r="AA5" s="173" t="s">
        <v>436</v>
      </c>
      <c r="AB5" s="174">
        <f>SUM(AB6:AB9)</f>
        <v>0</v>
      </c>
      <c r="AC5" s="166">
        <f>SUM(AC6:AC9)</f>
        <v>0</v>
      </c>
      <c r="AD5" s="171">
        <f>SUM(AD6:AD9)</f>
        <v>0</v>
      </c>
      <c r="AE5" s="173" t="s">
        <v>436</v>
      </c>
      <c r="AF5" s="174">
        <f>SUM(AF6:AF9)</f>
        <v>0</v>
      </c>
      <c r="AG5" s="166">
        <f>SUM(AG6:AG9)</f>
        <v>0</v>
      </c>
      <c r="AH5" s="172">
        <f>SUM(AH6:AH9)</f>
        <v>0</v>
      </c>
      <c r="AI5" s="120">
        <f t="shared" ca="1" si="0"/>
        <v>0</v>
      </c>
      <c r="AJ5" s="120" t="s">
        <v>1244</v>
      </c>
      <c r="AK5" s="121">
        <f t="shared" ca="1" si="1"/>
        <v>0</v>
      </c>
      <c r="AM5" s="141">
        <v>3</v>
      </c>
      <c r="AN5" s="141" t="s">
        <v>1270</v>
      </c>
      <c r="AO5" s="141">
        <f t="shared" ca="1" si="2"/>
        <v>0</v>
      </c>
      <c r="AP5" s="141">
        <f t="shared" ca="1" si="3"/>
        <v>0</v>
      </c>
      <c r="AQ5" s="141">
        <f t="shared" ca="1" si="4"/>
        <v>0</v>
      </c>
      <c r="AR5" s="141" t="str">
        <f t="shared" ca="1" si="5"/>
        <v>NOT-YET</v>
      </c>
    </row>
    <row r="6" spans="1:44" s="146" customFormat="1" ht="16.5" customHeight="1" outlineLevel="1">
      <c r="A6" s="175" t="s">
        <v>1224</v>
      </c>
      <c r="C6" s="145">
        <f>COUNTIF($K$15:$K$1000,"5.3")</f>
        <v>0</v>
      </c>
      <c r="D6" s="145"/>
      <c r="E6" s="160"/>
      <c r="H6" s="145" t="s">
        <v>1262</v>
      </c>
      <c r="I6" s="146">
        <f t="shared" ca="1" si="6"/>
        <v>0</v>
      </c>
      <c r="J6" s="147">
        <f t="shared" ca="1" si="7"/>
        <v>0</v>
      </c>
      <c r="K6" s="148"/>
      <c r="M6" s="101" t="s">
        <v>436</v>
      </c>
      <c r="N6" s="101">
        <f>COUNTIFS($M$15:$M$1000,"*Fail*")</f>
        <v>0</v>
      </c>
      <c r="O6" s="173" t="s">
        <v>435</v>
      </c>
      <c r="P6" s="174">
        <f>COUNTIF(O$15:O$1000,"*"&amp;O6&amp;"*")</f>
        <v>0</v>
      </c>
      <c r="Q6" s="166">
        <f>SUM(COUNTIFS(Q$15:Q$2500,{"*Ju*","*RCP*"},O$15:O$2500,O6))</f>
        <v>0</v>
      </c>
      <c r="R6" s="171">
        <f>P6-Q6</f>
        <v>0</v>
      </c>
      <c r="S6" s="173" t="s">
        <v>435</v>
      </c>
      <c r="T6" s="174">
        <f>COUNTIF(S$15:S$1000,"*"&amp;S6&amp;"*")</f>
        <v>0</v>
      </c>
      <c r="U6" s="166">
        <f>SUM(COUNTIFS(U$15:U$2500,{"*Ju*","*RCP*"},S$15:S$2500,S6))</f>
        <v>0</v>
      </c>
      <c r="V6" s="171">
        <f>T6-U6</f>
        <v>0</v>
      </c>
      <c r="W6" s="173" t="s">
        <v>435</v>
      </c>
      <c r="X6" s="174">
        <f>COUNTIF(W$15:W$1000,"*"&amp;W6&amp;"*")</f>
        <v>0</v>
      </c>
      <c r="Y6" s="166">
        <f>SUM(COUNTIFS(Y$15:Y$2500,{"*Ju*","*RCP*"},W$15:W$2500,W6))</f>
        <v>0</v>
      </c>
      <c r="Z6" s="171">
        <f>X6-Y6</f>
        <v>0</v>
      </c>
      <c r="AA6" s="173" t="s">
        <v>435</v>
      </c>
      <c r="AB6" s="174">
        <f>COUNTIF(AA$15:AA$1000,"*"&amp;AA6&amp;"*")</f>
        <v>0</v>
      </c>
      <c r="AC6" s="166">
        <f>SUM(COUNTIFS(AC$15:AC$2500,{"*Ju*","*RCP*"},AA$15:AA$2500,AA6))</f>
        <v>0</v>
      </c>
      <c r="AD6" s="171">
        <f>AB6-AC6</f>
        <v>0</v>
      </c>
      <c r="AE6" s="173" t="s">
        <v>435</v>
      </c>
      <c r="AF6" s="174">
        <f>COUNTIF(AE$15:AE$1000,"*"&amp;AE6&amp;"*")</f>
        <v>0</v>
      </c>
      <c r="AG6" s="166">
        <f>SUM(COUNTIFS(AG$15:AG$2500,{"*Ju*","*RCP*"},AE$15:AE$2500,AE6))</f>
        <v>0</v>
      </c>
      <c r="AH6" s="172">
        <f>AF6-AG6</f>
        <v>0</v>
      </c>
      <c r="AI6" s="120">
        <f t="shared" ca="1" si="0"/>
        <v>0</v>
      </c>
      <c r="AJ6" s="120" t="s">
        <v>1245</v>
      </c>
      <c r="AK6" s="121">
        <f t="shared" ca="1" si="1"/>
        <v>0</v>
      </c>
      <c r="AM6" s="141">
        <v>4</v>
      </c>
      <c r="AN6" s="141" t="s">
        <v>1271</v>
      </c>
      <c r="AO6" s="141">
        <f t="shared" ca="1" si="2"/>
        <v>0</v>
      </c>
      <c r="AP6" s="141">
        <f t="shared" ca="1" si="3"/>
        <v>0</v>
      </c>
      <c r="AQ6" s="141">
        <f ca="1">IFERROR(AO6/AP6,0)</f>
        <v>0</v>
      </c>
      <c r="AR6" s="141" t="str">
        <f t="shared" ca="1" si="5"/>
        <v>NOT-YET</v>
      </c>
    </row>
    <row r="7" spans="1:44" s="146" customFormat="1" ht="16.5" customHeight="1" outlineLevel="1">
      <c r="C7" s="145"/>
      <c r="D7" s="145"/>
      <c r="E7" s="160"/>
      <c r="H7" s="145"/>
      <c r="I7" s="148"/>
      <c r="K7" s="148"/>
      <c r="M7" s="101" t="s">
        <v>1225</v>
      </c>
      <c r="N7" s="101">
        <f>COUNTIFS($M$15:$M$1000,"*Skip*")</f>
        <v>0</v>
      </c>
      <c r="O7" s="173" t="s">
        <v>283</v>
      </c>
      <c r="P7" s="174">
        <f>COUNTIF(O$15:O$1000,"*"&amp;O7&amp;"*")</f>
        <v>0</v>
      </c>
      <c r="Q7" s="166">
        <f>SUM(COUNTIFS(Q$15:Q$2500,{"*Ju*","*RCP*"},O$15:O$2500,O7))</f>
        <v>0</v>
      </c>
      <c r="R7" s="171">
        <f>P7-Q7</f>
        <v>0</v>
      </c>
      <c r="S7" s="173" t="s">
        <v>283</v>
      </c>
      <c r="T7" s="174">
        <f>COUNTIF(S$15:S$1000,"*"&amp;S7&amp;"*")</f>
        <v>0</v>
      </c>
      <c r="U7" s="166">
        <f>SUM(COUNTIFS(U$15:U$2500,{"*Ju*","*RCP*"},S$15:S$2500,S7))</f>
        <v>0</v>
      </c>
      <c r="V7" s="171">
        <f>T7-U7</f>
        <v>0</v>
      </c>
      <c r="W7" s="173" t="s">
        <v>283</v>
      </c>
      <c r="X7" s="174">
        <f>COUNTIF(W$15:W$1000,"*"&amp;W7&amp;"*")</f>
        <v>0</v>
      </c>
      <c r="Y7" s="166">
        <f>SUM(COUNTIFS(Y$15:Y$2500,{"*Ju*","*RCP*"},W$15:W$2500,W7))</f>
        <v>0</v>
      </c>
      <c r="Z7" s="171">
        <f>X7-Y7</f>
        <v>0</v>
      </c>
      <c r="AA7" s="173" t="s">
        <v>283</v>
      </c>
      <c r="AB7" s="174">
        <f>COUNTIF(AA$15:AA$1000,"*"&amp;AA7&amp;"*")</f>
        <v>0</v>
      </c>
      <c r="AC7" s="166">
        <f>SUM(COUNTIFS(AC$15:AC$2500,{"*Ju*","*RCP*"},AA$15:AA$2500,AA7))</f>
        <v>0</v>
      </c>
      <c r="AD7" s="171">
        <f>AB7-AC7</f>
        <v>0</v>
      </c>
      <c r="AE7" s="173" t="s">
        <v>283</v>
      </c>
      <c r="AF7" s="174">
        <f>COUNTIF(AE$15:AE$1000,"*"&amp;AE7&amp;"*")</f>
        <v>0</v>
      </c>
      <c r="AG7" s="166">
        <f>SUM(COUNTIFS(AG$15:AG$2500,{"*Ju*","*RCP*"},AE$15:AE$2500,AE7))</f>
        <v>0</v>
      </c>
      <c r="AH7" s="172">
        <f>AF7-AG7</f>
        <v>0</v>
      </c>
      <c r="AI7" s="120">
        <f t="shared" ca="1" si="0"/>
        <v>0</v>
      </c>
      <c r="AJ7" s="120" t="s">
        <v>1246</v>
      </c>
      <c r="AK7" s="121">
        <f t="shared" ca="1" si="1"/>
        <v>0</v>
      </c>
      <c r="AM7" s="141">
        <v>5</v>
      </c>
      <c r="AN7" s="141" t="s">
        <v>1272</v>
      </c>
      <c r="AO7" s="141">
        <f t="shared" ca="1" si="2"/>
        <v>0</v>
      </c>
      <c r="AP7" s="141">
        <f t="shared" ca="1" si="3"/>
        <v>0</v>
      </c>
      <c r="AQ7" s="141">
        <f t="shared" ca="1" si="4"/>
        <v>0</v>
      </c>
      <c r="AR7" s="141" t="str">
        <f t="shared" ca="1" si="5"/>
        <v>NOT-YET</v>
      </c>
    </row>
    <row r="8" spans="1:44" s="146" customFormat="1" ht="16.5" customHeight="1" outlineLevel="1">
      <c r="C8" s="145"/>
      <c r="D8" s="145"/>
      <c r="E8" s="160"/>
      <c r="H8" s="122" t="s">
        <v>1263</v>
      </c>
      <c r="I8" s="146">
        <f ca="1">COUNTIFS($L$15:$L$1500,"*Manual*",INDIRECT(VLOOKUP($AN$2,$AM$3:$AN$7,2,FALSE)),  "&lt;&gt;"&amp;"", $AI$15:$AI$1500,"&gt;=60")</f>
        <v>0</v>
      </c>
      <c r="J8" s="147">
        <f ca="1">SUMIFS($AI$15:$AI$1500,$L$15:$L$1500,"*Manual*", INDIRECT(VLOOKUP($AN$2,$AM$3:$AN$7,2,FALSE)),"&lt;&gt;"&amp;"",$AI$15:$AI$1500,"&gt;=60")</f>
        <v>0</v>
      </c>
      <c r="K8" s="148"/>
      <c r="O8" s="173" t="s">
        <v>434</v>
      </c>
      <c r="P8" s="174">
        <f>COUNTIF(O$15:O$1000,"*"&amp;O8&amp;"*")</f>
        <v>0</v>
      </c>
      <c r="Q8" s="166">
        <f>SUM(COUNTIFS(Q$15:Q$2500,{"*Ju*","*RCP*"},O$15:O$2500,O8))</f>
        <v>0</v>
      </c>
      <c r="R8" s="171">
        <f>P8-Q8</f>
        <v>0</v>
      </c>
      <c r="S8" s="173" t="s">
        <v>434</v>
      </c>
      <c r="T8" s="174">
        <f>COUNTIF(S$15:S$1000,"*"&amp;S8&amp;"*")</f>
        <v>0</v>
      </c>
      <c r="U8" s="166">
        <f>SUM(COUNTIFS(U$15:U$2500,{"*Ju*","*RCP*"},S$15:S$2500,S8))</f>
        <v>0</v>
      </c>
      <c r="V8" s="171">
        <f>T8-U8</f>
        <v>0</v>
      </c>
      <c r="W8" s="173" t="s">
        <v>434</v>
      </c>
      <c r="X8" s="174">
        <f>COUNTIF(W$15:W$1000,"*"&amp;W8&amp;"*")</f>
        <v>0</v>
      </c>
      <c r="Y8" s="166">
        <f>SUM(COUNTIFS(Y$15:Y$2500,{"*Ju*","*RCP*"},W$15:W$2500,W8))</f>
        <v>0</v>
      </c>
      <c r="Z8" s="171">
        <f>X8-Y8</f>
        <v>0</v>
      </c>
      <c r="AA8" s="173" t="s">
        <v>434</v>
      </c>
      <c r="AB8" s="174">
        <f>COUNTIF(AA$15:AA$1000,"*"&amp;AA8&amp;"*")</f>
        <v>0</v>
      </c>
      <c r="AC8" s="166">
        <f>SUM(COUNTIFS(AC$15:AC$2500,{"*Ju*","*RCP*"},AA$15:AA$2500,AA8))</f>
        <v>0</v>
      </c>
      <c r="AD8" s="171">
        <f>AB8-AC8</f>
        <v>0</v>
      </c>
      <c r="AE8" s="173" t="s">
        <v>434</v>
      </c>
      <c r="AF8" s="174">
        <f>COUNTIF(AE$15:AE$1000,"*"&amp;AE8&amp;"*")</f>
        <v>0</v>
      </c>
      <c r="AG8" s="166">
        <f>SUM(COUNTIFS(AG$15:AG$2500,{"*Ju*","*RCP*"},AE$15:AE$2500,AE8))</f>
        <v>0</v>
      </c>
      <c r="AH8" s="172">
        <f>AF8-AG8</f>
        <v>0</v>
      </c>
      <c r="AI8" s="120">
        <f t="shared" ca="1" si="0"/>
        <v>0</v>
      </c>
      <c r="AJ8" s="120" t="s">
        <v>1276</v>
      </c>
      <c r="AK8" s="121">
        <f t="shared" ca="1" si="1"/>
        <v>0</v>
      </c>
      <c r="AO8" s="176"/>
    </row>
    <row r="9" spans="1:44" s="146" customFormat="1" ht="16.5" customHeight="1" outlineLevel="1">
      <c r="C9" s="145"/>
      <c r="D9" s="145"/>
      <c r="E9" s="160"/>
      <c r="I9" s="161"/>
      <c r="J9" s="145"/>
      <c r="K9" s="148"/>
      <c r="O9" s="173" t="s">
        <v>18</v>
      </c>
      <c r="P9" s="174">
        <f>COUNTIF(O$15:O$1000,"*"&amp;O9&amp;"*")</f>
        <v>0</v>
      </c>
      <c r="Q9" s="166">
        <f>SUM(COUNTIFS(Q$15:Q$2500,{"*Ju*","*RCP*"},O$15:O$2500,O9))</f>
        <v>0</v>
      </c>
      <c r="R9" s="171">
        <f>P9-Q9</f>
        <v>0</v>
      </c>
      <c r="S9" s="173" t="s">
        <v>18</v>
      </c>
      <c r="T9" s="174">
        <f>COUNTIF(S$15:S$1000,"*"&amp;S9&amp;"*")</f>
        <v>0</v>
      </c>
      <c r="U9" s="166">
        <f>SUM(COUNTIFS(U$15:U$2500,{"*Ju*","*RCP*"},S$15:S$2500,S9))</f>
        <v>0</v>
      </c>
      <c r="V9" s="171">
        <f>T9-U9</f>
        <v>0</v>
      </c>
      <c r="W9" s="173" t="s">
        <v>18</v>
      </c>
      <c r="X9" s="174">
        <f>COUNTIF(W$15:W$1000,"*"&amp;W9&amp;"*")</f>
        <v>0</v>
      </c>
      <c r="Y9" s="166">
        <f>SUM(COUNTIFS(Y$15:Y$2500,{"*Ju*","*RCP*"},W$15:W$2500,W9))</f>
        <v>0</v>
      </c>
      <c r="Z9" s="171">
        <f>X9-Y9</f>
        <v>0</v>
      </c>
      <c r="AA9" s="173" t="s">
        <v>18</v>
      </c>
      <c r="AB9" s="174">
        <f>COUNTIF(AA$15:AA$1000,"*"&amp;AA9&amp;"*")</f>
        <v>0</v>
      </c>
      <c r="AC9" s="166">
        <f>SUM(COUNTIFS(AC$15:AC$2500,{"*Ju*","*RCP*"},AA$15:AA$2500,AA9))</f>
        <v>0</v>
      </c>
      <c r="AD9" s="171">
        <f>AB9-AC9</f>
        <v>0</v>
      </c>
      <c r="AE9" s="173" t="s">
        <v>18</v>
      </c>
      <c r="AF9" s="174">
        <f>COUNTIF(AE$15:AE$1000,"*"&amp;AE9&amp;"*")</f>
        <v>0</v>
      </c>
      <c r="AG9" s="166">
        <f>SUM(COUNTIFS(AG$15:AG$2500,{"*Ju*","*RCP*"},AE$15:AE$2500,AE9))</f>
        <v>0</v>
      </c>
      <c r="AH9" s="172">
        <f>AF9-AG9</f>
        <v>0</v>
      </c>
      <c r="AI9" s="120">
        <f ca="1">SUMIFS($AI$15:$AI$1500,$L$15:$L$1500,"*Manual*", INDIRECT(VLOOKUP($AN$2,$AM$3:$AN$7,2,FALSE)),"*"&amp;AJ9&amp;"*")</f>
        <v>0</v>
      </c>
      <c r="AJ9" s="120" t="s">
        <v>1277</v>
      </c>
      <c r="AK9" s="121">
        <f t="shared" ca="1" si="1"/>
        <v>0</v>
      </c>
      <c r="AM9" s="177"/>
      <c r="AN9" s="177"/>
    </row>
    <row r="10" spans="1:44" s="146" customFormat="1" ht="16.5" customHeight="1" outlineLevel="1" thickBot="1">
      <c r="C10" s="145"/>
      <c r="D10" s="145"/>
      <c r="E10" s="160"/>
      <c r="I10" s="161"/>
      <c r="J10" s="145"/>
      <c r="K10" s="148"/>
      <c r="O10" s="178" t="s">
        <v>1278</v>
      </c>
      <c r="P10" s="179">
        <f>COUNTIF(O$15:O$1000,"*"&amp;O10&amp;"*")</f>
        <v>0</v>
      </c>
      <c r="Q10" s="166">
        <f>SUM(COUNTIFS(Q$15:Q$2500,{"*Ju*","*RCP*"},O$15:O$2500,O10))</f>
        <v>0</v>
      </c>
      <c r="R10" s="180">
        <f>P10-Q10</f>
        <v>0</v>
      </c>
      <c r="S10" s="178" t="s">
        <v>1278</v>
      </c>
      <c r="T10" s="179">
        <f>COUNTIF(S$15:S$1000,"*"&amp;S10&amp;"*")</f>
        <v>0</v>
      </c>
      <c r="U10" s="166">
        <f>SUM(COUNTIFS(U$15:U$2500,{"*Ju*","*RCP*"},S$15:S$2500,S10))</f>
        <v>0</v>
      </c>
      <c r="V10" s="180">
        <f>T10-U10</f>
        <v>0</v>
      </c>
      <c r="W10" s="178" t="s">
        <v>1278</v>
      </c>
      <c r="X10" s="179">
        <f>COUNTIF(W$15:W$1000,"*"&amp;W10&amp;"*")</f>
        <v>0</v>
      </c>
      <c r="Y10" s="166">
        <f>SUM(COUNTIFS(Y$15:Y$2500,{"*Ju*","*RCP*"},W$15:W$2500,W10))</f>
        <v>0</v>
      </c>
      <c r="Z10" s="180">
        <f>X10-Y10</f>
        <v>0</v>
      </c>
      <c r="AA10" s="178" t="s">
        <v>1278</v>
      </c>
      <c r="AB10" s="179">
        <f>COUNTIF(AA$15:AA$1000,"*"&amp;AA10&amp;"*")</f>
        <v>0</v>
      </c>
      <c r="AC10" s="166">
        <f>SUM(COUNTIFS(AC$15:AC$2500,{"*Ju*","*RCP*"},AA$15:AA$2500,AA10))</f>
        <v>0</v>
      </c>
      <c r="AD10" s="180">
        <f>AB10-AC10</f>
        <v>0</v>
      </c>
      <c r="AE10" s="178" t="s">
        <v>1278</v>
      </c>
      <c r="AF10" s="179">
        <f>COUNTIF(AE$15:AE$1000,"*"&amp;AE10&amp;"*")</f>
        <v>0</v>
      </c>
      <c r="AG10" s="166">
        <f>SUM(COUNTIFS(AG$15:AG$2500,{"*Ju*","*RCP*"},AE$15:AE$2500,AE10))</f>
        <v>0</v>
      </c>
      <c r="AH10" s="181">
        <f>AF10-AG10</f>
        <v>0</v>
      </c>
      <c r="AI10" s="182">
        <f ca="1">SUM(AI3:AI9)</f>
        <v>0</v>
      </c>
      <c r="AJ10" s="191">
        <f ca="1" xml:space="preserve"> IFERROR($AG$10/$AI$10,0)</f>
        <v>0</v>
      </c>
      <c r="AK10" s="183">
        <f ca="1">SUM(AK3:AK9)</f>
        <v>0</v>
      </c>
      <c r="AM10" s="147"/>
      <c r="AN10" s="147"/>
    </row>
    <row r="11" spans="1:44" s="128" customFormat="1" outlineLevel="1">
      <c r="A11" s="133"/>
      <c r="B11" s="133"/>
      <c r="C11" s="127"/>
      <c r="D11" s="127"/>
      <c r="E11" s="184"/>
      <c r="F11" s="185"/>
      <c r="G11" s="185"/>
      <c r="H11" s="185"/>
      <c r="I11" s="185"/>
      <c r="J11" s="127"/>
      <c r="K11" s="129"/>
      <c r="L11" s="185"/>
      <c r="M11" s="185"/>
      <c r="N11" s="185"/>
      <c r="O11" s="226">
        <v>1</v>
      </c>
      <c r="P11" s="226"/>
      <c r="Q11" s="226"/>
      <c r="R11" s="226"/>
      <c r="S11" s="226">
        <v>2</v>
      </c>
      <c r="T11" s="226"/>
      <c r="U11" s="226"/>
      <c r="V11" s="226"/>
      <c r="W11" s="226">
        <v>3</v>
      </c>
      <c r="X11" s="226"/>
      <c r="Y11" s="226"/>
      <c r="Z11" s="226"/>
      <c r="AA11" s="226">
        <v>4</v>
      </c>
      <c r="AB11" s="226"/>
      <c r="AC11" s="226"/>
      <c r="AD11" s="226"/>
      <c r="AE11" s="226">
        <v>5</v>
      </c>
      <c r="AF11" s="226"/>
      <c r="AG11" s="226"/>
      <c r="AH11" s="226"/>
      <c r="AI11" s="227" t="s">
        <v>1275</v>
      </c>
      <c r="AJ11" s="228"/>
      <c r="AM11" s="223" t="s">
        <v>1273</v>
      </c>
      <c r="AN11" s="224"/>
    </row>
    <row r="12" spans="1:44" s="128" customFormat="1" outlineLevel="1">
      <c r="C12" s="127"/>
      <c r="D12" s="127"/>
      <c r="E12" s="127"/>
      <c r="I12" s="185"/>
      <c r="O12" s="225" t="str">
        <f>Summary!R4</f>
        <v>e2studio_v5.4.0.001-Part1</v>
      </c>
      <c r="P12" s="225"/>
      <c r="Q12" s="225"/>
      <c r="R12" s="225"/>
      <c r="S12" s="225" t="str">
        <f>Summary!AM4</f>
        <v>e2studio_v5.4.0.005</v>
      </c>
      <c r="T12" s="225"/>
      <c r="U12" s="225"/>
      <c r="V12" s="225"/>
      <c r="W12" s="225" t="str">
        <f>Summary!BH4</f>
        <v>TBD</v>
      </c>
      <c r="X12" s="225"/>
      <c r="Y12" s="225"/>
      <c r="Z12" s="225"/>
      <c r="AA12" s="225" t="str">
        <f>Summary!CC4</f>
        <v>TBD</v>
      </c>
      <c r="AB12" s="225"/>
      <c r="AC12" s="225"/>
      <c r="AD12" s="225"/>
      <c r="AE12" s="225" t="str">
        <f>Summary!CX4</f>
        <v>TBD</v>
      </c>
      <c r="AF12" s="225"/>
      <c r="AG12" s="225"/>
      <c r="AH12" s="225"/>
      <c r="AI12" s="130">
        <f>SUM(AI15:AI1500)</f>
        <v>0</v>
      </c>
      <c r="AJ12" s="130" t="str">
        <f ca="1">IF($AJ$10&gt;0,IF($AJ$10&gt;=14,"D",IF($AJ$10&gt;=8,"N","E")),"NOT-YET")</f>
        <v>NOT-YET</v>
      </c>
      <c r="AK12" s="12"/>
      <c r="AL12" s="12"/>
      <c r="AM12" s="130">
        <f>SUM($AM$15:$AM$1500)</f>
        <v>0</v>
      </c>
      <c r="AN12" s="130" t="str">
        <f>IF(AM12&gt;0,IF($AN$14&gt;=14,"D",IF($AN$14&gt;=8,"N","E")),"NOT-YET")</f>
        <v>NOT-YET</v>
      </c>
    </row>
    <row r="13" spans="1:44" s="12" customFormat="1" ht="51" customHeight="1">
      <c r="A13" s="13"/>
      <c r="B13" s="17" t="s">
        <v>431</v>
      </c>
      <c r="C13" s="18" t="s">
        <v>430</v>
      </c>
      <c r="D13" s="17" t="s">
        <v>429</v>
      </c>
      <c r="E13" s="18" t="s">
        <v>428</v>
      </c>
      <c r="F13" s="188" t="s">
        <v>1209</v>
      </c>
      <c r="G13" s="219" t="s">
        <v>1283</v>
      </c>
      <c r="H13" s="220"/>
      <c r="I13" s="18" t="s">
        <v>426</v>
      </c>
      <c r="J13" s="19" t="s">
        <v>427</v>
      </c>
      <c r="K13" s="19" t="s">
        <v>1210</v>
      </c>
      <c r="L13" s="20" t="s">
        <v>425</v>
      </c>
      <c r="M13" s="221" t="s">
        <v>1281</v>
      </c>
      <c r="N13" s="221"/>
      <c r="O13" s="18" t="s">
        <v>424</v>
      </c>
      <c r="P13" s="21" t="s">
        <v>73</v>
      </c>
      <c r="Q13" s="18" t="s">
        <v>423</v>
      </c>
      <c r="R13" s="18" t="s">
        <v>422</v>
      </c>
      <c r="S13" s="18" t="s">
        <v>424</v>
      </c>
      <c r="T13" s="21" t="s">
        <v>73</v>
      </c>
      <c r="U13" s="18" t="s">
        <v>423</v>
      </c>
      <c r="V13" s="18" t="s">
        <v>422</v>
      </c>
      <c r="W13" s="18" t="s">
        <v>424</v>
      </c>
      <c r="X13" s="21" t="s">
        <v>73</v>
      </c>
      <c r="Y13" s="18" t="s">
        <v>423</v>
      </c>
      <c r="Z13" s="18" t="s">
        <v>422</v>
      </c>
      <c r="AA13" s="18" t="s">
        <v>424</v>
      </c>
      <c r="AB13" s="21" t="s">
        <v>73</v>
      </c>
      <c r="AC13" s="18" t="s">
        <v>423</v>
      </c>
      <c r="AD13" s="18" t="s">
        <v>422</v>
      </c>
      <c r="AE13" s="18" t="s">
        <v>424</v>
      </c>
      <c r="AF13" s="21" t="s">
        <v>73</v>
      </c>
      <c r="AG13" s="18" t="s">
        <v>423</v>
      </c>
      <c r="AH13" s="18" t="s">
        <v>422</v>
      </c>
      <c r="AI13" s="18" t="s">
        <v>1237</v>
      </c>
      <c r="AJ13" s="18" t="s">
        <v>432</v>
      </c>
      <c r="AM13" s="131" t="s">
        <v>1237</v>
      </c>
      <c r="AN13" s="132" t="s">
        <v>432</v>
      </c>
      <c r="AO13" s="133"/>
      <c r="AP13" s="133"/>
      <c r="AQ13" s="133"/>
      <c r="AR13" s="133"/>
    </row>
    <row r="14" spans="1:44" s="12" customFormat="1" ht="30">
      <c r="A14" s="13"/>
      <c r="B14" s="17"/>
      <c r="C14" s="18"/>
      <c r="D14" s="17"/>
      <c r="E14" s="18"/>
      <c r="F14" s="188"/>
      <c r="G14" s="124" t="s">
        <v>1284</v>
      </c>
      <c r="H14" s="125" t="s">
        <v>1282</v>
      </c>
      <c r="I14" s="18"/>
      <c r="J14" s="19"/>
      <c r="K14" s="19"/>
      <c r="L14" s="20"/>
      <c r="M14" s="188" t="s">
        <v>424</v>
      </c>
      <c r="N14" s="188" t="s">
        <v>1213</v>
      </c>
      <c r="O14" s="18"/>
      <c r="P14" s="21"/>
      <c r="Q14" s="18"/>
      <c r="R14" s="18"/>
      <c r="S14" s="18"/>
      <c r="T14" s="21"/>
      <c r="U14" s="18"/>
      <c r="V14" s="18"/>
      <c r="W14" s="18"/>
      <c r="X14" s="21"/>
      <c r="Y14" s="18"/>
      <c r="Z14" s="18"/>
      <c r="AA14" s="18"/>
      <c r="AB14" s="21"/>
      <c r="AC14" s="18"/>
      <c r="AD14" s="18"/>
      <c r="AE14" s="18"/>
      <c r="AF14" s="21"/>
      <c r="AG14" s="18"/>
      <c r="AH14" s="18"/>
      <c r="AI14" s="18"/>
      <c r="AJ14" s="18"/>
      <c r="AM14" s="134" t="s">
        <v>1274</v>
      </c>
      <c r="AN14" s="135">
        <f>IFERROR($AM$12/COUNTIF($AM$15:$AM$1500, "&gt;0"),0)</f>
        <v>0</v>
      </c>
      <c r="AO14" s="133"/>
      <c r="AP14" s="133"/>
      <c r="AQ14" s="133"/>
      <c r="AR14" s="133"/>
    </row>
    <row r="15" spans="1:44" s="13" customFormat="1">
      <c r="B15" s="22" t="s">
        <v>654</v>
      </c>
      <c r="C15" s="23"/>
      <c r="D15" s="23"/>
      <c r="E15" s="23"/>
      <c r="F15" s="24"/>
      <c r="G15" s="24"/>
      <c r="H15" s="24"/>
      <c r="I15" s="23"/>
      <c r="J15" s="23"/>
      <c r="K15" s="23"/>
      <c r="L15" s="24" t="s">
        <v>103</v>
      </c>
      <c r="M15" s="23"/>
      <c r="N15" s="106"/>
      <c r="O15" s="102"/>
      <c r="P15" s="102"/>
      <c r="Q15" s="102"/>
      <c r="R15" s="102"/>
      <c r="S15" s="102"/>
      <c r="T15" s="102"/>
      <c r="U15" s="102"/>
      <c r="V15" s="102"/>
      <c r="W15" s="102"/>
      <c r="X15" s="102"/>
      <c r="Y15" s="102"/>
      <c r="Z15" s="102"/>
      <c r="AA15" s="102"/>
      <c r="AB15" s="102"/>
      <c r="AC15" s="102"/>
      <c r="AD15" s="102"/>
      <c r="AE15" s="102"/>
      <c r="AF15" s="102"/>
      <c r="AG15" s="102"/>
      <c r="AH15" s="102"/>
      <c r="AI15" s="186"/>
      <c r="AJ15" s="140"/>
      <c r="AK15" s="187"/>
      <c r="AL15" s="187"/>
      <c r="AM15" s="136"/>
      <c r="AN15" s="137" t="str">
        <f>IF(AM15&gt;0, IF(AM15&gt;=14,"D",IF(AM15&gt;=8,"N","E")),"")</f>
        <v/>
      </c>
      <c r="AO15" s="138"/>
      <c r="AP15" s="138"/>
      <c r="AQ15" s="138"/>
      <c r="AR15" s="138"/>
    </row>
    <row r="16" spans="1:44" s="13" customFormat="1">
      <c r="B16" s="22" t="s">
        <v>653</v>
      </c>
      <c r="C16" s="23"/>
      <c r="D16" s="23"/>
      <c r="E16" s="23"/>
      <c r="F16" s="24"/>
      <c r="G16" s="24"/>
      <c r="H16" s="24"/>
      <c r="I16" s="23"/>
      <c r="J16" s="23"/>
      <c r="K16" s="23"/>
      <c r="L16" s="24" t="s">
        <v>103</v>
      </c>
      <c r="M16" s="23"/>
      <c r="N16" s="106"/>
      <c r="O16" s="102"/>
      <c r="P16" s="102"/>
      <c r="Q16" s="102"/>
      <c r="R16" s="102"/>
      <c r="S16" s="102"/>
      <c r="T16" s="102"/>
      <c r="U16" s="102"/>
      <c r="V16" s="102"/>
      <c r="W16" s="102"/>
      <c r="X16" s="102"/>
      <c r="Y16" s="102"/>
      <c r="Z16" s="102"/>
      <c r="AA16" s="102"/>
      <c r="AB16" s="102"/>
      <c r="AC16" s="102"/>
      <c r="AD16" s="102"/>
      <c r="AE16" s="102"/>
      <c r="AF16" s="102"/>
      <c r="AG16" s="102"/>
      <c r="AH16" s="102"/>
      <c r="AI16" s="126"/>
      <c r="AJ16" s="140" t="str">
        <f>IF(AI16&gt;0, IF(AI16&gt;=14,"D",IF(AI16&gt;=8,"N","E")),"")</f>
        <v/>
      </c>
      <c r="AK16" s="15"/>
      <c r="AL16" s="15"/>
      <c r="AM16" s="136"/>
      <c r="AN16" s="137" t="str">
        <f>IF(AM16&gt;0, IF(AM16&gt;=14,"D",IF(AM16&gt;=8,"N","E")),"")</f>
        <v/>
      </c>
      <c r="AO16" s="138"/>
      <c r="AP16" s="138"/>
      <c r="AQ16" s="138"/>
      <c r="AR16" s="138"/>
    </row>
    <row r="17" spans="2:44" s="13" customFormat="1" ht="195">
      <c r="B17" s="42" t="s">
        <v>652</v>
      </c>
      <c r="C17" s="25" t="s">
        <v>650</v>
      </c>
      <c r="D17" s="84" t="s">
        <v>1151</v>
      </c>
      <c r="E17" s="62" t="s">
        <v>615</v>
      </c>
      <c r="F17" s="28" t="s">
        <v>1</v>
      </c>
      <c r="G17" s="10" t="s">
        <v>1257</v>
      </c>
      <c r="H17" s="10" t="s">
        <v>1256</v>
      </c>
      <c r="I17" s="27"/>
      <c r="J17" s="51" t="s">
        <v>614</v>
      </c>
      <c r="K17" s="90" t="s">
        <v>1212</v>
      </c>
      <c r="L17" s="28" t="s">
        <v>613</v>
      </c>
      <c r="M17" s="51" t="s">
        <v>0</v>
      </c>
      <c r="N17" s="51" t="s">
        <v>1234</v>
      </c>
      <c r="O17" s="85" t="s">
        <v>0</v>
      </c>
      <c r="P17" s="31">
        <v>42776</v>
      </c>
      <c r="Q17" s="51" t="s">
        <v>1296</v>
      </c>
      <c r="R17" s="85"/>
      <c r="S17" s="213" t="s">
        <v>0</v>
      </c>
      <c r="T17" s="31">
        <v>42794</v>
      </c>
      <c r="U17" s="51" t="s">
        <v>1296</v>
      </c>
      <c r="V17" s="85"/>
      <c r="W17" s="85"/>
      <c r="X17" s="31"/>
      <c r="Y17" s="85"/>
      <c r="Z17" s="85"/>
      <c r="AA17" s="86"/>
      <c r="AB17" s="31"/>
      <c r="AC17" s="86"/>
      <c r="AD17" s="86"/>
      <c r="AE17" s="86"/>
      <c r="AF17" s="31"/>
      <c r="AG17" s="86"/>
      <c r="AH17" s="86"/>
      <c r="AI17" s="126"/>
      <c r="AJ17" s="140" t="str">
        <f t="shared" ref="AJ17" si="8">IF(AI17&gt;0, IF(AI17&gt;=14,"D",IF(AI17&gt;=8,"N","E")),"")</f>
        <v/>
      </c>
      <c r="AK17" s="15"/>
      <c r="AL17" s="15"/>
      <c r="AM17" s="136"/>
      <c r="AN17" s="137" t="str">
        <f t="shared" ref="AN17" si="9">IF(AM17&gt;0, IF(AM17&gt;=14,"D",IF(AM17&gt;=8,"N","E")),"")</f>
        <v/>
      </c>
      <c r="AO17" s="138"/>
      <c r="AP17" s="138"/>
      <c r="AQ17" s="138"/>
      <c r="AR17" s="138"/>
    </row>
    <row r="18" spans="2:44" s="13" customFormat="1" ht="195">
      <c r="B18" s="42" t="s">
        <v>651</v>
      </c>
      <c r="C18" s="25" t="s">
        <v>650</v>
      </c>
      <c r="D18" s="84" t="s">
        <v>1152</v>
      </c>
      <c r="E18" s="62" t="s">
        <v>615</v>
      </c>
      <c r="F18" s="28" t="s">
        <v>1</v>
      </c>
      <c r="G18" s="10" t="s">
        <v>1257</v>
      </c>
      <c r="H18" s="10" t="s">
        <v>1256</v>
      </c>
      <c r="I18" s="27"/>
      <c r="J18" s="51" t="s">
        <v>614</v>
      </c>
      <c r="K18" s="90" t="s">
        <v>1212</v>
      </c>
      <c r="L18" s="28" t="s">
        <v>613</v>
      </c>
      <c r="M18" s="51" t="s">
        <v>0</v>
      </c>
      <c r="N18" s="51" t="s">
        <v>1234</v>
      </c>
      <c r="O18" s="195" t="s">
        <v>0</v>
      </c>
      <c r="P18" s="31">
        <v>42776</v>
      </c>
      <c r="Q18" s="51" t="s">
        <v>1296</v>
      </c>
      <c r="R18" s="85"/>
      <c r="S18" s="213" t="s">
        <v>0</v>
      </c>
      <c r="T18" s="31">
        <v>42794</v>
      </c>
      <c r="U18" s="51" t="s">
        <v>1296</v>
      </c>
      <c r="V18" s="85"/>
      <c r="W18" s="96"/>
      <c r="X18" s="31"/>
      <c r="Y18" s="96"/>
      <c r="Z18" s="85"/>
      <c r="AA18" s="86"/>
      <c r="AB18" s="31"/>
      <c r="AC18" s="86"/>
      <c r="AD18" s="86"/>
      <c r="AE18" s="86"/>
      <c r="AF18" s="31"/>
      <c r="AG18" s="86"/>
      <c r="AH18" s="86"/>
      <c r="AI18" s="28"/>
      <c r="AJ18" s="28"/>
      <c r="AM18" s="136"/>
      <c r="AN18" s="137" t="str">
        <f t="shared" ref="AN18:AN41" si="10">IF(AM18&gt;0, IF(AM18&gt;=14,"D",IF(AM18&gt;=8,"N","E")),"")</f>
        <v/>
      </c>
      <c r="AO18" s="138"/>
      <c r="AP18" s="138"/>
      <c r="AQ18" s="138"/>
      <c r="AR18" s="138"/>
    </row>
    <row r="19" spans="2:44" s="13" customFormat="1" ht="195">
      <c r="B19" s="42" t="s">
        <v>649</v>
      </c>
      <c r="C19" s="25" t="s">
        <v>647</v>
      </c>
      <c r="D19" s="84" t="s">
        <v>1153</v>
      </c>
      <c r="E19" s="62" t="s">
        <v>615</v>
      </c>
      <c r="F19" s="28" t="s">
        <v>1</v>
      </c>
      <c r="G19" s="10" t="s">
        <v>1257</v>
      </c>
      <c r="H19" s="10" t="s">
        <v>1256</v>
      </c>
      <c r="I19" s="27"/>
      <c r="J19" s="51" t="s">
        <v>614</v>
      </c>
      <c r="K19" s="90" t="s">
        <v>1212</v>
      </c>
      <c r="L19" s="28" t="s">
        <v>613</v>
      </c>
      <c r="M19" s="51" t="s">
        <v>0</v>
      </c>
      <c r="N19" s="51" t="s">
        <v>1234</v>
      </c>
      <c r="O19" s="195" t="s">
        <v>0</v>
      </c>
      <c r="P19" s="31">
        <v>42776</v>
      </c>
      <c r="Q19" s="51" t="s">
        <v>1296</v>
      </c>
      <c r="R19" s="85"/>
      <c r="S19" s="213" t="s">
        <v>0</v>
      </c>
      <c r="T19" s="31">
        <v>42794</v>
      </c>
      <c r="U19" s="51" t="s">
        <v>1296</v>
      </c>
      <c r="V19" s="85"/>
      <c r="W19" s="96"/>
      <c r="X19" s="31"/>
      <c r="Y19" s="96"/>
      <c r="Z19" s="85"/>
      <c r="AA19" s="86"/>
      <c r="AB19" s="31"/>
      <c r="AC19" s="86"/>
      <c r="AD19" s="86"/>
      <c r="AE19" s="86"/>
      <c r="AF19" s="31"/>
      <c r="AG19" s="86"/>
      <c r="AH19" s="86"/>
      <c r="AI19" s="28"/>
      <c r="AJ19" s="28"/>
      <c r="AM19" s="136"/>
      <c r="AN19" s="137" t="str">
        <f t="shared" si="10"/>
        <v/>
      </c>
      <c r="AO19" s="138"/>
      <c r="AP19" s="138"/>
      <c r="AQ19" s="138"/>
      <c r="AR19" s="138"/>
    </row>
    <row r="20" spans="2:44" s="13" customFormat="1" ht="195">
      <c r="B20" s="42" t="s">
        <v>648</v>
      </c>
      <c r="C20" s="25" t="s">
        <v>647</v>
      </c>
      <c r="D20" s="84" t="s">
        <v>1154</v>
      </c>
      <c r="E20" s="62" t="s">
        <v>615</v>
      </c>
      <c r="F20" s="28" t="s">
        <v>1</v>
      </c>
      <c r="G20" s="10" t="s">
        <v>1257</v>
      </c>
      <c r="H20" s="10" t="s">
        <v>1256</v>
      </c>
      <c r="I20" s="27"/>
      <c r="J20" s="51" t="s">
        <v>614</v>
      </c>
      <c r="K20" s="90" t="s">
        <v>1212</v>
      </c>
      <c r="L20" s="28" t="s">
        <v>613</v>
      </c>
      <c r="M20" s="51" t="s">
        <v>0</v>
      </c>
      <c r="N20" s="51" t="s">
        <v>1234</v>
      </c>
      <c r="O20" s="195" t="s">
        <v>0</v>
      </c>
      <c r="P20" s="31">
        <v>42776</v>
      </c>
      <c r="Q20" s="51" t="s">
        <v>1296</v>
      </c>
      <c r="R20" s="85"/>
      <c r="S20" s="213" t="s">
        <v>0</v>
      </c>
      <c r="T20" s="31">
        <v>42794</v>
      </c>
      <c r="U20" s="51" t="s">
        <v>1296</v>
      </c>
      <c r="V20" s="85"/>
      <c r="W20" s="96"/>
      <c r="X20" s="31"/>
      <c r="Y20" s="96"/>
      <c r="Z20" s="85"/>
      <c r="AA20" s="86"/>
      <c r="AB20" s="31"/>
      <c r="AC20" s="86"/>
      <c r="AD20" s="86"/>
      <c r="AE20" s="86"/>
      <c r="AF20" s="31"/>
      <c r="AG20" s="86"/>
      <c r="AH20" s="86"/>
      <c r="AI20" s="28"/>
      <c r="AJ20" s="28"/>
      <c r="AM20" s="136"/>
      <c r="AN20" s="137" t="str">
        <f t="shared" si="10"/>
        <v/>
      </c>
      <c r="AO20" s="138"/>
      <c r="AP20" s="138"/>
      <c r="AQ20" s="138"/>
      <c r="AR20" s="138"/>
    </row>
    <row r="21" spans="2:44" s="13" customFormat="1" ht="195">
      <c r="B21" s="42" t="s">
        <v>646</v>
      </c>
      <c r="C21" s="25" t="s">
        <v>645</v>
      </c>
      <c r="D21" s="84" t="s">
        <v>1155</v>
      </c>
      <c r="E21" s="62" t="s">
        <v>644</v>
      </c>
      <c r="F21" s="28" t="s">
        <v>1</v>
      </c>
      <c r="G21" s="10" t="s">
        <v>1257</v>
      </c>
      <c r="H21" s="10" t="s">
        <v>1256</v>
      </c>
      <c r="I21" s="27"/>
      <c r="J21" s="51" t="s">
        <v>614</v>
      </c>
      <c r="K21" s="90" t="s">
        <v>1212</v>
      </c>
      <c r="L21" s="28" t="s">
        <v>613</v>
      </c>
      <c r="M21" s="51" t="s">
        <v>0</v>
      </c>
      <c r="N21" s="51" t="s">
        <v>1234</v>
      </c>
      <c r="O21" s="195" t="s">
        <v>0</v>
      </c>
      <c r="P21" s="31">
        <v>42776</v>
      </c>
      <c r="Q21" s="51" t="s">
        <v>1296</v>
      </c>
      <c r="R21" s="85"/>
      <c r="S21" s="213" t="s">
        <v>0</v>
      </c>
      <c r="T21" s="31">
        <v>42794</v>
      </c>
      <c r="U21" s="51" t="s">
        <v>1296</v>
      </c>
      <c r="V21" s="85"/>
      <c r="W21" s="96"/>
      <c r="X21" s="31"/>
      <c r="Y21" s="96"/>
      <c r="Z21" s="85"/>
      <c r="AA21" s="86"/>
      <c r="AB21" s="31"/>
      <c r="AC21" s="86"/>
      <c r="AD21" s="86"/>
      <c r="AE21" s="86"/>
      <c r="AF21" s="31"/>
      <c r="AG21" s="86"/>
      <c r="AH21" s="86"/>
      <c r="AI21" s="28"/>
      <c r="AJ21" s="28"/>
      <c r="AM21" s="136"/>
      <c r="AN21" s="137" t="str">
        <f t="shared" si="10"/>
        <v/>
      </c>
      <c r="AO21" s="138"/>
      <c r="AP21" s="138"/>
      <c r="AQ21" s="138"/>
      <c r="AR21" s="138"/>
    </row>
    <row r="22" spans="2:44" s="13" customFormat="1">
      <c r="B22" s="22" t="s">
        <v>643</v>
      </c>
      <c r="C22" s="23"/>
      <c r="D22" s="23"/>
      <c r="E22" s="23"/>
      <c r="F22" s="24"/>
      <c r="G22" s="24"/>
      <c r="H22" s="24"/>
      <c r="I22" s="23"/>
      <c r="J22" s="23"/>
      <c r="K22" s="23"/>
      <c r="L22" s="24" t="s">
        <v>103</v>
      </c>
      <c r="M22" s="23" t="s">
        <v>0</v>
      </c>
      <c r="N22" s="106"/>
      <c r="O22" s="102"/>
      <c r="P22" s="102"/>
      <c r="Q22" s="102"/>
      <c r="R22" s="102"/>
      <c r="S22" s="102"/>
      <c r="T22" s="102"/>
      <c r="U22" s="102"/>
      <c r="V22" s="102"/>
      <c r="W22" s="102"/>
      <c r="X22" s="102"/>
      <c r="Y22" s="102"/>
      <c r="Z22" s="102"/>
      <c r="AA22" s="102"/>
      <c r="AB22" s="102"/>
      <c r="AC22" s="102"/>
      <c r="AD22" s="102"/>
      <c r="AE22" s="102"/>
      <c r="AF22" s="102"/>
      <c r="AG22" s="102"/>
      <c r="AH22" s="102"/>
      <c r="AI22" s="107"/>
      <c r="AJ22" s="107"/>
      <c r="AM22" s="136"/>
      <c r="AN22" s="137" t="str">
        <f t="shared" si="10"/>
        <v/>
      </c>
      <c r="AO22" s="138"/>
      <c r="AP22" s="138"/>
      <c r="AQ22" s="138"/>
      <c r="AR22" s="138"/>
    </row>
    <row r="23" spans="2:44" s="13" customFormat="1" ht="180">
      <c r="B23" s="42" t="s">
        <v>642</v>
      </c>
      <c r="C23" s="25" t="s">
        <v>640</v>
      </c>
      <c r="D23" s="84" t="s">
        <v>1156</v>
      </c>
      <c r="E23" s="62" t="s">
        <v>615</v>
      </c>
      <c r="F23" s="28" t="s">
        <v>1</v>
      </c>
      <c r="G23" s="10" t="s">
        <v>1257</v>
      </c>
      <c r="H23" s="10" t="s">
        <v>1256</v>
      </c>
      <c r="I23" s="27"/>
      <c r="J23" s="51" t="s">
        <v>614</v>
      </c>
      <c r="K23" s="90" t="s">
        <v>1212</v>
      </c>
      <c r="L23" s="28" t="s">
        <v>613</v>
      </c>
      <c r="M23" s="51" t="s">
        <v>0</v>
      </c>
      <c r="N23" s="51" t="s">
        <v>1234</v>
      </c>
      <c r="O23" s="195" t="s">
        <v>0</v>
      </c>
      <c r="P23" s="31">
        <v>42776</v>
      </c>
      <c r="Q23" s="51" t="s">
        <v>1296</v>
      </c>
      <c r="R23" s="85"/>
      <c r="S23" s="213" t="s">
        <v>0</v>
      </c>
      <c r="T23" s="31">
        <v>42794</v>
      </c>
      <c r="U23" s="51" t="s">
        <v>1296</v>
      </c>
      <c r="V23" s="85"/>
      <c r="W23" s="96"/>
      <c r="X23" s="31"/>
      <c r="Y23" s="96"/>
      <c r="Z23" s="85"/>
      <c r="AA23" s="86"/>
      <c r="AB23" s="31"/>
      <c r="AC23" s="86"/>
      <c r="AD23" s="86"/>
      <c r="AE23" s="86"/>
      <c r="AF23" s="31"/>
      <c r="AG23" s="86"/>
      <c r="AH23" s="86"/>
      <c r="AI23" s="28"/>
      <c r="AJ23" s="28"/>
      <c r="AM23" s="136"/>
      <c r="AN23" s="137" t="str">
        <f t="shared" si="10"/>
        <v/>
      </c>
      <c r="AO23" s="138"/>
      <c r="AP23" s="138"/>
      <c r="AQ23" s="138"/>
      <c r="AR23" s="138"/>
    </row>
    <row r="24" spans="2:44" s="13" customFormat="1" ht="180">
      <c r="B24" s="42" t="s">
        <v>641</v>
      </c>
      <c r="C24" s="25" t="s">
        <v>640</v>
      </c>
      <c r="D24" s="84" t="s">
        <v>1157</v>
      </c>
      <c r="E24" s="62" t="s">
        <v>615</v>
      </c>
      <c r="F24" s="28" t="s">
        <v>1</v>
      </c>
      <c r="G24" s="10" t="s">
        <v>1257</v>
      </c>
      <c r="H24" s="10" t="s">
        <v>1256</v>
      </c>
      <c r="I24" s="27"/>
      <c r="J24" s="51" t="s">
        <v>614</v>
      </c>
      <c r="K24" s="90" t="s">
        <v>1212</v>
      </c>
      <c r="L24" s="28" t="s">
        <v>613</v>
      </c>
      <c r="M24" s="51" t="s">
        <v>0</v>
      </c>
      <c r="N24" s="51" t="s">
        <v>1234</v>
      </c>
      <c r="O24" s="195" t="s">
        <v>0</v>
      </c>
      <c r="P24" s="31">
        <v>42776</v>
      </c>
      <c r="Q24" s="51" t="s">
        <v>1296</v>
      </c>
      <c r="R24" s="85"/>
      <c r="S24" s="213" t="s">
        <v>0</v>
      </c>
      <c r="T24" s="31">
        <v>42794</v>
      </c>
      <c r="U24" s="51" t="s">
        <v>1296</v>
      </c>
      <c r="V24" s="85"/>
      <c r="W24" s="96"/>
      <c r="X24" s="31"/>
      <c r="Y24" s="96"/>
      <c r="Z24" s="85"/>
      <c r="AA24" s="86"/>
      <c r="AB24" s="31"/>
      <c r="AC24" s="86"/>
      <c r="AD24" s="86"/>
      <c r="AE24" s="86"/>
      <c r="AF24" s="31"/>
      <c r="AG24" s="86"/>
      <c r="AH24" s="86"/>
      <c r="AI24" s="28"/>
      <c r="AJ24" s="28"/>
      <c r="AM24" s="136"/>
      <c r="AN24" s="137" t="str">
        <f t="shared" si="10"/>
        <v/>
      </c>
      <c r="AO24" s="138"/>
      <c r="AP24" s="138"/>
      <c r="AQ24" s="138"/>
      <c r="AR24" s="138"/>
    </row>
    <row r="25" spans="2:44" s="13" customFormat="1" ht="180">
      <c r="B25" s="42" t="s">
        <v>639</v>
      </c>
      <c r="C25" s="25" t="s">
        <v>637</v>
      </c>
      <c r="D25" s="84" t="s">
        <v>1158</v>
      </c>
      <c r="E25" s="62" t="s">
        <v>615</v>
      </c>
      <c r="F25" s="28" t="s">
        <v>1</v>
      </c>
      <c r="G25" s="10" t="s">
        <v>1257</v>
      </c>
      <c r="H25" s="10" t="s">
        <v>1256</v>
      </c>
      <c r="I25" s="27"/>
      <c r="J25" s="51" t="s">
        <v>614</v>
      </c>
      <c r="K25" s="90" t="s">
        <v>1212</v>
      </c>
      <c r="L25" s="28" t="s">
        <v>613</v>
      </c>
      <c r="M25" s="51" t="s">
        <v>0</v>
      </c>
      <c r="N25" s="51" t="s">
        <v>1234</v>
      </c>
      <c r="O25" s="195" t="s">
        <v>0</v>
      </c>
      <c r="P25" s="31">
        <v>42776</v>
      </c>
      <c r="Q25" s="51" t="s">
        <v>1296</v>
      </c>
      <c r="R25" s="85"/>
      <c r="S25" s="213" t="s">
        <v>0</v>
      </c>
      <c r="T25" s="31">
        <v>42794</v>
      </c>
      <c r="U25" s="51" t="s">
        <v>1296</v>
      </c>
      <c r="V25" s="85"/>
      <c r="W25" s="96"/>
      <c r="X25" s="31"/>
      <c r="Y25" s="96"/>
      <c r="Z25" s="85"/>
      <c r="AA25" s="86"/>
      <c r="AB25" s="31"/>
      <c r="AC25" s="86"/>
      <c r="AD25" s="86"/>
      <c r="AE25" s="86"/>
      <c r="AF25" s="31"/>
      <c r="AG25" s="86"/>
      <c r="AH25" s="86"/>
      <c r="AI25" s="28"/>
      <c r="AJ25" s="28"/>
      <c r="AM25" s="136"/>
      <c r="AN25" s="137" t="str">
        <f t="shared" si="10"/>
        <v/>
      </c>
      <c r="AO25" s="138"/>
      <c r="AP25" s="138"/>
      <c r="AQ25" s="138"/>
      <c r="AR25" s="138"/>
    </row>
    <row r="26" spans="2:44" s="13" customFormat="1" ht="180">
      <c r="B26" s="42" t="s">
        <v>638</v>
      </c>
      <c r="C26" s="25" t="s">
        <v>637</v>
      </c>
      <c r="D26" s="84" t="s">
        <v>1159</v>
      </c>
      <c r="E26" s="62" t="s">
        <v>615</v>
      </c>
      <c r="F26" s="28" t="s">
        <v>1</v>
      </c>
      <c r="G26" s="10" t="s">
        <v>1257</v>
      </c>
      <c r="H26" s="10" t="s">
        <v>1256</v>
      </c>
      <c r="I26" s="27"/>
      <c r="J26" s="51" t="s">
        <v>614</v>
      </c>
      <c r="K26" s="90" t="s">
        <v>1212</v>
      </c>
      <c r="L26" s="28" t="s">
        <v>613</v>
      </c>
      <c r="M26" s="51" t="s">
        <v>0</v>
      </c>
      <c r="N26" s="51" t="s">
        <v>1234</v>
      </c>
      <c r="O26" s="195" t="s">
        <v>0</v>
      </c>
      <c r="P26" s="31">
        <v>42776</v>
      </c>
      <c r="Q26" s="51" t="s">
        <v>1296</v>
      </c>
      <c r="R26" s="85"/>
      <c r="S26" s="213" t="s">
        <v>0</v>
      </c>
      <c r="T26" s="31">
        <v>42794</v>
      </c>
      <c r="U26" s="51" t="s">
        <v>1296</v>
      </c>
      <c r="V26" s="85"/>
      <c r="W26" s="96"/>
      <c r="X26" s="31"/>
      <c r="Y26" s="96"/>
      <c r="Z26" s="85"/>
      <c r="AA26" s="86"/>
      <c r="AB26" s="31"/>
      <c r="AC26" s="86"/>
      <c r="AD26" s="86"/>
      <c r="AE26" s="86"/>
      <c r="AF26" s="31"/>
      <c r="AG26" s="86"/>
      <c r="AH26" s="86"/>
      <c r="AI26" s="28"/>
      <c r="AJ26" s="28"/>
      <c r="AM26" s="136"/>
      <c r="AN26" s="137" t="str">
        <f t="shared" si="10"/>
        <v/>
      </c>
      <c r="AO26" s="138"/>
      <c r="AP26" s="138"/>
      <c r="AQ26" s="138"/>
      <c r="AR26" s="138"/>
    </row>
    <row r="27" spans="2:44" s="13" customFormat="1">
      <c r="B27" s="22" t="s">
        <v>636</v>
      </c>
      <c r="C27" s="23"/>
      <c r="D27" s="23"/>
      <c r="E27" s="23"/>
      <c r="F27" s="24"/>
      <c r="G27" s="24"/>
      <c r="H27" s="24"/>
      <c r="I27" s="23"/>
      <c r="J27" s="23"/>
      <c r="K27" s="23"/>
      <c r="L27" s="24" t="s">
        <v>103</v>
      </c>
      <c r="M27" s="23" t="s">
        <v>0</v>
      </c>
      <c r="N27" s="106"/>
      <c r="O27" s="102"/>
      <c r="P27" s="102"/>
      <c r="Q27" s="102"/>
      <c r="R27" s="102"/>
      <c r="S27" s="102"/>
      <c r="T27" s="102"/>
      <c r="U27" s="102"/>
      <c r="V27" s="102"/>
      <c r="W27" s="102"/>
      <c r="X27" s="102"/>
      <c r="Y27" s="102"/>
      <c r="Z27" s="102"/>
      <c r="AA27" s="102"/>
      <c r="AB27" s="102"/>
      <c r="AC27" s="102"/>
      <c r="AD27" s="102"/>
      <c r="AE27" s="102"/>
      <c r="AF27" s="102"/>
      <c r="AG27" s="102"/>
      <c r="AH27" s="102"/>
      <c r="AI27" s="107"/>
      <c r="AJ27" s="107"/>
      <c r="AM27" s="136"/>
      <c r="AN27" s="137" t="str">
        <f t="shared" si="10"/>
        <v/>
      </c>
      <c r="AO27" s="138"/>
      <c r="AP27" s="138"/>
      <c r="AQ27" s="138"/>
      <c r="AR27" s="138"/>
    </row>
    <row r="28" spans="2:44" s="13" customFormat="1" ht="195">
      <c r="B28" s="42" t="s">
        <v>635</v>
      </c>
      <c r="C28" s="25" t="s">
        <v>633</v>
      </c>
      <c r="D28" s="84" t="s">
        <v>1151</v>
      </c>
      <c r="E28" s="62" t="s">
        <v>615</v>
      </c>
      <c r="F28" s="28" t="s">
        <v>1</v>
      </c>
      <c r="G28" s="10" t="s">
        <v>1257</v>
      </c>
      <c r="H28" s="10" t="s">
        <v>1256</v>
      </c>
      <c r="I28" s="27"/>
      <c r="J28" s="51" t="s">
        <v>614</v>
      </c>
      <c r="K28" s="90" t="s">
        <v>1212</v>
      </c>
      <c r="L28" s="28" t="s">
        <v>613</v>
      </c>
      <c r="M28" s="51" t="s">
        <v>0</v>
      </c>
      <c r="N28" s="51" t="s">
        <v>1234</v>
      </c>
      <c r="O28" s="195" t="s">
        <v>0</v>
      </c>
      <c r="P28" s="31">
        <v>42776</v>
      </c>
      <c r="Q28" s="51" t="s">
        <v>1296</v>
      </c>
      <c r="R28" s="85"/>
      <c r="S28" s="213" t="s">
        <v>0</v>
      </c>
      <c r="T28" s="31">
        <v>42794</v>
      </c>
      <c r="U28" s="51" t="s">
        <v>1296</v>
      </c>
      <c r="V28" s="85"/>
      <c r="W28" s="96"/>
      <c r="X28" s="31"/>
      <c r="Y28" s="96"/>
      <c r="Z28" s="85"/>
      <c r="AA28" s="86"/>
      <c r="AB28" s="31"/>
      <c r="AC28" s="86"/>
      <c r="AD28" s="86"/>
      <c r="AE28" s="86"/>
      <c r="AF28" s="31"/>
      <c r="AG28" s="86"/>
      <c r="AH28" s="86"/>
      <c r="AI28" s="28"/>
      <c r="AJ28" s="28"/>
      <c r="AM28" s="136"/>
      <c r="AN28" s="137" t="str">
        <f t="shared" si="10"/>
        <v/>
      </c>
      <c r="AO28" s="138"/>
      <c r="AP28" s="138"/>
      <c r="AQ28" s="138"/>
      <c r="AR28" s="138"/>
    </row>
    <row r="29" spans="2:44" s="13" customFormat="1" ht="195">
      <c r="B29" s="42" t="s">
        <v>634</v>
      </c>
      <c r="C29" s="25" t="s">
        <v>633</v>
      </c>
      <c r="D29" s="84" t="s">
        <v>1152</v>
      </c>
      <c r="E29" s="62" t="s">
        <v>615</v>
      </c>
      <c r="F29" s="28" t="s">
        <v>1</v>
      </c>
      <c r="G29" s="10" t="s">
        <v>1257</v>
      </c>
      <c r="H29" s="10" t="s">
        <v>1256</v>
      </c>
      <c r="I29" s="27"/>
      <c r="J29" s="51" t="s">
        <v>614</v>
      </c>
      <c r="K29" s="90" t="s">
        <v>1212</v>
      </c>
      <c r="L29" s="28" t="s">
        <v>613</v>
      </c>
      <c r="M29" s="51" t="s">
        <v>0</v>
      </c>
      <c r="N29" s="51" t="s">
        <v>1234</v>
      </c>
      <c r="O29" s="195" t="s">
        <v>0</v>
      </c>
      <c r="P29" s="31">
        <v>42776</v>
      </c>
      <c r="Q29" s="51" t="s">
        <v>1296</v>
      </c>
      <c r="R29" s="85"/>
      <c r="S29" s="213" t="s">
        <v>0</v>
      </c>
      <c r="T29" s="31">
        <v>42794</v>
      </c>
      <c r="U29" s="51" t="s">
        <v>1296</v>
      </c>
      <c r="V29" s="85"/>
      <c r="W29" s="96"/>
      <c r="X29" s="31"/>
      <c r="Y29" s="96"/>
      <c r="Z29" s="85"/>
      <c r="AA29" s="86"/>
      <c r="AB29" s="31"/>
      <c r="AC29" s="86"/>
      <c r="AD29" s="86"/>
      <c r="AE29" s="86"/>
      <c r="AF29" s="31"/>
      <c r="AG29" s="86"/>
      <c r="AH29" s="86"/>
      <c r="AI29" s="28"/>
      <c r="AJ29" s="28"/>
      <c r="AM29" s="136"/>
      <c r="AN29" s="137" t="str">
        <f t="shared" si="10"/>
        <v/>
      </c>
      <c r="AO29" s="139"/>
      <c r="AP29" s="139"/>
      <c r="AQ29" s="139"/>
      <c r="AR29" s="139"/>
    </row>
    <row r="30" spans="2:44" s="13" customFormat="1" ht="195">
      <c r="B30" s="42" t="s">
        <v>632</v>
      </c>
      <c r="C30" s="25" t="s">
        <v>630</v>
      </c>
      <c r="D30" s="84" t="s">
        <v>1153</v>
      </c>
      <c r="E30" s="62" t="s">
        <v>615</v>
      </c>
      <c r="F30" s="28" t="s">
        <v>1</v>
      </c>
      <c r="G30" s="10" t="s">
        <v>1257</v>
      </c>
      <c r="H30" s="10" t="s">
        <v>1256</v>
      </c>
      <c r="I30" s="27"/>
      <c r="J30" s="51" t="s">
        <v>614</v>
      </c>
      <c r="K30" s="90" t="s">
        <v>1212</v>
      </c>
      <c r="L30" s="28" t="s">
        <v>613</v>
      </c>
      <c r="M30" s="51" t="s">
        <v>0</v>
      </c>
      <c r="N30" s="51" t="s">
        <v>1234</v>
      </c>
      <c r="O30" s="195" t="s">
        <v>0</v>
      </c>
      <c r="P30" s="31">
        <v>42776</v>
      </c>
      <c r="Q30" s="51" t="s">
        <v>1296</v>
      </c>
      <c r="R30" s="85"/>
      <c r="S30" s="213" t="s">
        <v>0</v>
      </c>
      <c r="T30" s="31">
        <v>42794</v>
      </c>
      <c r="U30" s="51" t="s">
        <v>1296</v>
      </c>
      <c r="V30" s="85"/>
      <c r="W30" s="96"/>
      <c r="X30" s="31"/>
      <c r="Y30" s="96"/>
      <c r="Z30" s="85"/>
      <c r="AA30" s="86"/>
      <c r="AB30" s="31"/>
      <c r="AC30" s="86"/>
      <c r="AD30" s="86"/>
      <c r="AE30" s="86"/>
      <c r="AF30" s="31"/>
      <c r="AG30" s="86"/>
      <c r="AH30" s="86"/>
      <c r="AI30" s="28"/>
      <c r="AJ30" s="28"/>
      <c r="AM30" s="136"/>
      <c r="AN30" s="137" t="str">
        <f t="shared" si="10"/>
        <v/>
      </c>
      <c r="AO30" s="139"/>
      <c r="AP30" s="139"/>
      <c r="AQ30" s="139"/>
      <c r="AR30" s="139"/>
    </row>
    <row r="31" spans="2:44" s="13" customFormat="1" ht="195">
      <c r="B31" s="42" t="s">
        <v>631</v>
      </c>
      <c r="C31" s="25" t="s">
        <v>630</v>
      </c>
      <c r="D31" s="84" t="s">
        <v>1154</v>
      </c>
      <c r="E31" s="62" t="s">
        <v>615</v>
      </c>
      <c r="F31" s="28" t="s">
        <v>1</v>
      </c>
      <c r="G31" s="10" t="s">
        <v>1257</v>
      </c>
      <c r="H31" s="10" t="s">
        <v>1256</v>
      </c>
      <c r="I31" s="27"/>
      <c r="J31" s="51" t="s">
        <v>614</v>
      </c>
      <c r="K31" s="90" t="s">
        <v>1212</v>
      </c>
      <c r="L31" s="28" t="s">
        <v>613</v>
      </c>
      <c r="M31" s="51" t="s">
        <v>0</v>
      </c>
      <c r="N31" s="51" t="s">
        <v>1234</v>
      </c>
      <c r="O31" s="195" t="s">
        <v>0</v>
      </c>
      <c r="P31" s="31">
        <v>42776</v>
      </c>
      <c r="Q31" s="51" t="s">
        <v>1296</v>
      </c>
      <c r="R31" s="85"/>
      <c r="S31" s="213" t="s">
        <v>0</v>
      </c>
      <c r="T31" s="31">
        <v>42794</v>
      </c>
      <c r="U31" s="51" t="s">
        <v>1296</v>
      </c>
      <c r="V31" s="85"/>
      <c r="W31" s="96"/>
      <c r="X31" s="31"/>
      <c r="Y31" s="96"/>
      <c r="Z31" s="85"/>
      <c r="AA31" s="86"/>
      <c r="AB31" s="31"/>
      <c r="AC31" s="86"/>
      <c r="AD31" s="86"/>
      <c r="AE31" s="86"/>
      <c r="AF31" s="31"/>
      <c r="AG31" s="86"/>
      <c r="AH31" s="86"/>
      <c r="AI31" s="28"/>
      <c r="AJ31" s="28"/>
      <c r="AM31" s="136"/>
      <c r="AN31" s="137" t="str">
        <f t="shared" si="10"/>
        <v/>
      </c>
      <c r="AO31" s="139"/>
      <c r="AP31" s="139"/>
      <c r="AQ31" s="139"/>
      <c r="AR31" s="139"/>
    </row>
    <row r="32" spans="2:44" s="13" customFormat="1">
      <c r="B32" s="22" t="s">
        <v>629</v>
      </c>
      <c r="C32" s="23"/>
      <c r="D32" s="23"/>
      <c r="E32" s="23"/>
      <c r="F32" s="24"/>
      <c r="G32" s="24"/>
      <c r="H32" s="24"/>
      <c r="I32" s="23"/>
      <c r="J32" s="23"/>
      <c r="K32" s="23"/>
      <c r="L32" s="24" t="s">
        <v>103</v>
      </c>
      <c r="M32" s="23" t="s">
        <v>0</v>
      </c>
      <c r="N32" s="106"/>
      <c r="O32" s="102"/>
      <c r="P32" s="102"/>
      <c r="Q32" s="102"/>
      <c r="R32" s="102"/>
      <c r="S32" s="102"/>
      <c r="T32" s="102"/>
      <c r="U32" s="102"/>
      <c r="V32" s="102"/>
      <c r="W32" s="102"/>
      <c r="X32" s="102"/>
      <c r="Y32" s="102"/>
      <c r="Z32" s="102"/>
      <c r="AA32" s="102"/>
      <c r="AB32" s="102"/>
      <c r="AC32" s="102"/>
      <c r="AD32" s="102"/>
      <c r="AE32" s="102"/>
      <c r="AF32" s="102"/>
      <c r="AG32" s="102"/>
      <c r="AH32" s="102"/>
      <c r="AI32" s="107"/>
      <c r="AJ32" s="107"/>
      <c r="AM32" s="136"/>
      <c r="AN32" s="137" t="str">
        <f t="shared" si="10"/>
        <v/>
      </c>
      <c r="AO32" s="139"/>
      <c r="AP32" s="139"/>
      <c r="AQ32" s="139"/>
      <c r="AR32" s="139"/>
    </row>
    <row r="33" spans="2:44" s="13" customFormat="1" ht="180">
      <c r="B33" s="42" t="s">
        <v>628</v>
      </c>
      <c r="C33" s="25" t="s">
        <v>626</v>
      </c>
      <c r="D33" s="84" t="s">
        <v>1156</v>
      </c>
      <c r="E33" s="62" t="s">
        <v>615</v>
      </c>
      <c r="F33" s="28" t="s">
        <v>1</v>
      </c>
      <c r="G33" s="10" t="s">
        <v>1257</v>
      </c>
      <c r="H33" s="10" t="s">
        <v>1256</v>
      </c>
      <c r="I33" s="27"/>
      <c r="J33" s="51" t="s">
        <v>614</v>
      </c>
      <c r="K33" s="90" t="s">
        <v>1212</v>
      </c>
      <c r="L33" s="28" t="s">
        <v>613</v>
      </c>
      <c r="M33" s="51" t="s">
        <v>0</v>
      </c>
      <c r="N33" s="51" t="s">
        <v>1234</v>
      </c>
      <c r="O33" s="195" t="s">
        <v>0</v>
      </c>
      <c r="P33" s="31">
        <v>42776</v>
      </c>
      <c r="Q33" s="51" t="s">
        <v>1296</v>
      </c>
      <c r="R33" s="85"/>
      <c r="S33" s="213" t="s">
        <v>0</v>
      </c>
      <c r="T33" s="31">
        <v>42794</v>
      </c>
      <c r="U33" s="51" t="s">
        <v>1296</v>
      </c>
      <c r="V33" s="85"/>
      <c r="W33" s="96"/>
      <c r="X33" s="31"/>
      <c r="Y33" s="96"/>
      <c r="Z33" s="85"/>
      <c r="AA33" s="86"/>
      <c r="AB33" s="31"/>
      <c r="AC33" s="86"/>
      <c r="AD33" s="86"/>
      <c r="AE33" s="86"/>
      <c r="AF33" s="31"/>
      <c r="AG33" s="86"/>
      <c r="AH33" s="86"/>
      <c r="AI33" s="28"/>
      <c r="AJ33" s="28"/>
      <c r="AM33" s="136"/>
      <c r="AN33" s="137" t="str">
        <f t="shared" si="10"/>
        <v/>
      </c>
      <c r="AO33" s="139"/>
      <c r="AP33" s="139"/>
      <c r="AQ33" s="139"/>
      <c r="AR33" s="139"/>
    </row>
    <row r="34" spans="2:44" s="13" customFormat="1" ht="180">
      <c r="B34" s="42" t="s">
        <v>627</v>
      </c>
      <c r="C34" s="25" t="s">
        <v>626</v>
      </c>
      <c r="D34" s="84" t="s">
        <v>1157</v>
      </c>
      <c r="E34" s="62" t="s">
        <v>615</v>
      </c>
      <c r="F34" s="28" t="s">
        <v>1</v>
      </c>
      <c r="G34" s="10" t="s">
        <v>1257</v>
      </c>
      <c r="H34" s="10" t="s">
        <v>1256</v>
      </c>
      <c r="I34" s="27"/>
      <c r="J34" s="51" t="s">
        <v>614</v>
      </c>
      <c r="K34" s="90" t="s">
        <v>1212</v>
      </c>
      <c r="L34" s="28" t="s">
        <v>613</v>
      </c>
      <c r="M34" s="51" t="s">
        <v>0</v>
      </c>
      <c r="N34" s="51" t="s">
        <v>1234</v>
      </c>
      <c r="O34" s="195" t="s">
        <v>0</v>
      </c>
      <c r="P34" s="31">
        <v>42776</v>
      </c>
      <c r="Q34" s="51" t="s">
        <v>1296</v>
      </c>
      <c r="R34" s="85"/>
      <c r="S34" s="213" t="s">
        <v>0</v>
      </c>
      <c r="T34" s="31">
        <v>42794</v>
      </c>
      <c r="U34" s="51" t="s">
        <v>1296</v>
      </c>
      <c r="V34" s="85"/>
      <c r="W34" s="96"/>
      <c r="X34" s="31"/>
      <c r="Y34" s="96"/>
      <c r="Z34" s="85"/>
      <c r="AA34" s="86"/>
      <c r="AB34" s="31"/>
      <c r="AC34" s="86"/>
      <c r="AD34" s="86"/>
      <c r="AE34" s="86"/>
      <c r="AF34" s="31"/>
      <c r="AG34" s="86"/>
      <c r="AH34" s="86"/>
      <c r="AI34" s="28"/>
      <c r="AJ34" s="28"/>
      <c r="AM34" s="136"/>
      <c r="AN34" s="137" t="str">
        <f t="shared" si="10"/>
        <v/>
      </c>
      <c r="AO34" s="139"/>
      <c r="AP34" s="139"/>
      <c r="AQ34" s="139"/>
      <c r="AR34" s="139"/>
    </row>
    <row r="35" spans="2:44" s="13" customFormat="1" ht="180">
      <c r="B35" s="42" t="s">
        <v>625</v>
      </c>
      <c r="C35" s="25" t="s">
        <v>623</v>
      </c>
      <c r="D35" s="84" t="s">
        <v>1158</v>
      </c>
      <c r="E35" s="62" t="s">
        <v>615</v>
      </c>
      <c r="F35" s="28" t="s">
        <v>1</v>
      </c>
      <c r="G35" s="10" t="s">
        <v>1257</v>
      </c>
      <c r="H35" s="10" t="s">
        <v>1256</v>
      </c>
      <c r="I35" s="27"/>
      <c r="J35" s="51" t="s">
        <v>614</v>
      </c>
      <c r="K35" s="90" t="s">
        <v>1212</v>
      </c>
      <c r="L35" s="28" t="s">
        <v>613</v>
      </c>
      <c r="M35" s="51" t="s">
        <v>0</v>
      </c>
      <c r="N35" s="51" t="s">
        <v>1234</v>
      </c>
      <c r="O35" s="195" t="s">
        <v>0</v>
      </c>
      <c r="P35" s="31">
        <v>42776</v>
      </c>
      <c r="Q35" s="51" t="s">
        <v>1296</v>
      </c>
      <c r="R35" s="85"/>
      <c r="S35" s="213" t="s">
        <v>0</v>
      </c>
      <c r="T35" s="31">
        <v>42794</v>
      </c>
      <c r="U35" s="51" t="s">
        <v>1296</v>
      </c>
      <c r="V35" s="85"/>
      <c r="W35" s="96"/>
      <c r="X35" s="31"/>
      <c r="Y35" s="96"/>
      <c r="Z35" s="85"/>
      <c r="AA35" s="86"/>
      <c r="AB35" s="31"/>
      <c r="AC35" s="86"/>
      <c r="AD35" s="86"/>
      <c r="AE35" s="86"/>
      <c r="AF35" s="31"/>
      <c r="AG35" s="86"/>
      <c r="AH35" s="86"/>
      <c r="AI35" s="28"/>
      <c r="AJ35" s="28"/>
      <c r="AM35" s="136"/>
      <c r="AN35" s="137" t="str">
        <f t="shared" si="10"/>
        <v/>
      </c>
      <c r="AO35" s="139"/>
      <c r="AP35" s="139"/>
      <c r="AQ35" s="139"/>
      <c r="AR35" s="139"/>
    </row>
    <row r="36" spans="2:44" s="13" customFormat="1" ht="180">
      <c r="B36" s="42" t="s">
        <v>624</v>
      </c>
      <c r="C36" s="25" t="s">
        <v>623</v>
      </c>
      <c r="D36" s="84" t="s">
        <v>1159</v>
      </c>
      <c r="E36" s="62" t="s">
        <v>615</v>
      </c>
      <c r="F36" s="28" t="s">
        <v>1</v>
      </c>
      <c r="G36" s="10" t="s">
        <v>1257</v>
      </c>
      <c r="H36" s="10" t="s">
        <v>1256</v>
      </c>
      <c r="I36" s="27"/>
      <c r="J36" s="51" t="s">
        <v>614</v>
      </c>
      <c r="K36" s="90" t="s">
        <v>1212</v>
      </c>
      <c r="L36" s="28" t="s">
        <v>613</v>
      </c>
      <c r="M36" s="51" t="s">
        <v>0</v>
      </c>
      <c r="N36" s="51" t="s">
        <v>1234</v>
      </c>
      <c r="O36" s="195" t="s">
        <v>0</v>
      </c>
      <c r="P36" s="31">
        <v>42776</v>
      </c>
      <c r="Q36" s="51" t="s">
        <v>1296</v>
      </c>
      <c r="R36" s="85"/>
      <c r="S36" s="213" t="s">
        <v>0</v>
      </c>
      <c r="T36" s="31">
        <v>42794</v>
      </c>
      <c r="U36" s="51" t="s">
        <v>1296</v>
      </c>
      <c r="V36" s="85"/>
      <c r="W36" s="96"/>
      <c r="X36" s="31"/>
      <c r="Y36" s="96"/>
      <c r="Z36" s="85"/>
      <c r="AA36" s="86"/>
      <c r="AB36" s="31"/>
      <c r="AC36" s="86"/>
      <c r="AD36" s="86"/>
      <c r="AE36" s="86"/>
      <c r="AF36" s="31"/>
      <c r="AG36" s="86"/>
      <c r="AH36" s="86"/>
      <c r="AI36" s="28"/>
      <c r="AJ36" s="28"/>
      <c r="AM36" s="136"/>
      <c r="AN36" s="137" t="str">
        <f t="shared" si="10"/>
        <v/>
      </c>
      <c r="AO36" s="139"/>
      <c r="AP36" s="139"/>
      <c r="AQ36" s="139"/>
      <c r="AR36" s="139"/>
    </row>
    <row r="37" spans="2:44" s="13" customFormat="1">
      <c r="B37" s="22" t="s">
        <v>622</v>
      </c>
      <c r="C37" s="23"/>
      <c r="D37" s="23"/>
      <c r="E37" s="23"/>
      <c r="F37" s="24"/>
      <c r="G37" s="24"/>
      <c r="H37" s="24"/>
      <c r="I37" s="23"/>
      <c r="J37" s="23"/>
      <c r="K37" s="23"/>
      <c r="L37" s="24" t="s">
        <v>103</v>
      </c>
      <c r="M37" s="23" t="s">
        <v>0</v>
      </c>
      <c r="N37" s="106"/>
      <c r="O37" s="102"/>
      <c r="P37" s="102"/>
      <c r="Q37" s="102"/>
      <c r="R37" s="102"/>
      <c r="S37" s="102"/>
      <c r="T37" s="102"/>
      <c r="U37" s="102"/>
      <c r="V37" s="102"/>
      <c r="W37" s="102"/>
      <c r="X37" s="102"/>
      <c r="Y37" s="102"/>
      <c r="Z37" s="102"/>
      <c r="AA37" s="102"/>
      <c r="AB37" s="102"/>
      <c r="AC37" s="102"/>
      <c r="AD37" s="102"/>
      <c r="AE37" s="102"/>
      <c r="AF37" s="102"/>
      <c r="AG37" s="102"/>
      <c r="AH37" s="102"/>
      <c r="AI37" s="107"/>
      <c r="AJ37" s="107"/>
      <c r="AM37" s="136"/>
      <c r="AN37" s="137" t="str">
        <f t="shared" si="10"/>
        <v/>
      </c>
      <c r="AO37" s="139"/>
      <c r="AP37" s="139"/>
      <c r="AQ37" s="139"/>
      <c r="AR37" s="139"/>
    </row>
    <row r="38" spans="2:44" s="13" customFormat="1" ht="180">
      <c r="B38" s="42" t="s">
        <v>621</v>
      </c>
      <c r="C38" s="25" t="s">
        <v>619</v>
      </c>
      <c r="D38" s="84" t="s">
        <v>1160</v>
      </c>
      <c r="E38" s="62" t="s">
        <v>615</v>
      </c>
      <c r="F38" s="28" t="s">
        <v>1</v>
      </c>
      <c r="G38" s="10" t="s">
        <v>1257</v>
      </c>
      <c r="H38" s="10" t="s">
        <v>1256</v>
      </c>
      <c r="I38" s="27"/>
      <c r="J38" s="51" t="s">
        <v>614</v>
      </c>
      <c r="K38" s="90" t="s">
        <v>1212</v>
      </c>
      <c r="L38" s="28" t="s">
        <v>613</v>
      </c>
      <c r="M38" s="51" t="s">
        <v>0</v>
      </c>
      <c r="N38" s="51" t="s">
        <v>1234</v>
      </c>
      <c r="O38" s="195" t="s">
        <v>0</v>
      </c>
      <c r="P38" s="31">
        <v>42776</v>
      </c>
      <c r="Q38" s="51" t="s">
        <v>1296</v>
      </c>
      <c r="R38" s="85"/>
      <c r="S38" s="213" t="s">
        <v>0</v>
      </c>
      <c r="T38" s="31">
        <v>42794</v>
      </c>
      <c r="U38" s="51" t="s">
        <v>1296</v>
      </c>
      <c r="V38" s="85"/>
      <c r="W38" s="96"/>
      <c r="X38" s="31"/>
      <c r="Y38" s="96"/>
      <c r="Z38" s="85"/>
      <c r="AA38" s="86"/>
      <c r="AB38" s="31"/>
      <c r="AC38" s="86"/>
      <c r="AD38" s="86"/>
      <c r="AE38" s="86"/>
      <c r="AF38" s="31"/>
      <c r="AG38" s="86"/>
      <c r="AH38" s="86"/>
      <c r="AI38" s="28"/>
      <c r="AJ38" s="28"/>
      <c r="AM38" s="136"/>
      <c r="AN38" s="137" t="str">
        <f t="shared" si="10"/>
        <v/>
      </c>
      <c r="AO38" s="139"/>
      <c r="AP38" s="139"/>
      <c r="AQ38" s="139"/>
      <c r="AR38" s="139"/>
    </row>
    <row r="39" spans="2:44" s="13" customFormat="1" ht="180">
      <c r="B39" s="42" t="s">
        <v>620</v>
      </c>
      <c r="C39" s="25" t="s">
        <v>619</v>
      </c>
      <c r="D39" s="84" t="s">
        <v>1161</v>
      </c>
      <c r="E39" s="62" t="s">
        <v>615</v>
      </c>
      <c r="F39" s="28" t="s">
        <v>1</v>
      </c>
      <c r="G39" s="10" t="s">
        <v>1257</v>
      </c>
      <c r="H39" s="10" t="s">
        <v>1256</v>
      </c>
      <c r="I39" s="27"/>
      <c r="J39" s="51" t="s">
        <v>614</v>
      </c>
      <c r="K39" s="90" t="s">
        <v>1212</v>
      </c>
      <c r="L39" s="28" t="s">
        <v>613</v>
      </c>
      <c r="M39" s="51" t="s">
        <v>0</v>
      </c>
      <c r="N39" s="51" t="s">
        <v>1234</v>
      </c>
      <c r="O39" s="195" t="s">
        <v>0</v>
      </c>
      <c r="P39" s="31">
        <v>42776</v>
      </c>
      <c r="Q39" s="51" t="s">
        <v>1296</v>
      </c>
      <c r="R39" s="85"/>
      <c r="S39" s="213" t="s">
        <v>0</v>
      </c>
      <c r="T39" s="31">
        <v>42794</v>
      </c>
      <c r="U39" s="51" t="s">
        <v>1296</v>
      </c>
      <c r="V39" s="85"/>
      <c r="W39" s="96"/>
      <c r="X39" s="31"/>
      <c r="Y39" s="96"/>
      <c r="Z39" s="85"/>
      <c r="AA39" s="86"/>
      <c r="AB39" s="31"/>
      <c r="AC39" s="86"/>
      <c r="AD39" s="86"/>
      <c r="AE39" s="86"/>
      <c r="AF39" s="31"/>
      <c r="AG39" s="86"/>
      <c r="AH39" s="86"/>
      <c r="AI39" s="28"/>
      <c r="AJ39" s="28"/>
      <c r="AM39" s="136"/>
      <c r="AN39" s="137" t="str">
        <f t="shared" si="10"/>
        <v/>
      </c>
      <c r="AO39" s="139"/>
      <c r="AP39" s="139"/>
      <c r="AQ39" s="139"/>
      <c r="AR39" s="139"/>
    </row>
    <row r="40" spans="2:44" s="13" customFormat="1" ht="180">
      <c r="B40" s="42" t="s">
        <v>618</v>
      </c>
      <c r="C40" s="25" t="s">
        <v>616</v>
      </c>
      <c r="D40" s="84" t="s">
        <v>1162</v>
      </c>
      <c r="E40" s="62" t="s">
        <v>615</v>
      </c>
      <c r="F40" s="28" t="s">
        <v>1</v>
      </c>
      <c r="G40" s="10" t="s">
        <v>1257</v>
      </c>
      <c r="H40" s="10" t="s">
        <v>1256</v>
      </c>
      <c r="I40" s="27"/>
      <c r="J40" s="51" t="s">
        <v>614</v>
      </c>
      <c r="K40" s="90" t="s">
        <v>1212</v>
      </c>
      <c r="L40" s="28" t="s">
        <v>613</v>
      </c>
      <c r="M40" s="51" t="s">
        <v>0</v>
      </c>
      <c r="N40" s="51" t="s">
        <v>1234</v>
      </c>
      <c r="O40" s="195" t="s">
        <v>0</v>
      </c>
      <c r="P40" s="31">
        <v>42776</v>
      </c>
      <c r="Q40" s="51" t="s">
        <v>1296</v>
      </c>
      <c r="R40" s="85"/>
      <c r="S40" s="213" t="s">
        <v>0</v>
      </c>
      <c r="T40" s="31">
        <v>42794</v>
      </c>
      <c r="U40" s="51" t="s">
        <v>1296</v>
      </c>
      <c r="V40" s="85"/>
      <c r="W40" s="96"/>
      <c r="X40" s="31"/>
      <c r="Y40" s="96"/>
      <c r="Z40" s="85"/>
      <c r="AA40" s="86"/>
      <c r="AB40" s="31"/>
      <c r="AC40" s="86"/>
      <c r="AD40" s="86"/>
      <c r="AE40" s="86"/>
      <c r="AF40" s="31"/>
      <c r="AG40" s="86"/>
      <c r="AH40" s="86"/>
      <c r="AI40" s="28"/>
      <c r="AJ40" s="28"/>
      <c r="AM40" s="136"/>
      <c r="AN40" s="137" t="str">
        <f t="shared" si="10"/>
        <v/>
      </c>
      <c r="AO40" s="139"/>
      <c r="AP40" s="139"/>
      <c r="AQ40" s="139"/>
      <c r="AR40" s="139"/>
    </row>
    <row r="41" spans="2:44" s="13" customFormat="1" ht="180">
      <c r="B41" s="42" t="s">
        <v>617</v>
      </c>
      <c r="C41" s="25" t="s">
        <v>616</v>
      </c>
      <c r="D41" s="84" t="s">
        <v>1163</v>
      </c>
      <c r="E41" s="62" t="s">
        <v>615</v>
      </c>
      <c r="F41" s="28" t="s">
        <v>1</v>
      </c>
      <c r="G41" s="10" t="s">
        <v>1257</v>
      </c>
      <c r="H41" s="10" t="s">
        <v>1256</v>
      </c>
      <c r="I41" s="27"/>
      <c r="J41" s="51" t="s">
        <v>614</v>
      </c>
      <c r="K41" s="90" t="s">
        <v>1212</v>
      </c>
      <c r="L41" s="28" t="s">
        <v>613</v>
      </c>
      <c r="M41" s="51" t="s">
        <v>0</v>
      </c>
      <c r="N41" s="51" t="s">
        <v>1234</v>
      </c>
      <c r="O41" s="195" t="s">
        <v>0</v>
      </c>
      <c r="P41" s="31">
        <v>42776</v>
      </c>
      <c r="Q41" s="51" t="s">
        <v>1296</v>
      </c>
      <c r="R41" s="85"/>
      <c r="S41" s="213" t="s">
        <v>0</v>
      </c>
      <c r="T41" s="31">
        <v>42794</v>
      </c>
      <c r="U41" s="51" t="s">
        <v>1296</v>
      </c>
      <c r="V41" s="85"/>
      <c r="W41" s="96"/>
      <c r="X41" s="31"/>
      <c r="Y41" s="96"/>
      <c r="Z41" s="85"/>
      <c r="AA41" s="86"/>
      <c r="AB41" s="31"/>
      <c r="AC41" s="86"/>
      <c r="AD41" s="86"/>
      <c r="AE41" s="86"/>
      <c r="AF41" s="31"/>
      <c r="AG41" s="86"/>
      <c r="AH41" s="86"/>
      <c r="AI41" s="28"/>
      <c r="AJ41" s="28"/>
      <c r="AM41" s="136"/>
      <c r="AN41" s="137" t="str">
        <f t="shared" si="10"/>
        <v/>
      </c>
      <c r="AO41" s="139"/>
      <c r="AP41" s="139"/>
      <c r="AQ41" s="139"/>
      <c r="AR41" s="139"/>
    </row>
  </sheetData>
  <sheetProtection selectLockedCells="1" selectUnlockedCells="1"/>
  <autoFilter ref="B14:AJ41"/>
  <mergeCells count="14">
    <mergeCell ref="O11:R11"/>
    <mergeCell ref="S11:V11"/>
    <mergeCell ref="W11:Z11"/>
    <mergeCell ref="AA11:AD11"/>
    <mergeCell ref="G13:H13"/>
    <mergeCell ref="M13:N13"/>
    <mergeCell ref="O12:R12"/>
    <mergeCell ref="W12:Z12"/>
    <mergeCell ref="S12:V12"/>
    <mergeCell ref="AM11:AN11"/>
    <mergeCell ref="AI11:AJ11"/>
    <mergeCell ref="AE11:AH11"/>
    <mergeCell ref="AA12:AD12"/>
    <mergeCell ref="AE12:AH12"/>
  </mergeCells>
  <phoneticPr fontId="169"/>
  <hyperlinks>
    <hyperlink ref="L3" location="PCL_Summary!A1" display="PCL_Summary!A1"/>
    <hyperlink ref="L2" location="Test_Report_Summary!A1" display="Test_Report_Summary"/>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33"/>
  <sheetViews>
    <sheetView topLeftCell="F7" zoomScale="70" zoomScaleNormal="70" workbookViewId="0">
      <selection activeCell="T19" sqref="T19"/>
    </sheetView>
  </sheetViews>
  <sheetFormatPr defaultColWidth="9.140625" defaultRowHeight="15" outlineLevelRow="1"/>
  <cols>
    <col min="1" max="1" width="2.7109375" style="66" customWidth="1"/>
    <col min="2" max="2" width="10.42578125" style="111" customWidth="1"/>
    <col min="3" max="3" width="34.5703125" style="66" customWidth="1"/>
    <col min="4" max="4" width="70.5703125" style="66" bestFit="1" customWidth="1"/>
    <col min="5" max="5" width="32.42578125" style="66" customWidth="1"/>
    <col min="6" max="6" width="10.28515625" style="66" bestFit="1" customWidth="1"/>
    <col min="7" max="8" width="10.28515625" style="66" customWidth="1"/>
    <col min="9" max="9" width="16.140625" style="66" bestFit="1" customWidth="1"/>
    <col min="10" max="10" width="8" style="66" customWidth="1"/>
    <col min="11" max="11" width="10.85546875" style="66" customWidth="1"/>
    <col min="12" max="12" width="11.7109375" style="66" bestFit="1" customWidth="1"/>
    <col min="13" max="13" width="8.85546875" style="66" bestFit="1" customWidth="1"/>
    <col min="14" max="14" width="12.5703125" style="65" customWidth="1"/>
    <col min="15" max="15" width="13.5703125" style="66" bestFit="1" customWidth="1"/>
    <col min="16" max="16" width="10.7109375" style="66" bestFit="1" customWidth="1"/>
    <col min="17" max="17" width="12.5703125" style="66" bestFit="1" customWidth="1"/>
    <col min="18" max="18" width="7.7109375" style="66" bestFit="1" customWidth="1"/>
    <col min="19" max="19" width="14.42578125" style="66" customWidth="1"/>
    <col min="20" max="22" width="11.42578125" style="66" customWidth="1"/>
    <col min="23" max="23" width="14.42578125" style="66" customWidth="1"/>
    <col min="24" max="26" width="11.42578125" style="66" customWidth="1"/>
    <col min="27" max="27" width="14.42578125" style="66" customWidth="1"/>
    <col min="28" max="30" width="11.42578125" style="66" customWidth="1"/>
    <col min="31" max="31" width="14.42578125" style="66" customWidth="1"/>
    <col min="32" max="34" width="11.42578125" style="66" customWidth="1"/>
    <col min="35" max="35" width="16" style="65" bestFit="1" customWidth="1"/>
    <col min="36" max="36" width="16.7109375" style="65" customWidth="1"/>
    <col min="37" max="38" width="9.140625" style="66"/>
    <col min="39" max="39" width="14.140625" style="139" customWidth="1"/>
    <col min="40" max="40" width="18.5703125" style="139" customWidth="1"/>
    <col min="41" max="41" width="11" style="139" bestFit="1" customWidth="1"/>
    <col min="42" max="42" width="12.140625" style="139" bestFit="1" customWidth="1"/>
    <col min="43" max="43" width="11.5703125" style="139"/>
    <col min="44" max="44" width="10.5703125" style="139" bestFit="1" customWidth="1"/>
    <col min="45" max="16384" width="9.140625" style="66"/>
  </cols>
  <sheetData>
    <row r="1" spans="1:44" s="128" customFormat="1" ht="15.75" outlineLevel="1" thickBot="1">
      <c r="A1" s="133" t="s">
        <v>440</v>
      </c>
      <c r="B1" s="133"/>
      <c r="C1" s="127">
        <f>COUNTA($D$15:$D$1000)-COUNTIF($K$15:$K$1000,"-")</f>
        <v>11</v>
      </c>
      <c r="D1" s="149" t="s">
        <v>1222</v>
      </c>
      <c r="E1" s="150">
        <f>COUNTIF($L$15:$L$1000,D1)</f>
        <v>0</v>
      </c>
      <c r="F1" s="127"/>
      <c r="G1" s="127"/>
      <c r="H1" s="127"/>
      <c r="I1" s="127"/>
      <c r="J1" s="127"/>
      <c r="K1" s="129"/>
      <c r="L1" s="127"/>
      <c r="M1" s="127"/>
      <c r="N1" s="127"/>
      <c r="O1" s="151" t="s">
        <v>1215</v>
      </c>
      <c r="P1" s="151">
        <f>COUNTIFS(Q15:Q1000,"*RVC*")</f>
        <v>0</v>
      </c>
      <c r="Q1" s="151" t="s">
        <v>895</v>
      </c>
      <c r="R1" s="151">
        <f>COUNTIFS(Q15:Q1000,"*GCS*")</f>
        <v>11</v>
      </c>
      <c r="S1" s="151" t="s">
        <v>1215</v>
      </c>
      <c r="T1" s="151">
        <f>COUNTIFS(U15:U1000,"*RVC*")</f>
        <v>0</v>
      </c>
      <c r="U1" s="151" t="s">
        <v>895</v>
      </c>
      <c r="V1" s="151">
        <f>COUNTIFS(U15:U1000,"*GCS*")</f>
        <v>11</v>
      </c>
      <c r="W1" s="151" t="s">
        <v>1215</v>
      </c>
      <c r="X1" s="151">
        <f>COUNTIFS(Y15:Y1000,"*RVC*")</f>
        <v>0</v>
      </c>
      <c r="Y1" s="151" t="s">
        <v>895</v>
      </c>
      <c r="Z1" s="151">
        <f>COUNTIFS(Y15:Y1000,"*GCS*")</f>
        <v>0</v>
      </c>
      <c r="AA1" s="151" t="s">
        <v>1215</v>
      </c>
      <c r="AB1" s="151">
        <f>COUNTIFS(AC15:AC1000,"*RVC*")</f>
        <v>0</v>
      </c>
      <c r="AC1" s="151" t="s">
        <v>895</v>
      </c>
      <c r="AD1" s="151">
        <f>COUNTIFS(AC15:AC1000,"*GCS*")</f>
        <v>0</v>
      </c>
      <c r="AE1" s="151" t="s">
        <v>1215</v>
      </c>
      <c r="AF1" s="151">
        <f>COUNTIFS(AG15:AG1000,"*RVC*")</f>
        <v>0</v>
      </c>
      <c r="AG1" s="151" t="s">
        <v>895</v>
      </c>
      <c r="AH1" s="151">
        <f>COUNTIFS(AG15:AG1000,"*GCS*")</f>
        <v>0</v>
      </c>
      <c r="AI1" s="127"/>
      <c r="AJ1" s="152"/>
    </row>
    <row r="2" spans="1:44" s="146" customFormat="1" ht="16.5" customHeight="1" outlineLevel="1">
      <c r="A2" s="153"/>
      <c r="B2" s="153" t="s">
        <v>425</v>
      </c>
      <c r="C2" s="145">
        <f>SUM(COUNTIF($L$15:$L$1000,{"*Ju*","*RCP*"}))</f>
        <v>0</v>
      </c>
      <c r="D2" s="99" t="s">
        <v>1223</v>
      </c>
      <c r="E2" s="100">
        <f>COUNTIF($L$15:$L$1000,D2)</f>
        <v>0</v>
      </c>
      <c r="F2" s="145"/>
      <c r="G2" s="145"/>
      <c r="H2" s="145"/>
      <c r="I2" s="145"/>
      <c r="J2" s="145"/>
      <c r="L2" s="154"/>
      <c r="M2" s="145"/>
      <c r="N2" s="145"/>
      <c r="O2" s="155"/>
      <c r="P2" s="156" t="s">
        <v>439</v>
      </c>
      <c r="Q2" s="156" t="s">
        <v>425</v>
      </c>
      <c r="R2" s="157" t="s">
        <v>438</v>
      </c>
      <c r="S2" s="155"/>
      <c r="T2" s="156" t="s">
        <v>439</v>
      </c>
      <c r="U2" s="156" t="s">
        <v>425</v>
      </c>
      <c r="V2" s="157" t="s">
        <v>438</v>
      </c>
      <c r="W2" s="155"/>
      <c r="X2" s="156" t="s">
        <v>439</v>
      </c>
      <c r="Y2" s="156" t="s">
        <v>425</v>
      </c>
      <c r="Z2" s="157" t="s">
        <v>438</v>
      </c>
      <c r="AA2" s="155"/>
      <c r="AB2" s="156" t="s">
        <v>439</v>
      </c>
      <c r="AC2" s="156" t="s">
        <v>425</v>
      </c>
      <c r="AD2" s="157" t="s">
        <v>438</v>
      </c>
      <c r="AE2" s="155"/>
      <c r="AF2" s="156" t="s">
        <v>439</v>
      </c>
      <c r="AG2" s="156" t="s">
        <v>425</v>
      </c>
      <c r="AH2" s="157" t="s">
        <v>438</v>
      </c>
      <c r="AI2" s="118" t="s">
        <v>1240</v>
      </c>
      <c r="AJ2" s="119" t="s">
        <v>423</v>
      </c>
      <c r="AK2" s="118" t="s">
        <v>1241</v>
      </c>
      <c r="AM2" s="158" t="s">
        <v>1264</v>
      </c>
      <c r="AN2" s="159">
        <f>Summary!P2</f>
        <v>1</v>
      </c>
      <c r="AO2" s="118" t="s">
        <v>1265</v>
      </c>
      <c r="AP2" s="118" t="s">
        <v>1266</v>
      </c>
      <c r="AQ2" s="118" t="s">
        <v>1267</v>
      </c>
      <c r="AR2" s="118" t="s">
        <v>1258</v>
      </c>
    </row>
    <row r="3" spans="1:44" s="146" customFormat="1" ht="16.5" customHeight="1" outlineLevel="1">
      <c r="A3" s="153"/>
      <c r="B3" s="153" t="s">
        <v>438</v>
      </c>
      <c r="C3" s="145">
        <f>C1-C2</f>
        <v>11</v>
      </c>
      <c r="D3" s="160"/>
      <c r="E3" s="148"/>
      <c r="F3" s="161"/>
      <c r="G3" s="161"/>
      <c r="H3" s="142" t="s">
        <v>1258</v>
      </c>
      <c r="I3" s="143" t="s">
        <v>1259</v>
      </c>
      <c r="J3" s="144" t="s">
        <v>1240</v>
      </c>
      <c r="L3" s="162"/>
      <c r="M3" s="163" t="s">
        <v>1215</v>
      </c>
      <c r="N3" s="163">
        <f>COUNTIFS($N$15:$N$1000,"*RVC*")</f>
        <v>0</v>
      </c>
      <c r="O3" s="164" t="s">
        <v>437</v>
      </c>
      <c r="P3" s="165">
        <f>SUM(Q3:R3)</f>
        <v>11</v>
      </c>
      <c r="Q3" s="166">
        <f>SUM(Q4:Q5)</f>
        <v>0</v>
      </c>
      <c r="R3" s="167">
        <f>SUM(R4:R5)</f>
        <v>11</v>
      </c>
      <c r="S3" s="164" t="s">
        <v>437</v>
      </c>
      <c r="T3" s="165">
        <f>SUM(U3:V3)</f>
        <v>11</v>
      </c>
      <c r="U3" s="166">
        <f>SUM(U4:U5)</f>
        <v>0</v>
      </c>
      <c r="V3" s="167">
        <f>SUM(V4:V5)</f>
        <v>11</v>
      </c>
      <c r="W3" s="164" t="s">
        <v>437</v>
      </c>
      <c r="X3" s="165">
        <f>SUM(Y3:Z3)</f>
        <v>0</v>
      </c>
      <c r="Y3" s="166">
        <f>SUM(Y4:Y5)</f>
        <v>0</v>
      </c>
      <c r="Z3" s="167">
        <f>SUM(Z4:Z5)</f>
        <v>0</v>
      </c>
      <c r="AA3" s="164" t="s">
        <v>437</v>
      </c>
      <c r="AB3" s="165">
        <f>SUM(AC3:AD3)</f>
        <v>0</v>
      </c>
      <c r="AC3" s="166">
        <f>SUM(AC4:AC5)</f>
        <v>0</v>
      </c>
      <c r="AD3" s="167">
        <f>SUM(AD4:AD5)</f>
        <v>0</v>
      </c>
      <c r="AE3" s="164" t="s">
        <v>437</v>
      </c>
      <c r="AF3" s="165">
        <f>SUM(AG3:AH3)</f>
        <v>0</v>
      </c>
      <c r="AG3" s="166">
        <f>SUM(AG4:AG5)</f>
        <v>0</v>
      </c>
      <c r="AH3" s="168">
        <f>SUM(AH4:AH5)</f>
        <v>0</v>
      </c>
      <c r="AI3" s="120">
        <f ca="1">SUMIFS($AI$15:$AI$1500,$L$15:$L$1500,"*Manual*", INDIRECT(VLOOKUP($AN$2,$AM$3:$AN$7,2,FALSE)),"*"&amp;AJ3&amp;"*")</f>
        <v>0</v>
      </c>
      <c r="AJ3" s="120" t="s">
        <v>1242</v>
      </c>
      <c r="AK3" s="121">
        <f ca="1">COUNTIFS($L$15:$L$1500, "*Manual*", INDIRECT(VLOOKUP($AN$2,$AM$3:$AN$7,2,FALSE)),  "*"&amp;AJ3&amp;"*")</f>
        <v>0</v>
      </c>
      <c r="AM3" s="141">
        <v>1</v>
      </c>
      <c r="AN3" s="141" t="s">
        <v>1268</v>
      </c>
      <c r="AO3" s="141">
        <f ca="1">SUMIFS($AI$15:$AI$1500,$L$15:$L$1500,"*Manual*", INDIRECT(AN3),"&lt;&gt;"&amp;"")</f>
        <v>0</v>
      </c>
      <c r="AP3" s="141">
        <f ca="1">COUNTIFS($L$15:$L$1500,"*Manual*",INDIRECT(AN3),"&lt;&gt;"&amp;"")</f>
        <v>11</v>
      </c>
      <c r="AQ3" s="141">
        <f ca="1">IFERROR(AO3/AP3,0)</f>
        <v>0</v>
      </c>
      <c r="AR3" s="141" t="str">
        <f ca="1">IF(AQ3&gt;0,IF(AQ3&gt;=14,"D",IF(AQ3&gt;=8,"N","E")),"NOT-YET")</f>
        <v>NOT-YET</v>
      </c>
    </row>
    <row r="4" spans="1:44" s="146" customFormat="1" ht="16.5" customHeight="1" outlineLevel="1">
      <c r="C4" s="145"/>
      <c r="D4" s="160"/>
      <c r="E4" s="148"/>
      <c r="H4" s="145" t="s">
        <v>1260</v>
      </c>
      <c r="I4" s="146">
        <f ca="1">COUNTIFS($L$15:$L$1500,"*Manual*",INDIRECT(VLOOKUP($AN$2,$AM$3:$AN$7,2,FALSE)),  "&lt;&gt;"&amp;"", $AI$15:$AI$1500,"*"&amp;H4&amp;"*")</f>
        <v>0</v>
      </c>
      <c r="J4" s="147">
        <f ca="1">SUMIFS($AI$15:$AI$1500,$L$15:$L$1500,"*Manual*", INDIRECT(VLOOKUP($AN$2,$AM$3:$AN$7,2,FALSE)),"&lt;&gt;"&amp;"",$AJ$15:$AJ$1500,"*"&amp;H4&amp;"*")</f>
        <v>0</v>
      </c>
      <c r="M4" s="163" t="s">
        <v>895</v>
      </c>
      <c r="N4" s="163">
        <f>COUNTIFS($N$15:$N$1000,"*GCS*")</f>
        <v>11</v>
      </c>
      <c r="O4" s="169" t="s">
        <v>0</v>
      </c>
      <c r="P4" s="170">
        <f>COUNTIF(O$15:O$1000,O4)</f>
        <v>11</v>
      </c>
      <c r="Q4" s="166">
        <f>SUM(COUNTIFS(Q$15:Q$2500,{"*Ju*","*RCP*"},O$15:O$2500,O4))</f>
        <v>0</v>
      </c>
      <c r="R4" s="171">
        <f>P4-Q4</f>
        <v>11</v>
      </c>
      <c r="S4" s="169" t="s">
        <v>0</v>
      </c>
      <c r="T4" s="170">
        <f>COUNTIF(S$15:S$1000,S4)</f>
        <v>11</v>
      </c>
      <c r="U4" s="166">
        <f>SUM(COUNTIFS(U$15:U$2500,{"*Ju*","*RCP*"},S$15:S$2500,S4))</f>
        <v>0</v>
      </c>
      <c r="V4" s="171">
        <f>T4-U4</f>
        <v>11</v>
      </c>
      <c r="W4" s="169" t="s">
        <v>0</v>
      </c>
      <c r="X4" s="170">
        <f>COUNTIF(W$15:W$1000,W4)</f>
        <v>0</v>
      </c>
      <c r="Y4" s="166">
        <f>SUM(COUNTIFS(Y$15:Y$2500,{"*Ju*","*RCP*"},W$15:W$2500,W4))</f>
        <v>0</v>
      </c>
      <c r="Z4" s="171">
        <f>X4-Y4</f>
        <v>0</v>
      </c>
      <c r="AA4" s="169" t="s">
        <v>0</v>
      </c>
      <c r="AB4" s="170">
        <f>COUNTIF(AA$15:AA$1000,AA4)</f>
        <v>0</v>
      </c>
      <c r="AC4" s="166">
        <f>SUM(COUNTIFS(AC$15:AC$2500,{"*Ju*","*RCP*"},AA$15:AA$2500,AA4))</f>
        <v>0</v>
      </c>
      <c r="AD4" s="171">
        <f>AB4-AC4</f>
        <v>0</v>
      </c>
      <c r="AE4" s="169" t="s">
        <v>0</v>
      </c>
      <c r="AF4" s="170">
        <f>COUNTIF(AE$15:AE$1000,AE4)</f>
        <v>0</v>
      </c>
      <c r="AG4" s="166">
        <f>SUM(COUNTIFS(AG$15:AG$2500,{"*Ju*","*RCP*"},AE$15:AE$2500,AE4))</f>
        <v>0</v>
      </c>
      <c r="AH4" s="172">
        <f>AF4-AG4</f>
        <v>0</v>
      </c>
      <c r="AI4" s="120">
        <f t="shared" ref="AI4:AI8" ca="1" si="0">SUMIFS($AI$15:$AI$1500,$L$15:$L$1500,"*Manual*", INDIRECT(VLOOKUP($AN$2,$AM$3:$AN$7,2,FALSE)),"*"&amp;AJ4&amp;"*")</f>
        <v>0</v>
      </c>
      <c r="AJ4" s="120" t="s">
        <v>1243</v>
      </c>
      <c r="AK4" s="121">
        <f t="shared" ref="AK4:AK9" ca="1" si="1">COUNTIFS($L$15:$L$1500, "*Manual*", INDIRECT(VLOOKUP($AN$2,$AM$3:$AN$7,2,FALSE)),  "*"&amp;AJ4&amp;"*")</f>
        <v>0</v>
      </c>
      <c r="AM4" s="141">
        <v>2</v>
      </c>
      <c r="AN4" s="141" t="s">
        <v>1269</v>
      </c>
      <c r="AO4" s="141">
        <f t="shared" ref="AO4:AO7" ca="1" si="2">SUMIFS($AI$15:$AI$1500,$L$15:$L$1500,"*Manual*", INDIRECT(AN4),"&lt;&gt;"&amp;"")</f>
        <v>0</v>
      </c>
      <c r="AP4" s="141">
        <f t="shared" ref="AP4:AP7" ca="1" si="3">COUNTIFS($L$15:$L$1500,"*Manual*",INDIRECT(AN4),"&lt;&gt;"&amp;"")</f>
        <v>11</v>
      </c>
      <c r="AQ4" s="141">
        <f t="shared" ref="AQ4:AQ7" ca="1" si="4">IFERROR(AO4/AP4,0)</f>
        <v>0</v>
      </c>
      <c r="AR4" s="141" t="str">
        <f t="shared" ref="AR4:AR7" ca="1" si="5">IF(AQ4&gt;0,IF(AQ4&gt;=14,"D",IF(AQ4&gt;=8,"N","E")),"NOT-YET")</f>
        <v>NOT-YET</v>
      </c>
    </row>
    <row r="5" spans="1:44" s="146" customFormat="1" ht="16.5" customHeight="1" outlineLevel="1">
      <c r="C5" s="145"/>
      <c r="D5" s="160"/>
      <c r="E5" s="148"/>
      <c r="H5" s="145" t="s">
        <v>1261</v>
      </c>
      <c r="I5" s="146">
        <f t="shared" ref="I5:I6" ca="1" si="6">COUNTIFS($L$15:$L$1500,"*Manual*",INDIRECT(VLOOKUP($AN$2,$AM$3:$AN$7,2,FALSE)),  "&lt;&gt;"&amp;"", $AI$15:$AI$1500,"*"&amp;H5&amp;"*")</f>
        <v>0</v>
      </c>
      <c r="J5" s="147">
        <f t="shared" ref="J5:J6" ca="1" si="7">SUMIFS($AI$15:$AI$1500,$L$15:$L$1500,"*Manual*", INDIRECT(VLOOKUP($AN$2,$AM$3:$AN$7,2,FALSE)),"&lt;&gt;"&amp;"",$AJ$15:$AJ$1500,"*"&amp;H5&amp;"*")</f>
        <v>0</v>
      </c>
      <c r="K5" s="148"/>
      <c r="M5" s="101" t="s">
        <v>0</v>
      </c>
      <c r="N5" s="101">
        <f>COUNTIFS($M$15:$M$1000,"*Pass*")</f>
        <v>11</v>
      </c>
      <c r="O5" s="173" t="s">
        <v>436</v>
      </c>
      <c r="P5" s="174">
        <f>SUM(P6:P9)</f>
        <v>0</v>
      </c>
      <c r="Q5" s="166">
        <f>SUM(Q6:Q9)</f>
        <v>0</v>
      </c>
      <c r="R5" s="171">
        <f>SUM(R6:R9)</f>
        <v>0</v>
      </c>
      <c r="S5" s="173" t="s">
        <v>436</v>
      </c>
      <c r="T5" s="174">
        <f>SUM(T6:T9)</f>
        <v>0</v>
      </c>
      <c r="U5" s="166">
        <f>SUM(U6:U9)</f>
        <v>0</v>
      </c>
      <c r="V5" s="171">
        <f>SUM(V6:V9)</f>
        <v>0</v>
      </c>
      <c r="W5" s="173" t="s">
        <v>436</v>
      </c>
      <c r="X5" s="174">
        <f>SUM(X6:X9)</f>
        <v>0</v>
      </c>
      <c r="Y5" s="166">
        <f>SUM(Y6:Y9)</f>
        <v>0</v>
      </c>
      <c r="Z5" s="171">
        <f>SUM(Z6:Z9)</f>
        <v>0</v>
      </c>
      <c r="AA5" s="173" t="s">
        <v>436</v>
      </c>
      <c r="AB5" s="174">
        <f>SUM(AB6:AB9)</f>
        <v>0</v>
      </c>
      <c r="AC5" s="166">
        <f>SUM(AC6:AC9)</f>
        <v>0</v>
      </c>
      <c r="AD5" s="171">
        <f>SUM(AD6:AD9)</f>
        <v>0</v>
      </c>
      <c r="AE5" s="173" t="s">
        <v>436</v>
      </c>
      <c r="AF5" s="174">
        <f>SUM(AF6:AF9)</f>
        <v>0</v>
      </c>
      <c r="AG5" s="166">
        <f>SUM(AG6:AG9)</f>
        <v>0</v>
      </c>
      <c r="AH5" s="172">
        <f>SUM(AH6:AH9)</f>
        <v>0</v>
      </c>
      <c r="AI5" s="120">
        <f t="shared" ca="1" si="0"/>
        <v>0</v>
      </c>
      <c r="AJ5" s="120" t="s">
        <v>1244</v>
      </c>
      <c r="AK5" s="121">
        <f t="shared" ca="1" si="1"/>
        <v>11</v>
      </c>
      <c r="AM5" s="141">
        <v>3</v>
      </c>
      <c r="AN5" s="141" t="s">
        <v>1270</v>
      </c>
      <c r="AO5" s="141">
        <f t="shared" ca="1" si="2"/>
        <v>0</v>
      </c>
      <c r="AP5" s="141">
        <f t="shared" ca="1" si="3"/>
        <v>0</v>
      </c>
      <c r="AQ5" s="141">
        <f t="shared" ca="1" si="4"/>
        <v>0</v>
      </c>
      <c r="AR5" s="141" t="str">
        <f t="shared" ca="1" si="5"/>
        <v>NOT-YET</v>
      </c>
    </row>
    <row r="6" spans="1:44" s="146" customFormat="1" ht="16.5" customHeight="1" outlineLevel="1">
      <c r="A6" s="175" t="s">
        <v>1224</v>
      </c>
      <c r="C6" s="145">
        <f>COUNTIF($K$15:$K$1000,"5.3")</f>
        <v>0</v>
      </c>
      <c r="D6" s="145"/>
      <c r="E6" s="160"/>
      <c r="H6" s="145" t="s">
        <v>1262</v>
      </c>
      <c r="I6" s="146">
        <f t="shared" ca="1" si="6"/>
        <v>0</v>
      </c>
      <c r="J6" s="147">
        <f t="shared" ca="1" si="7"/>
        <v>0</v>
      </c>
      <c r="K6" s="148"/>
      <c r="M6" s="101" t="s">
        <v>436</v>
      </c>
      <c r="N6" s="101">
        <f>COUNTIFS($M$15:$M$1000,"*Fail*")</f>
        <v>0</v>
      </c>
      <c r="O6" s="173" t="s">
        <v>435</v>
      </c>
      <c r="P6" s="174">
        <f>COUNTIF(O$15:O$1000,"*"&amp;O6&amp;"*")</f>
        <v>0</v>
      </c>
      <c r="Q6" s="166">
        <f>SUM(COUNTIFS(Q$15:Q$2500,{"*Ju*","*RCP*"},O$15:O$2500,O6))</f>
        <v>0</v>
      </c>
      <c r="R6" s="171">
        <f>P6-Q6</f>
        <v>0</v>
      </c>
      <c r="S6" s="173" t="s">
        <v>435</v>
      </c>
      <c r="T6" s="174">
        <f>COUNTIF(S$15:S$1000,"*"&amp;S6&amp;"*")</f>
        <v>0</v>
      </c>
      <c r="U6" s="166">
        <f>SUM(COUNTIFS(U$15:U$2500,{"*Ju*","*RCP*"},S$15:S$2500,S6))</f>
        <v>0</v>
      </c>
      <c r="V6" s="171">
        <f>T6-U6</f>
        <v>0</v>
      </c>
      <c r="W6" s="173" t="s">
        <v>435</v>
      </c>
      <c r="X6" s="174">
        <f>COUNTIF(W$15:W$1000,"*"&amp;W6&amp;"*")</f>
        <v>0</v>
      </c>
      <c r="Y6" s="166">
        <f>SUM(COUNTIFS(Y$15:Y$2500,{"*Ju*","*RCP*"},W$15:W$2500,W6))</f>
        <v>0</v>
      </c>
      <c r="Z6" s="171">
        <f>X6-Y6</f>
        <v>0</v>
      </c>
      <c r="AA6" s="173" t="s">
        <v>435</v>
      </c>
      <c r="AB6" s="174">
        <f>COUNTIF(AA$15:AA$1000,"*"&amp;AA6&amp;"*")</f>
        <v>0</v>
      </c>
      <c r="AC6" s="166">
        <f>SUM(COUNTIFS(AC$15:AC$2500,{"*Ju*","*RCP*"},AA$15:AA$2500,AA6))</f>
        <v>0</v>
      </c>
      <c r="AD6" s="171">
        <f>AB6-AC6</f>
        <v>0</v>
      </c>
      <c r="AE6" s="173" t="s">
        <v>435</v>
      </c>
      <c r="AF6" s="174">
        <f>COUNTIF(AE$15:AE$1000,"*"&amp;AE6&amp;"*")</f>
        <v>0</v>
      </c>
      <c r="AG6" s="166">
        <f>SUM(COUNTIFS(AG$15:AG$2500,{"*Ju*","*RCP*"},AE$15:AE$2500,AE6))</f>
        <v>0</v>
      </c>
      <c r="AH6" s="172">
        <f>AF6-AG6</f>
        <v>0</v>
      </c>
      <c r="AI6" s="120">
        <f t="shared" ca="1" si="0"/>
        <v>0</v>
      </c>
      <c r="AJ6" s="120" t="s">
        <v>1245</v>
      </c>
      <c r="AK6" s="121">
        <f t="shared" ca="1" si="1"/>
        <v>0</v>
      </c>
      <c r="AM6" s="141">
        <v>4</v>
      </c>
      <c r="AN6" s="141" t="s">
        <v>1271</v>
      </c>
      <c r="AO6" s="141">
        <f t="shared" ca="1" si="2"/>
        <v>0</v>
      </c>
      <c r="AP6" s="141">
        <f t="shared" ca="1" si="3"/>
        <v>0</v>
      </c>
      <c r="AQ6" s="141">
        <f ca="1">IFERROR(AO6/AP6,0)</f>
        <v>0</v>
      </c>
      <c r="AR6" s="141" t="str">
        <f t="shared" ca="1" si="5"/>
        <v>NOT-YET</v>
      </c>
    </row>
    <row r="7" spans="1:44" s="146" customFormat="1" ht="16.5" customHeight="1" outlineLevel="1">
      <c r="C7" s="145"/>
      <c r="D7" s="145"/>
      <c r="E7" s="160"/>
      <c r="H7" s="145"/>
      <c r="I7" s="148"/>
      <c r="K7" s="148"/>
      <c r="M7" s="101" t="s">
        <v>1225</v>
      </c>
      <c r="N7" s="101">
        <f>COUNTIFS($M$15:$M$1000,"*Skip*")</f>
        <v>0</v>
      </c>
      <c r="O7" s="173" t="s">
        <v>283</v>
      </c>
      <c r="P7" s="174">
        <f>COUNTIF(O$15:O$1000,"*"&amp;O7&amp;"*")</f>
        <v>0</v>
      </c>
      <c r="Q7" s="166">
        <f>SUM(COUNTIFS(Q$15:Q$2500,{"*Ju*","*RCP*"},O$15:O$2500,O7))</f>
        <v>0</v>
      </c>
      <c r="R7" s="171">
        <f>P7-Q7</f>
        <v>0</v>
      </c>
      <c r="S7" s="173" t="s">
        <v>283</v>
      </c>
      <c r="T7" s="174">
        <f>COUNTIF(S$15:S$1000,"*"&amp;S7&amp;"*")</f>
        <v>0</v>
      </c>
      <c r="U7" s="166">
        <f>SUM(COUNTIFS(U$15:U$2500,{"*Ju*","*RCP*"},S$15:S$2500,S7))</f>
        <v>0</v>
      </c>
      <c r="V7" s="171">
        <f>T7-U7</f>
        <v>0</v>
      </c>
      <c r="W7" s="173" t="s">
        <v>283</v>
      </c>
      <c r="X7" s="174">
        <f>COUNTIF(W$15:W$1000,"*"&amp;W7&amp;"*")</f>
        <v>0</v>
      </c>
      <c r="Y7" s="166">
        <f>SUM(COUNTIFS(Y$15:Y$2500,{"*Ju*","*RCP*"},W$15:W$2500,W7))</f>
        <v>0</v>
      </c>
      <c r="Z7" s="171">
        <f>X7-Y7</f>
        <v>0</v>
      </c>
      <c r="AA7" s="173" t="s">
        <v>283</v>
      </c>
      <c r="AB7" s="174">
        <f>COUNTIF(AA$15:AA$1000,"*"&amp;AA7&amp;"*")</f>
        <v>0</v>
      </c>
      <c r="AC7" s="166">
        <f>SUM(COUNTIFS(AC$15:AC$2500,{"*Ju*","*RCP*"},AA$15:AA$2500,AA7))</f>
        <v>0</v>
      </c>
      <c r="AD7" s="171">
        <f>AB7-AC7</f>
        <v>0</v>
      </c>
      <c r="AE7" s="173" t="s">
        <v>283</v>
      </c>
      <c r="AF7" s="174">
        <f>COUNTIF(AE$15:AE$1000,"*"&amp;AE7&amp;"*")</f>
        <v>0</v>
      </c>
      <c r="AG7" s="166">
        <f>SUM(COUNTIFS(AG$15:AG$2500,{"*Ju*","*RCP*"},AE$15:AE$2500,AE7))</f>
        <v>0</v>
      </c>
      <c r="AH7" s="172">
        <f>AF7-AG7</f>
        <v>0</v>
      </c>
      <c r="AI7" s="120">
        <f t="shared" ca="1" si="0"/>
        <v>0</v>
      </c>
      <c r="AJ7" s="120" t="s">
        <v>1246</v>
      </c>
      <c r="AK7" s="121">
        <f t="shared" ca="1" si="1"/>
        <v>0</v>
      </c>
      <c r="AM7" s="141">
        <v>5</v>
      </c>
      <c r="AN7" s="141" t="s">
        <v>1272</v>
      </c>
      <c r="AO7" s="141">
        <f t="shared" ca="1" si="2"/>
        <v>0</v>
      </c>
      <c r="AP7" s="141">
        <f t="shared" ca="1" si="3"/>
        <v>0</v>
      </c>
      <c r="AQ7" s="141">
        <f t="shared" ca="1" si="4"/>
        <v>0</v>
      </c>
      <c r="AR7" s="141" t="str">
        <f t="shared" ca="1" si="5"/>
        <v>NOT-YET</v>
      </c>
    </row>
    <row r="8" spans="1:44" s="146" customFormat="1" ht="16.5" customHeight="1" outlineLevel="1">
      <c r="C8" s="145"/>
      <c r="D8" s="145"/>
      <c r="E8" s="160"/>
      <c r="H8" s="122" t="s">
        <v>1263</v>
      </c>
      <c r="I8" s="146">
        <f ca="1">COUNTIFS($L$15:$L$1500,"*Manual*",INDIRECT(VLOOKUP($AN$2,$AM$3:$AN$7,2,FALSE)),  "&lt;&gt;"&amp;"", $AI$15:$AI$1500,"&gt;=60")</f>
        <v>0</v>
      </c>
      <c r="J8" s="147">
        <f ca="1">SUMIFS($AI$15:$AI$1500,$L$15:$L$1500,"*Manual*", INDIRECT(VLOOKUP($AN$2,$AM$3:$AN$7,2,FALSE)),"&lt;&gt;"&amp;"",$AI$15:$AI$1500,"&gt;=60")</f>
        <v>0</v>
      </c>
      <c r="K8" s="148"/>
      <c r="O8" s="173" t="s">
        <v>434</v>
      </c>
      <c r="P8" s="174">
        <f>COUNTIF(O$15:O$1000,"*"&amp;O8&amp;"*")</f>
        <v>0</v>
      </c>
      <c r="Q8" s="166">
        <f>SUM(COUNTIFS(Q$15:Q$2500,{"*Ju*","*RCP*"},O$15:O$2500,O8))</f>
        <v>0</v>
      </c>
      <c r="R8" s="171">
        <f>P8-Q8</f>
        <v>0</v>
      </c>
      <c r="S8" s="173" t="s">
        <v>434</v>
      </c>
      <c r="T8" s="174">
        <f>COUNTIF(S$15:S$1000,"*"&amp;S8&amp;"*")</f>
        <v>0</v>
      </c>
      <c r="U8" s="166">
        <f>SUM(COUNTIFS(U$15:U$2500,{"*Ju*","*RCP*"},S$15:S$2500,S8))</f>
        <v>0</v>
      </c>
      <c r="V8" s="171">
        <f>T8-U8</f>
        <v>0</v>
      </c>
      <c r="W8" s="173" t="s">
        <v>434</v>
      </c>
      <c r="X8" s="174">
        <f>COUNTIF(W$15:W$1000,"*"&amp;W8&amp;"*")</f>
        <v>0</v>
      </c>
      <c r="Y8" s="166">
        <f>SUM(COUNTIFS(Y$15:Y$2500,{"*Ju*","*RCP*"},W$15:W$2500,W8))</f>
        <v>0</v>
      </c>
      <c r="Z8" s="171">
        <f>X8-Y8</f>
        <v>0</v>
      </c>
      <c r="AA8" s="173" t="s">
        <v>434</v>
      </c>
      <c r="AB8" s="174">
        <f>COUNTIF(AA$15:AA$1000,"*"&amp;AA8&amp;"*")</f>
        <v>0</v>
      </c>
      <c r="AC8" s="166">
        <f>SUM(COUNTIFS(AC$15:AC$2500,{"*Ju*","*RCP*"},AA$15:AA$2500,AA8))</f>
        <v>0</v>
      </c>
      <c r="AD8" s="171">
        <f>AB8-AC8</f>
        <v>0</v>
      </c>
      <c r="AE8" s="173" t="s">
        <v>434</v>
      </c>
      <c r="AF8" s="174">
        <f>COUNTIF(AE$15:AE$1000,"*"&amp;AE8&amp;"*")</f>
        <v>0</v>
      </c>
      <c r="AG8" s="166">
        <f>SUM(COUNTIFS(AG$15:AG$2500,{"*Ju*","*RCP*"},AE$15:AE$2500,AE8))</f>
        <v>0</v>
      </c>
      <c r="AH8" s="172">
        <f>AF8-AG8</f>
        <v>0</v>
      </c>
      <c r="AI8" s="120">
        <f t="shared" ca="1" si="0"/>
        <v>0</v>
      </c>
      <c r="AJ8" s="120" t="s">
        <v>1276</v>
      </c>
      <c r="AK8" s="121">
        <f t="shared" ca="1" si="1"/>
        <v>0</v>
      </c>
      <c r="AO8" s="176"/>
    </row>
    <row r="9" spans="1:44" s="146" customFormat="1" ht="16.5" customHeight="1" outlineLevel="1">
      <c r="C9" s="145"/>
      <c r="D9" s="145"/>
      <c r="E9" s="160"/>
      <c r="I9" s="161"/>
      <c r="J9" s="145"/>
      <c r="K9" s="148"/>
      <c r="O9" s="173" t="s">
        <v>18</v>
      </c>
      <c r="P9" s="174">
        <f>COUNTIF(O$15:O$1000,"*"&amp;O9&amp;"*")</f>
        <v>0</v>
      </c>
      <c r="Q9" s="166">
        <f>SUM(COUNTIFS(Q$15:Q$2500,{"*Ju*","*RCP*"},O$15:O$2500,O9))</f>
        <v>0</v>
      </c>
      <c r="R9" s="171">
        <f>P9-Q9</f>
        <v>0</v>
      </c>
      <c r="S9" s="173" t="s">
        <v>18</v>
      </c>
      <c r="T9" s="174">
        <f>COUNTIF(S$15:S$1000,"*"&amp;S9&amp;"*")</f>
        <v>0</v>
      </c>
      <c r="U9" s="166">
        <f>SUM(COUNTIFS(U$15:U$2500,{"*Ju*","*RCP*"},S$15:S$2500,S9))</f>
        <v>0</v>
      </c>
      <c r="V9" s="171">
        <f>T9-U9</f>
        <v>0</v>
      </c>
      <c r="W9" s="173" t="s">
        <v>18</v>
      </c>
      <c r="X9" s="174">
        <f>COUNTIF(W$15:W$1000,"*"&amp;W9&amp;"*")</f>
        <v>0</v>
      </c>
      <c r="Y9" s="166">
        <f>SUM(COUNTIFS(Y$15:Y$2500,{"*Ju*","*RCP*"},W$15:W$2500,W9))</f>
        <v>0</v>
      </c>
      <c r="Z9" s="171">
        <f>X9-Y9</f>
        <v>0</v>
      </c>
      <c r="AA9" s="173" t="s">
        <v>18</v>
      </c>
      <c r="AB9" s="174">
        <f>COUNTIF(AA$15:AA$1000,"*"&amp;AA9&amp;"*")</f>
        <v>0</v>
      </c>
      <c r="AC9" s="166">
        <f>SUM(COUNTIFS(AC$15:AC$2500,{"*Ju*","*RCP*"},AA$15:AA$2500,AA9))</f>
        <v>0</v>
      </c>
      <c r="AD9" s="171">
        <f>AB9-AC9</f>
        <v>0</v>
      </c>
      <c r="AE9" s="173" t="s">
        <v>18</v>
      </c>
      <c r="AF9" s="174">
        <f>COUNTIF(AE$15:AE$1000,"*"&amp;AE9&amp;"*")</f>
        <v>0</v>
      </c>
      <c r="AG9" s="166">
        <f>SUM(COUNTIFS(AG$15:AG$2500,{"*Ju*","*RCP*"},AE$15:AE$2500,AE9))</f>
        <v>0</v>
      </c>
      <c r="AH9" s="172">
        <f>AF9-AG9</f>
        <v>0</v>
      </c>
      <c r="AI9" s="120">
        <f ca="1">SUMIFS($AI$15:$AI$1500,$L$15:$L$1500,"*Manual*", INDIRECT(VLOOKUP($AN$2,$AM$3:$AN$7,2,FALSE)),"*"&amp;AJ9&amp;"*")</f>
        <v>0</v>
      </c>
      <c r="AJ9" s="120" t="s">
        <v>1277</v>
      </c>
      <c r="AK9" s="121">
        <f t="shared" ca="1" si="1"/>
        <v>0</v>
      </c>
      <c r="AM9" s="177"/>
      <c r="AN9" s="177"/>
    </row>
    <row r="10" spans="1:44" s="146" customFormat="1" ht="16.5" customHeight="1" outlineLevel="1" thickBot="1">
      <c r="C10" s="145"/>
      <c r="D10" s="145"/>
      <c r="E10" s="160"/>
      <c r="I10" s="161"/>
      <c r="J10" s="145"/>
      <c r="K10" s="148"/>
      <c r="O10" s="178" t="s">
        <v>1278</v>
      </c>
      <c r="P10" s="179">
        <f>COUNTIF(O$15:O$1000,"*"&amp;O10&amp;"*")</f>
        <v>0</v>
      </c>
      <c r="Q10" s="166">
        <f>SUM(COUNTIFS(Q$15:Q$2500,{"*Ju*","*RCP*"},O$15:O$2500,O10))</f>
        <v>0</v>
      </c>
      <c r="R10" s="180">
        <f>P10-Q10</f>
        <v>0</v>
      </c>
      <c r="S10" s="178" t="s">
        <v>1278</v>
      </c>
      <c r="T10" s="179">
        <f>COUNTIF(S$15:S$1000,"*"&amp;S10&amp;"*")</f>
        <v>0</v>
      </c>
      <c r="U10" s="166">
        <f>SUM(COUNTIFS(U$15:U$2500,{"*Ju*","*RCP*"},S$15:S$2500,S10))</f>
        <v>0</v>
      </c>
      <c r="V10" s="180">
        <f>T10-U10</f>
        <v>0</v>
      </c>
      <c r="W10" s="178" t="s">
        <v>1278</v>
      </c>
      <c r="X10" s="179">
        <f>COUNTIF(W$15:W$1000,"*"&amp;W10&amp;"*")</f>
        <v>0</v>
      </c>
      <c r="Y10" s="166">
        <f>SUM(COUNTIFS(Y$15:Y$2500,{"*Ju*","*RCP*"},W$15:W$2500,W10))</f>
        <v>0</v>
      </c>
      <c r="Z10" s="180">
        <f>X10-Y10</f>
        <v>0</v>
      </c>
      <c r="AA10" s="178" t="s">
        <v>1278</v>
      </c>
      <c r="AB10" s="179">
        <f>COUNTIF(AA$15:AA$1000,"*"&amp;AA10&amp;"*")</f>
        <v>0</v>
      </c>
      <c r="AC10" s="166">
        <f>SUM(COUNTIFS(AC$15:AC$2500,{"*Ju*","*RCP*"},AA$15:AA$2500,AA10))</f>
        <v>0</v>
      </c>
      <c r="AD10" s="180">
        <f>AB10-AC10</f>
        <v>0</v>
      </c>
      <c r="AE10" s="178" t="s">
        <v>1278</v>
      </c>
      <c r="AF10" s="179">
        <f>COUNTIF(AE$15:AE$1000,"*"&amp;AE10&amp;"*")</f>
        <v>0</v>
      </c>
      <c r="AG10" s="166">
        <f>SUM(COUNTIFS(AG$15:AG$2500,{"*Ju*","*RCP*"},AE$15:AE$2500,AE10))</f>
        <v>0</v>
      </c>
      <c r="AH10" s="181">
        <f>AF10-AG10</f>
        <v>0</v>
      </c>
      <c r="AI10" s="182">
        <f ca="1">SUM(AI3:AI9)</f>
        <v>0</v>
      </c>
      <c r="AJ10" s="191">
        <f ca="1" xml:space="preserve"> IFERROR($AG$10/$AI$10,0)</f>
        <v>0</v>
      </c>
      <c r="AK10" s="183">
        <f ca="1">SUM(AK3:AK9)</f>
        <v>11</v>
      </c>
      <c r="AM10" s="147"/>
      <c r="AN10" s="147"/>
    </row>
    <row r="11" spans="1:44" s="128" customFormat="1" outlineLevel="1">
      <c r="A11" s="133"/>
      <c r="B11" s="133"/>
      <c r="C11" s="127"/>
      <c r="D11" s="127"/>
      <c r="E11" s="184"/>
      <c r="F11" s="185"/>
      <c r="G11" s="185"/>
      <c r="H11" s="185"/>
      <c r="I11" s="185"/>
      <c r="J11" s="127"/>
      <c r="K11" s="129"/>
      <c r="L11" s="185"/>
      <c r="M11" s="185"/>
      <c r="N11" s="185"/>
      <c r="O11" s="226">
        <v>1</v>
      </c>
      <c r="P11" s="226"/>
      <c r="Q11" s="226"/>
      <c r="R11" s="226"/>
      <c r="S11" s="226">
        <v>2</v>
      </c>
      <c r="T11" s="226"/>
      <c r="U11" s="226"/>
      <c r="V11" s="226"/>
      <c r="W11" s="226">
        <v>3</v>
      </c>
      <c r="X11" s="226"/>
      <c r="Y11" s="226"/>
      <c r="Z11" s="226"/>
      <c r="AA11" s="226">
        <v>4</v>
      </c>
      <c r="AB11" s="226"/>
      <c r="AC11" s="226"/>
      <c r="AD11" s="226"/>
      <c r="AE11" s="226">
        <v>5</v>
      </c>
      <c r="AF11" s="226"/>
      <c r="AG11" s="226"/>
      <c r="AH11" s="226"/>
      <c r="AI11" s="227" t="s">
        <v>1275</v>
      </c>
      <c r="AJ11" s="228"/>
      <c r="AM11" s="223" t="s">
        <v>1273</v>
      </c>
      <c r="AN11" s="224"/>
    </row>
    <row r="12" spans="1:44" s="128" customFormat="1" outlineLevel="1">
      <c r="C12" s="127"/>
      <c r="D12" s="127"/>
      <c r="E12" s="127"/>
      <c r="I12" s="185"/>
      <c r="O12" s="225" t="str">
        <f>Summary!R4</f>
        <v>e2studio_v5.4.0.001-Part1</v>
      </c>
      <c r="P12" s="225"/>
      <c r="Q12" s="225"/>
      <c r="R12" s="225"/>
      <c r="S12" s="225" t="str">
        <f>Summary!AM4</f>
        <v>e2studio_v5.4.0.005</v>
      </c>
      <c r="T12" s="225"/>
      <c r="U12" s="225"/>
      <c r="V12" s="225"/>
      <c r="W12" s="225" t="str">
        <f>Summary!BH4</f>
        <v>TBD</v>
      </c>
      <c r="X12" s="225"/>
      <c r="Y12" s="225"/>
      <c r="Z12" s="225"/>
      <c r="AA12" s="225" t="str">
        <f>Summary!CC4</f>
        <v>TBD</v>
      </c>
      <c r="AB12" s="225"/>
      <c r="AC12" s="225"/>
      <c r="AD12" s="225"/>
      <c r="AE12" s="225" t="str">
        <f>Summary!CX4</f>
        <v>TBD</v>
      </c>
      <c r="AF12" s="225"/>
      <c r="AG12" s="225"/>
      <c r="AH12" s="225"/>
      <c r="AI12" s="130">
        <f>SUM(AI15:AI1500)</f>
        <v>0</v>
      </c>
      <c r="AJ12" s="130" t="str">
        <f ca="1">IF($AJ$10&gt;0,IF($AJ$10&gt;=14,"D",IF($AJ$10&gt;=8,"N","E")),"NOT-YET")</f>
        <v>NOT-YET</v>
      </c>
      <c r="AK12" s="12"/>
      <c r="AL12" s="12"/>
      <c r="AM12" s="130">
        <f>SUM($AM$15:$AM$1500)</f>
        <v>75</v>
      </c>
      <c r="AN12" s="130" t="str">
        <f>IF(AM12&gt;0,IF($AN$14&gt;=14,"D",IF($AN$14&gt;=8,"N","E")),"NOT-YET")</f>
        <v>E</v>
      </c>
    </row>
    <row r="13" spans="1:44" s="12" customFormat="1" ht="51" customHeight="1">
      <c r="A13" s="13"/>
      <c r="B13" s="17" t="s">
        <v>431</v>
      </c>
      <c r="C13" s="18" t="s">
        <v>430</v>
      </c>
      <c r="D13" s="17" t="s">
        <v>429</v>
      </c>
      <c r="E13" s="18" t="s">
        <v>428</v>
      </c>
      <c r="F13" s="188" t="s">
        <v>1209</v>
      </c>
      <c r="G13" s="219" t="s">
        <v>1283</v>
      </c>
      <c r="H13" s="220"/>
      <c r="I13" s="18" t="s">
        <v>426</v>
      </c>
      <c r="J13" s="19" t="s">
        <v>427</v>
      </c>
      <c r="K13" s="19" t="s">
        <v>1210</v>
      </c>
      <c r="L13" s="20" t="s">
        <v>425</v>
      </c>
      <c r="M13" s="221" t="s">
        <v>1281</v>
      </c>
      <c r="N13" s="221"/>
      <c r="O13" s="18" t="s">
        <v>424</v>
      </c>
      <c r="P13" s="21" t="s">
        <v>73</v>
      </c>
      <c r="Q13" s="18" t="s">
        <v>423</v>
      </c>
      <c r="R13" s="18" t="s">
        <v>422</v>
      </c>
      <c r="S13" s="18" t="s">
        <v>424</v>
      </c>
      <c r="T13" s="21" t="s">
        <v>73</v>
      </c>
      <c r="U13" s="18" t="s">
        <v>423</v>
      </c>
      <c r="V13" s="18" t="s">
        <v>422</v>
      </c>
      <c r="W13" s="18" t="s">
        <v>424</v>
      </c>
      <c r="X13" s="21" t="s">
        <v>73</v>
      </c>
      <c r="Y13" s="18" t="s">
        <v>423</v>
      </c>
      <c r="Z13" s="18" t="s">
        <v>422</v>
      </c>
      <c r="AA13" s="18" t="s">
        <v>424</v>
      </c>
      <c r="AB13" s="21" t="s">
        <v>73</v>
      </c>
      <c r="AC13" s="18" t="s">
        <v>423</v>
      </c>
      <c r="AD13" s="18" t="s">
        <v>422</v>
      </c>
      <c r="AE13" s="18" t="s">
        <v>424</v>
      </c>
      <c r="AF13" s="21" t="s">
        <v>73</v>
      </c>
      <c r="AG13" s="18" t="s">
        <v>423</v>
      </c>
      <c r="AH13" s="18" t="s">
        <v>422</v>
      </c>
      <c r="AI13" s="18" t="s">
        <v>1237</v>
      </c>
      <c r="AJ13" s="18" t="s">
        <v>432</v>
      </c>
      <c r="AM13" s="131" t="s">
        <v>1237</v>
      </c>
      <c r="AN13" s="132" t="s">
        <v>432</v>
      </c>
      <c r="AO13" s="133"/>
      <c r="AP13" s="133"/>
      <c r="AQ13" s="133"/>
      <c r="AR13" s="133"/>
    </row>
    <row r="14" spans="1:44" s="12" customFormat="1" ht="45">
      <c r="A14" s="13"/>
      <c r="B14" s="17"/>
      <c r="C14" s="18"/>
      <c r="D14" s="17"/>
      <c r="E14" s="18"/>
      <c r="F14" s="188"/>
      <c r="G14" s="124" t="s">
        <v>1284</v>
      </c>
      <c r="H14" s="125" t="s">
        <v>1282</v>
      </c>
      <c r="I14" s="18"/>
      <c r="J14" s="19"/>
      <c r="K14" s="19"/>
      <c r="L14" s="20"/>
      <c r="M14" s="188" t="s">
        <v>424</v>
      </c>
      <c r="N14" s="188" t="s">
        <v>1213</v>
      </c>
      <c r="O14" s="18"/>
      <c r="P14" s="21"/>
      <c r="Q14" s="18"/>
      <c r="R14" s="18"/>
      <c r="S14" s="18"/>
      <c r="T14" s="21"/>
      <c r="U14" s="18"/>
      <c r="V14" s="18"/>
      <c r="W14" s="18"/>
      <c r="X14" s="21"/>
      <c r="Y14" s="18"/>
      <c r="Z14" s="18"/>
      <c r="AA14" s="18"/>
      <c r="AB14" s="21"/>
      <c r="AC14" s="18"/>
      <c r="AD14" s="18"/>
      <c r="AE14" s="18"/>
      <c r="AF14" s="21"/>
      <c r="AG14" s="18"/>
      <c r="AH14" s="18"/>
      <c r="AI14" s="18"/>
      <c r="AJ14" s="18"/>
      <c r="AM14" s="134" t="s">
        <v>1274</v>
      </c>
      <c r="AN14" s="135">
        <f>IFERROR($AM$12/COUNTIF($AM$15:$AM$1500, "&gt;0"),0)</f>
        <v>6.8181818181818183</v>
      </c>
      <c r="AO14" s="133"/>
      <c r="AP14" s="133"/>
      <c r="AQ14" s="133"/>
      <c r="AR14" s="133"/>
    </row>
    <row r="15" spans="1:44" ht="90">
      <c r="A15" s="64"/>
      <c r="B15" s="108">
        <v>1</v>
      </c>
      <c r="C15" s="82" t="s">
        <v>944</v>
      </c>
      <c r="D15" s="82"/>
      <c r="E15" s="82"/>
      <c r="F15" s="82"/>
      <c r="G15" s="82"/>
      <c r="H15" s="82"/>
      <c r="I15" s="82"/>
      <c r="J15" s="82"/>
      <c r="K15" s="82"/>
      <c r="L15" s="67"/>
      <c r="M15" s="82"/>
      <c r="N15" s="77"/>
      <c r="O15" s="77"/>
      <c r="P15" s="68"/>
      <c r="Q15" s="67"/>
      <c r="R15" s="77"/>
      <c r="S15" s="77"/>
      <c r="T15" s="68"/>
      <c r="U15" s="67"/>
      <c r="V15" s="67"/>
      <c r="W15" s="77"/>
      <c r="X15" s="68"/>
      <c r="Y15" s="67"/>
      <c r="Z15" s="77"/>
      <c r="AA15" s="87"/>
      <c r="AB15" s="68"/>
      <c r="AC15" s="67"/>
      <c r="AD15" s="87"/>
      <c r="AE15" s="87"/>
      <c r="AF15" s="68"/>
      <c r="AG15" s="67"/>
      <c r="AH15" s="87"/>
      <c r="AI15" s="74"/>
      <c r="AJ15" s="140" t="str">
        <f t="shared" ref="AJ15" si="8">IF(AI15&gt;0, IF(AI15&gt;=14,"D",IF(AI15&gt;=8,"N","E")),"")</f>
        <v/>
      </c>
      <c r="AM15" s="136"/>
      <c r="AN15" s="137" t="str">
        <f>IF(AM15&gt;0, IF(AM15&gt;=14,"D",IF(AM15&gt;=8,"N","E")),"")</f>
        <v/>
      </c>
      <c r="AO15" s="138"/>
      <c r="AP15" s="138"/>
      <c r="AQ15" s="138"/>
      <c r="AR15" s="138"/>
    </row>
    <row r="16" spans="1:44">
      <c r="A16" s="64"/>
      <c r="B16" s="109">
        <v>2</v>
      </c>
      <c r="C16" s="69" t="s">
        <v>943</v>
      </c>
      <c r="D16" s="69"/>
      <c r="E16" s="69"/>
      <c r="F16" s="69"/>
      <c r="G16" s="69"/>
      <c r="H16" s="69"/>
      <c r="I16" s="69"/>
      <c r="J16" s="69"/>
      <c r="K16" s="69"/>
      <c r="L16" s="69"/>
      <c r="M16" s="69"/>
      <c r="N16" s="69"/>
      <c r="O16" s="69"/>
      <c r="P16" s="70"/>
      <c r="Q16" s="69"/>
      <c r="R16" s="69"/>
      <c r="S16" s="69"/>
      <c r="T16" s="70"/>
      <c r="U16" s="69"/>
      <c r="V16" s="69"/>
      <c r="W16" s="69"/>
      <c r="X16" s="70"/>
      <c r="Y16" s="69"/>
      <c r="Z16" s="69"/>
      <c r="AA16" s="69"/>
      <c r="AB16" s="70"/>
      <c r="AC16" s="69"/>
      <c r="AD16" s="69"/>
      <c r="AE16" s="69"/>
      <c r="AF16" s="70"/>
      <c r="AG16" s="69"/>
      <c r="AH16" s="69"/>
      <c r="AI16" s="74"/>
      <c r="AJ16" s="140" t="str">
        <f t="shared" ref="AJ16:AJ33" si="9">IF(AI16&gt;0, IF(AI16&gt;=14,"D",IF(AI16&gt;=8,"N","E")),"")</f>
        <v/>
      </c>
      <c r="AM16" s="136"/>
      <c r="AN16" s="137" t="str">
        <f t="shared" ref="AN16:AN33" si="10">IF(AM16&gt;0, IF(AM16&gt;=14,"D",IF(AM16&gt;=8,"N","E")),"")</f>
        <v/>
      </c>
      <c r="AO16" s="138"/>
      <c r="AP16" s="138"/>
      <c r="AQ16" s="138"/>
      <c r="AR16" s="138"/>
    </row>
    <row r="17" spans="1:44" ht="75">
      <c r="A17" s="64"/>
      <c r="B17" s="108">
        <v>3</v>
      </c>
      <c r="C17" s="82" t="s">
        <v>942</v>
      </c>
      <c r="D17" s="200" t="s">
        <v>941</v>
      </c>
      <c r="E17" s="201" t="s">
        <v>940</v>
      </c>
      <c r="F17" s="82" t="s">
        <v>901</v>
      </c>
      <c r="G17" s="10" t="s">
        <v>1257</v>
      </c>
      <c r="H17" s="10" t="s">
        <v>1256</v>
      </c>
      <c r="I17" s="82"/>
      <c r="J17" s="82" t="s">
        <v>1211</v>
      </c>
      <c r="K17" s="82" t="s">
        <v>1212</v>
      </c>
      <c r="L17" s="67" t="s">
        <v>53</v>
      </c>
      <c r="M17" s="82" t="s">
        <v>0</v>
      </c>
      <c r="N17" s="77" t="s">
        <v>27</v>
      </c>
      <c r="O17" s="77" t="s">
        <v>0</v>
      </c>
      <c r="P17" s="68">
        <v>42782</v>
      </c>
      <c r="Q17" s="67" t="s">
        <v>1302</v>
      </c>
      <c r="R17" s="77"/>
      <c r="S17" s="87" t="s">
        <v>0</v>
      </c>
      <c r="T17" s="68">
        <v>42782</v>
      </c>
      <c r="U17" s="67" t="s">
        <v>27</v>
      </c>
      <c r="V17" s="67"/>
      <c r="W17" s="77"/>
      <c r="X17" s="68"/>
      <c r="Y17" s="67"/>
      <c r="Z17" s="77"/>
      <c r="AA17" s="87"/>
      <c r="AB17" s="68"/>
      <c r="AC17" s="67"/>
      <c r="AD17" s="87"/>
      <c r="AE17" s="87"/>
      <c r="AF17" s="68"/>
      <c r="AG17" s="67"/>
      <c r="AH17" s="87"/>
      <c r="AI17" s="74"/>
      <c r="AJ17" s="140" t="str">
        <f t="shared" si="9"/>
        <v/>
      </c>
      <c r="AM17" s="136">
        <v>2</v>
      </c>
      <c r="AN17" s="137" t="str">
        <f t="shared" si="10"/>
        <v>E</v>
      </c>
      <c r="AO17" s="138"/>
      <c r="AP17" s="138"/>
      <c r="AQ17" s="138"/>
      <c r="AR17" s="138"/>
    </row>
    <row r="18" spans="1:44" ht="255">
      <c r="A18" s="64"/>
      <c r="B18" s="108">
        <v>4</v>
      </c>
      <c r="C18" s="92" t="s">
        <v>939</v>
      </c>
      <c r="D18" s="200" t="s">
        <v>938</v>
      </c>
      <c r="E18" s="116" t="s">
        <v>937</v>
      </c>
      <c r="F18" s="82" t="s">
        <v>901</v>
      </c>
      <c r="G18" s="10" t="s">
        <v>1257</v>
      </c>
      <c r="H18" s="10" t="s">
        <v>1256</v>
      </c>
      <c r="I18" s="82"/>
      <c r="J18" s="82" t="s">
        <v>1211</v>
      </c>
      <c r="K18" s="82" t="s">
        <v>1212</v>
      </c>
      <c r="L18" s="67" t="s">
        <v>53</v>
      </c>
      <c r="M18" s="82" t="s">
        <v>0</v>
      </c>
      <c r="N18" s="77" t="s">
        <v>27</v>
      </c>
      <c r="O18" s="87" t="s">
        <v>0</v>
      </c>
      <c r="P18" s="68">
        <v>42782</v>
      </c>
      <c r="Q18" s="67" t="s">
        <v>1302</v>
      </c>
      <c r="R18" s="77"/>
      <c r="S18" s="87" t="s">
        <v>0</v>
      </c>
      <c r="T18" s="68">
        <v>42782</v>
      </c>
      <c r="U18" s="67" t="s">
        <v>27</v>
      </c>
      <c r="V18" s="67"/>
      <c r="W18" s="77"/>
      <c r="X18" s="68"/>
      <c r="Y18" s="67"/>
      <c r="Z18" s="77"/>
      <c r="AA18" s="87"/>
      <c r="AB18" s="68"/>
      <c r="AC18" s="67"/>
      <c r="AD18" s="87"/>
      <c r="AE18" s="87"/>
      <c r="AF18" s="68"/>
      <c r="AG18" s="67"/>
      <c r="AH18" s="87"/>
      <c r="AI18" s="74"/>
      <c r="AJ18" s="140" t="str">
        <f t="shared" si="9"/>
        <v/>
      </c>
      <c r="AM18" s="136">
        <v>5</v>
      </c>
      <c r="AN18" s="137" t="str">
        <f t="shared" si="10"/>
        <v>E</v>
      </c>
      <c r="AO18" s="138"/>
      <c r="AP18" s="138"/>
      <c r="AQ18" s="138"/>
      <c r="AR18" s="138"/>
    </row>
    <row r="19" spans="1:44" ht="45">
      <c r="A19" s="64"/>
      <c r="B19" s="108">
        <v>13</v>
      </c>
      <c r="C19" s="82" t="s">
        <v>936</v>
      </c>
      <c r="D19" s="200" t="s">
        <v>935</v>
      </c>
      <c r="E19" s="201" t="s">
        <v>934</v>
      </c>
      <c r="F19" s="82" t="s">
        <v>901</v>
      </c>
      <c r="G19" s="10" t="s">
        <v>1257</v>
      </c>
      <c r="H19" s="10" t="s">
        <v>1256</v>
      </c>
      <c r="I19" s="82"/>
      <c r="J19" s="82" t="s">
        <v>1211</v>
      </c>
      <c r="K19" s="82" t="s">
        <v>1212</v>
      </c>
      <c r="L19" s="67" t="s">
        <v>53</v>
      </c>
      <c r="M19" s="82" t="s">
        <v>0</v>
      </c>
      <c r="N19" s="77" t="s">
        <v>27</v>
      </c>
      <c r="O19" s="87" t="s">
        <v>0</v>
      </c>
      <c r="P19" s="68">
        <v>42782</v>
      </c>
      <c r="Q19" s="67" t="s">
        <v>1302</v>
      </c>
      <c r="R19" s="77"/>
      <c r="S19" s="87" t="s">
        <v>0</v>
      </c>
      <c r="T19" s="68">
        <v>42782</v>
      </c>
      <c r="U19" s="67" t="s">
        <v>27</v>
      </c>
      <c r="V19" s="67"/>
      <c r="W19" s="77"/>
      <c r="X19" s="68"/>
      <c r="Y19" s="67"/>
      <c r="Z19" s="77"/>
      <c r="AA19" s="87"/>
      <c r="AB19" s="68"/>
      <c r="AC19" s="67"/>
      <c r="AD19" s="87"/>
      <c r="AE19" s="87"/>
      <c r="AF19" s="68"/>
      <c r="AG19" s="67"/>
      <c r="AH19" s="87"/>
      <c r="AI19" s="74"/>
      <c r="AJ19" s="140" t="str">
        <f t="shared" si="9"/>
        <v/>
      </c>
      <c r="AM19" s="136">
        <v>3</v>
      </c>
      <c r="AN19" s="137" t="str">
        <f t="shared" si="10"/>
        <v>E</v>
      </c>
      <c r="AO19" s="138"/>
      <c r="AP19" s="138"/>
      <c r="AQ19" s="138"/>
      <c r="AR19" s="138"/>
    </row>
    <row r="20" spans="1:44" ht="405">
      <c r="A20" s="64"/>
      <c r="B20" s="108">
        <v>19</v>
      </c>
      <c r="C20" s="82" t="s">
        <v>933</v>
      </c>
      <c r="D20" s="200" t="s">
        <v>1238</v>
      </c>
      <c r="E20" s="201" t="s">
        <v>932</v>
      </c>
      <c r="F20" s="82" t="s">
        <v>901</v>
      </c>
      <c r="G20" s="10" t="s">
        <v>1257</v>
      </c>
      <c r="H20" s="10" t="s">
        <v>1256</v>
      </c>
      <c r="I20" s="95" t="s">
        <v>1239</v>
      </c>
      <c r="J20" s="82" t="s">
        <v>1211</v>
      </c>
      <c r="K20" s="82" t="s">
        <v>1212</v>
      </c>
      <c r="L20" s="67" t="s">
        <v>53</v>
      </c>
      <c r="M20" s="82" t="s">
        <v>0</v>
      </c>
      <c r="N20" s="77" t="s">
        <v>27</v>
      </c>
      <c r="O20" s="87" t="s">
        <v>0</v>
      </c>
      <c r="P20" s="68">
        <v>42782</v>
      </c>
      <c r="Q20" s="67" t="s">
        <v>1302</v>
      </c>
      <c r="R20" s="67"/>
      <c r="S20" s="87" t="s">
        <v>0</v>
      </c>
      <c r="T20" s="68">
        <v>42782</v>
      </c>
      <c r="U20" s="67" t="s">
        <v>27</v>
      </c>
      <c r="V20" s="67"/>
      <c r="W20" s="77"/>
      <c r="X20" s="68"/>
      <c r="Y20" s="67"/>
      <c r="Z20" s="77"/>
      <c r="AA20" s="87"/>
      <c r="AB20" s="68"/>
      <c r="AC20" s="67"/>
      <c r="AD20" s="87"/>
      <c r="AE20" s="87"/>
      <c r="AF20" s="68"/>
      <c r="AG20" s="67"/>
      <c r="AH20" s="87"/>
      <c r="AI20" s="74"/>
      <c r="AJ20" s="140" t="str">
        <f t="shared" si="9"/>
        <v/>
      </c>
      <c r="AM20" s="136">
        <v>15</v>
      </c>
      <c r="AN20" s="137" t="str">
        <f t="shared" si="10"/>
        <v>D</v>
      </c>
      <c r="AO20" s="138"/>
      <c r="AP20" s="138"/>
      <c r="AQ20" s="138"/>
      <c r="AR20" s="138"/>
    </row>
    <row r="21" spans="1:44" ht="160.5" customHeight="1">
      <c r="A21" s="64"/>
      <c r="B21" s="108">
        <v>14</v>
      </c>
      <c r="C21" s="82" t="s">
        <v>931</v>
      </c>
      <c r="D21" s="200" t="s">
        <v>930</v>
      </c>
      <c r="E21" s="201" t="s">
        <v>929</v>
      </c>
      <c r="F21" s="82" t="s">
        <v>901</v>
      </c>
      <c r="G21" s="10" t="s">
        <v>1257</v>
      </c>
      <c r="H21" s="10" t="s">
        <v>1256</v>
      </c>
      <c r="I21" s="82"/>
      <c r="J21" s="82" t="s">
        <v>1211</v>
      </c>
      <c r="K21" s="82" t="s">
        <v>1212</v>
      </c>
      <c r="L21" s="67" t="s">
        <v>53</v>
      </c>
      <c r="M21" s="82" t="s">
        <v>0</v>
      </c>
      <c r="N21" s="77" t="s">
        <v>27</v>
      </c>
      <c r="O21" s="87" t="s">
        <v>0</v>
      </c>
      <c r="P21" s="68">
        <v>42782</v>
      </c>
      <c r="Q21" s="67" t="s">
        <v>1302</v>
      </c>
      <c r="R21" s="77"/>
      <c r="S21" s="87" t="s">
        <v>0</v>
      </c>
      <c r="T21" s="68">
        <v>42782</v>
      </c>
      <c r="U21" s="67" t="s">
        <v>27</v>
      </c>
      <c r="V21" s="71"/>
      <c r="W21" s="77"/>
      <c r="X21" s="68"/>
      <c r="Y21" s="67"/>
      <c r="Z21" s="77"/>
      <c r="AA21" s="87"/>
      <c r="AB21" s="68"/>
      <c r="AC21" s="67"/>
      <c r="AD21" s="87"/>
      <c r="AE21" s="87"/>
      <c r="AF21" s="68"/>
      <c r="AG21" s="67"/>
      <c r="AH21" s="87"/>
      <c r="AI21" s="74"/>
      <c r="AJ21" s="140" t="str">
        <f t="shared" si="9"/>
        <v/>
      </c>
      <c r="AM21" s="136">
        <v>5</v>
      </c>
      <c r="AN21" s="137" t="str">
        <f t="shared" si="10"/>
        <v>E</v>
      </c>
      <c r="AO21" s="138"/>
      <c r="AP21" s="138"/>
      <c r="AQ21" s="138"/>
      <c r="AR21" s="138"/>
    </row>
    <row r="22" spans="1:44" ht="255">
      <c r="A22" s="64"/>
      <c r="B22" s="108">
        <v>15</v>
      </c>
      <c r="C22" s="201" t="s">
        <v>928</v>
      </c>
      <c r="D22" s="200" t="s">
        <v>927</v>
      </c>
      <c r="E22" s="201" t="s">
        <v>926</v>
      </c>
      <c r="F22" s="82" t="s">
        <v>901</v>
      </c>
      <c r="G22" s="10" t="s">
        <v>1257</v>
      </c>
      <c r="H22" s="10" t="s">
        <v>1256</v>
      </c>
      <c r="I22" s="201" t="s">
        <v>925</v>
      </c>
      <c r="J22" s="82" t="s">
        <v>1211</v>
      </c>
      <c r="K22" s="82" t="s">
        <v>1212</v>
      </c>
      <c r="L22" s="67" t="s">
        <v>53</v>
      </c>
      <c r="M22" s="82" t="s">
        <v>0</v>
      </c>
      <c r="N22" s="77" t="s">
        <v>27</v>
      </c>
      <c r="O22" s="87" t="s">
        <v>0</v>
      </c>
      <c r="P22" s="68">
        <v>42782</v>
      </c>
      <c r="Q22" s="67" t="s">
        <v>1302</v>
      </c>
      <c r="R22" s="77"/>
      <c r="S22" s="87" t="s">
        <v>0</v>
      </c>
      <c r="T22" s="68">
        <v>42782</v>
      </c>
      <c r="U22" s="67" t="s">
        <v>27</v>
      </c>
      <c r="V22" s="71"/>
      <c r="W22" s="77"/>
      <c r="X22" s="68"/>
      <c r="Y22" s="67"/>
      <c r="Z22" s="77"/>
      <c r="AA22" s="87"/>
      <c r="AB22" s="68"/>
      <c r="AC22" s="67"/>
      <c r="AD22" s="87"/>
      <c r="AE22" s="87"/>
      <c r="AF22" s="68"/>
      <c r="AG22" s="67"/>
      <c r="AH22" s="87"/>
      <c r="AI22" s="74"/>
      <c r="AJ22" s="140" t="str">
        <f t="shared" si="9"/>
        <v/>
      </c>
      <c r="AM22" s="136">
        <v>5</v>
      </c>
      <c r="AN22" s="137" t="str">
        <f t="shared" si="10"/>
        <v>E</v>
      </c>
      <c r="AO22" s="138"/>
      <c r="AP22" s="138"/>
      <c r="AQ22" s="138"/>
      <c r="AR22" s="138"/>
    </row>
    <row r="23" spans="1:44" ht="30">
      <c r="A23" s="64"/>
      <c r="B23" s="109">
        <v>5</v>
      </c>
      <c r="C23" s="69" t="s">
        <v>924</v>
      </c>
      <c r="D23" s="69"/>
      <c r="E23" s="69"/>
      <c r="F23" s="69"/>
      <c r="G23" s="69"/>
      <c r="H23" s="69"/>
      <c r="I23" s="69"/>
      <c r="J23" s="69"/>
      <c r="K23" s="69"/>
      <c r="L23" s="69"/>
      <c r="M23" s="69"/>
      <c r="N23" s="69"/>
      <c r="O23" s="69"/>
      <c r="P23" s="70"/>
      <c r="Q23" s="69"/>
      <c r="R23" s="69"/>
      <c r="S23" s="69"/>
      <c r="T23" s="70"/>
      <c r="U23" s="69"/>
      <c r="V23" s="69"/>
      <c r="W23" s="69"/>
      <c r="X23" s="69"/>
      <c r="Y23" s="69"/>
      <c r="Z23" s="69"/>
      <c r="AA23" s="69"/>
      <c r="AB23" s="69"/>
      <c r="AC23" s="69"/>
      <c r="AD23" s="69"/>
      <c r="AE23" s="69"/>
      <c r="AF23" s="69"/>
      <c r="AG23" s="69"/>
      <c r="AH23" s="69"/>
      <c r="AI23" s="74"/>
      <c r="AJ23" s="140" t="str">
        <f t="shared" si="9"/>
        <v/>
      </c>
      <c r="AM23" s="136"/>
      <c r="AN23" s="137" t="str">
        <f t="shared" si="10"/>
        <v/>
      </c>
      <c r="AO23" s="138"/>
      <c r="AP23" s="138"/>
      <c r="AQ23" s="138"/>
      <c r="AR23" s="138"/>
    </row>
    <row r="24" spans="1:44">
      <c r="A24" s="64"/>
      <c r="B24" s="108">
        <v>28</v>
      </c>
      <c r="C24" s="82" t="s">
        <v>923</v>
      </c>
      <c r="D24" s="82"/>
      <c r="E24" s="82"/>
      <c r="F24" s="82"/>
      <c r="G24" s="82"/>
      <c r="H24" s="82"/>
      <c r="I24" s="82"/>
      <c r="J24" s="82"/>
      <c r="K24" s="82"/>
      <c r="L24" s="67"/>
      <c r="M24" s="82"/>
      <c r="N24" s="77"/>
      <c r="O24" s="77"/>
      <c r="P24" s="68"/>
      <c r="Q24" s="67"/>
      <c r="R24" s="77"/>
      <c r="S24" s="77"/>
      <c r="T24" s="68"/>
      <c r="U24" s="67"/>
      <c r="V24" s="67"/>
      <c r="W24" s="77"/>
      <c r="X24" s="68"/>
      <c r="Y24" s="67"/>
      <c r="Z24" s="77"/>
      <c r="AA24" s="87"/>
      <c r="AB24" s="68"/>
      <c r="AC24" s="67"/>
      <c r="AD24" s="87"/>
      <c r="AE24" s="87"/>
      <c r="AF24" s="68"/>
      <c r="AG24" s="67"/>
      <c r="AH24" s="87"/>
      <c r="AI24" s="74"/>
      <c r="AJ24" s="140" t="str">
        <f t="shared" si="9"/>
        <v/>
      </c>
      <c r="AM24" s="136"/>
      <c r="AN24" s="137" t="str">
        <f t="shared" si="10"/>
        <v/>
      </c>
      <c r="AO24" s="138"/>
      <c r="AP24" s="138"/>
      <c r="AQ24" s="138"/>
      <c r="AR24" s="138"/>
    </row>
    <row r="25" spans="1:44" ht="210">
      <c r="A25" s="64"/>
      <c r="B25" s="108">
        <v>30</v>
      </c>
      <c r="C25" s="82" t="s">
        <v>922</v>
      </c>
      <c r="D25" s="83" t="s">
        <v>921</v>
      </c>
      <c r="E25" s="82" t="s">
        <v>920</v>
      </c>
      <c r="F25" s="82" t="s">
        <v>901</v>
      </c>
      <c r="G25" s="10" t="s">
        <v>1257</v>
      </c>
      <c r="H25" s="10" t="s">
        <v>1256</v>
      </c>
      <c r="I25" s="82" t="s">
        <v>919</v>
      </c>
      <c r="J25" s="82" t="s">
        <v>1211</v>
      </c>
      <c r="K25" s="82" t="s">
        <v>1212</v>
      </c>
      <c r="L25" s="67" t="s">
        <v>53</v>
      </c>
      <c r="M25" s="82" t="s">
        <v>0</v>
      </c>
      <c r="N25" s="77" t="s">
        <v>27</v>
      </c>
      <c r="O25" s="87" t="s">
        <v>0</v>
      </c>
      <c r="P25" s="68">
        <v>42782</v>
      </c>
      <c r="Q25" s="67" t="s">
        <v>1302</v>
      </c>
      <c r="R25" s="77"/>
      <c r="S25" s="87" t="s">
        <v>0</v>
      </c>
      <c r="T25" s="68">
        <v>42782</v>
      </c>
      <c r="U25" s="67" t="s">
        <v>27</v>
      </c>
      <c r="V25" s="67"/>
      <c r="W25" s="77"/>
      <c r="X25" s="68"/>
      <c r="Y25" s="67"/>
      <c r="Z25" s="77"/>
      <c r="AA25" s="87"/>
      <c r="AB25" s="68"/>
      <c r="AC25" s="67"/>
      <c r="AD25" s="87"/>
      <c r="AE25" s="87"/>
      <c r="AF25" s="68"/>
      <c r="AG25" s="67"/>
      <c r="AH25" s="87"/>
      <c r="AI25" s="74"/>
      <c r="AJ25" s="140" t="str">
        <f t="shared" si="9"/>
        <v/>
      </c>
      <c r="AM25" s="136">
        <v>5</v>
      </c>
      <c r="AN25" s="137" t="str">
        <f t="shared" si="10"/>
        <v>E</v>
      </c>
      <c r="AO25" s="138"/>
      <c r="AP25" s="138"/>
      <c r="AQ25" s="138"/>
      <c r="AR25" s="138"/>
    </row>
    <row r="26" spans="1:44" ht="30">
      <c r="A26" s="64"/>
      <c r="B26" s="109">
        <v>20</v>
      </c>
      <c r="C26" s="69" t="s">
        <v>918</v>
      </c>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74"/>
      <c r="AJ26" s="140" t="str">
        <f t="shared" si="9"/>
        <v/>
      </c>
      <c r="AM26" s="136"/>
      <c r="AN26" s="137" t="str">
        <f t="shared" si="10"/>
        <v/>
      </c>
      <c r="AO26" s="138"/>
      <c r="AP26" s="138"/>
      <c r="AQ26" s="138"/>
      <c r="AR26" s="138"/>
    </row>
    <row r="27" spans="1:44" s="73" customFormat="1" ht="75">
      <c r="A27" s="64"/>
      <c r="B27" s="110">
        <v>31</v>
      </c>
      <c r="C27" s="83" t="s">
        <v>917</v>
      </c>
      <c r="D27" s="200" t="s">
        <v>916</v>
      </c>
      <c r="E27" s="83" t="s">
        <v>915</v>
      </c>
      <c r="F27" s="83" t="s">
        <v>901</v>
      </c>
      <c r="G27" s="10" t="s">
        <v>1257</v>
      </c>
      <c r="H27" s="10" t="s">
        <v>1256</v>
      </c>
      <c r="I27" s="83"/>
      <c r="J27" s="82" t="s">
        <v>1211</v>
      </c>
      <c r="K27" s="82" t="s">
        <v>1212</v>
      </c>
      <c r="L27" s="67" t="s">
        <v>53</v>
      </c>
      <c r="M27" s="83" t="s">
        <v>0</v>
      </c>
      <c r="N27" s="77" t="s">
        <v>27</v>
      </c>
      <c r="O27" s="87" t="s">
        <v>0</v>
      </c>
      <c r="P27" s="68">
        <v>42782</v>
      </c>
      <c r="Q27" s="67" t="s">
        <v>1302</v>
      </c>
      <c r="R27" s="77"/>
      <c r="S27" s="87" t="s">
        <v>0</v>
      </c>
      <c r="T27" s="68">
        <v>42782</v>
      </c>
      <c r="U27" s="67" t="s">
        <v>27</v>
      </c>
      <c r="V27" s="71"/>
      <c r="W27" s="77"/>
      <c r="X27" s="68"/>
      <c r="Y27" s="67"/>
      <c r="Z27" s="77"/>
      <c r="AA27" s="87"/>
      <c r="AB27" s="68"/>
      <c r="AC27" s="67"/>
      <c r="AD27" s="87"/>
      <c r="AE27" s="87"/>
      <c r="AF27" s="68"/>
      <c r="AG27" s="67"/>
      <c r="AH27" s="87"/>
      <c r="AI27" s="74"/>
      <c r="AJ27" s="140" t="str">
        <f t="shared" si="9"/>
        <v/>
      </c>
      <c r="AK27" s="66"/>
      <c r="AL27" s="66"/>
      <c r="AM27" s="136">
        <v>5</v>
      </c>
      <c r="AN27" s="137" t="str">
        <f t="shared" si="10"/>
        <v>E</v>
      </c>
      <c r="AO27" s="138"/>
      <c r="AP27" s="138"/>
      <c r="AQ27" s="138"/>
      <c r="AR27" s="138"/>
    </row>
    <row r="28" spans="1:44" ht="30">
      <c r="A28" s="64"/>
      <c r="B28" s="109">
        <v>21</v>
      </c>
      <c r="C28" s="69" t="s">
        <v>914</v>
      </c>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74"/>
      <c r="AJ28" s="140" t="str">
        <f t="shared" si="9"/>
        <v/>
      </c>
      <c r="AM28" s="136"/>
      <c r="AN28" s="137" t="str">
        <f t="shared" si="10"/>
        <v/>
      </c>
      <c r="AO28" s="138"/>
      <c r="AP28" s="138"/>
      <c r="AQ28" s="138"/>
      <c r="AR28" s="138"/>
    </row>
    <row r="29" spans="1:44" ht="225">
      <c r="A29" s="64"/>
      <c r="B29" s="108">
        <v>37</v>
      </c>
      <c r="C29" s="82" t="s">
        <v>909</v>
      </c>
      <c r="D29" s="200" t="s">
        <v>913</v>
      </c>
      <c r="E29" s="94" t="s">
        <v>912</v>
      </c>
      <c r="F29" s="82" t="s">
        <v>901</v>
      </c>
      <c r="G29" s="10" t="s">
        <v>1257</v>
      </c>
      <c r="H29" s="10" t="s">
        <v>1256</v>
      </c>
      <c r="I29" s="82" t="s">
        <v>911</v>
      </c>
      <c r="J29" s="82"/>
      <c r="K29" s="82"/>
      <c r="L29" s="67" t="s">
        <v>53</v>
      </c>
      <c r="M29" s="82" t="s">
        <v>0</v>
      </c>
      <c r="N29" s="77" t="s">
        <v>27</v>
      </c>
      <c r="O29" s="87" t="s">
        <v>0</v>
      </c>
      <c r="P29" s="68">
        <v>42782</v>
      </c>
      <c r="Q29" s="67" t="s">
        <v>1302</v>
      </c>
      <c r="R29" s="77"/>
      <c r="S29" s="87" t="s">
        <v>0</v>
      </c>
      <c r="T29" s="68">
        <v>42782</v>
      </c>
      <c r="U29" s="67" t="s">
        <v>27</v>
      </c>
      <c r="V29" s="67"/>
      <c r="W29" s="77"/>
      <c r="X29" s="68"/>
      <c r="Y29" s="67"/>
      <c r="Z29" s="77"/>
      <c r="AA29" s="87"/>
      <c r="AB29" s="68"/>
      <c r="AC29" s="67"/>
      <c r="AD29" s="87"/>
      <c r="AE29" s="87"/>
      <c r="AF29" s="68"/>
      <c r="AG29" s="67"/>
      <c r="AH29" s="87"/>
      <c r="AI29" s="74"/>
      <c r="AJ29" s="140" t="str">
        <f t="shared" si="9"/>
        <v/>
      </c>
      <c r="AM29" s="136">
        <v>10</v>
      </c>
      <c r="AN29" s="137" t="str">
        <f t="shared" si="10"/>
        <v>N</v>
      </c>
    </row>
    <row r="30" spans="1:44" ht="30">
      <c r="A30" s="64"/>
      <c r="B30" s="109">
        <v>22</v>
      </c>
      <c r="C30" s="69" t="s">
        <v>910</v>
      </c>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74"/>
      <c r="AJ30" s="140" t="str">
        <f t="shared" si="9"/>
        <v/>
      </c>
      <c r="AM30" s="136"/>
      <c r="AN30" s="137" t="str">
        <f t="shared" si="10"/>
        <v/>
      </c>
    </row>
    <row r="31" spans="1:44" ht="240">
      <c r="A31" s="64"/>
      <c r="B31" s="108">
        <v>38</v>
      </c>
      <c r="C31" s="82" t="s">
        <v>909</v>
      </c>
      <c r="D31" s="200" t="s">
        <v>1217</v>
      </c>
      <c r="E31" s="201" t="s">
        <v>908</v>
      </c>
      <c r="F31" s="82" t="s">
        <v>901</v>
      </c>
      <c r="G31" s="10" t="s">
        <v>1303</v>
      </c>
      <c r="H31" s="10" t="s">
        <v>1256</v>
      </c>
      <c r="I31" s="82" t="s">
        <v>907</v>
      </c>
      <c r="J31" s="82"/>
      <c r="K31" s="82"/>
      <c r="L31" s="67" t="s">
        <v>53</v>
      </c>
      <c r="M31" s="82" t="s">
        <v>0</v>
      </c>
      <c r="N31" s="87" t="s">
        <v>27</v>
      </c>
      <c r="O31" s="87" t="s">
        <v>0</v>
      </c>
      <c r="P31" s="68">
        <v>42782</v>
      </c>
      <c r="Q31" s="67" t="s">
        <v>1302</v>
      </c>
      <c r="R31" s="77"/>
      <c r="S31" s="87" t="s">
        <v>0</v>
      </c>
      <c r="T31" s="68">
        <v>42782</v>
      </c>
      <c r="U31" s="67" t="s">
        <v>27</v>
      </c>
      <c r="V31" s="67"/>
      <c r="W31" s="77"/>
      <c r="X31" s="68"/>
      <c r="Y31" s="67"/>
      <c r="Z31" s="77"/>
      <c r="AA31" s="87"/>
      <c r="AB31" s="68"/>
      <c r="AC31" s="67"/>
      <c r="AD31" s="87"/>
      <c r="AE31" s="87"/>
      <c r="AF31" s="68"/>
      <c r="AG31" s="67"/>
      <c r="AH31" s="87"/>
      <c r="AI31" s="74"/>
      <c r="AJ31" s="140" t="str">
        <f t="shared" si="9"/>
        <v/>
      </c>
      <c r="AM31" s="136">
        <v>10</v>
      </c>
      <c r="AN31" s="137" t="str">
        <f t="shared" si="10"/>
        <v>N</v>
      </c>
    </row>
    <row r="32" spans="1:44" ht="30">
      <c r="A32" s="64"/>
      <c r="B32" s="109">
        <v>29</v>
      </c>
      <c r="C32" s="69" t="s">
        <v>906</v>
      </c>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74"/>
      <c r="AJ32" s="140" t="str">
        <f t="shared" si="9"/>
        <v/>
      </c>
      <c r="AM32" s="136"/>
      <c r="AN32" s="137" t="str">
        <f t="shared" si="10"/>
        <v/>
      </c>
    </row>
    <row r="33" spans="1:40" ht="300">
      <c r="A33" s="64"/>
      <c r="B33" s="108">
        <v>32</v>
      </c>
      <c r="C33" s="82" t="s">
        <v>905</v>
      </c>
      <c r="D33" s="117" t="s">
        <v>904</v>
      </c>
      <c r="E33" s="82" t="s">
        <v>903</v>
      </c>
      <c r="F33" s="82" t="s">
        <v>901</v>
      </c>
      <c r="G33" s="10" t="s">
        <v>1257</v>
      </c>
      <c r="H33" s="10" t="s">
        <v>1256</v>
      </c>
      <c r="I33" s="82" t="s">
        <v>902</v>
      </c>
      <c r="J33" s="82"/>
      <c r="K33" s="82"/>
      <c r="L33" s="67" t="s">
        <v>53</v>
      </c>
      <c r="M33" s="82" t="s">
        <v>0</v>
      </c>
      <c r="N33" s="87" t="s">
        <v>27</v>
      </c>
      <c r="O33" s="87" t="s">
        <v>0</v>
      </c>
      <c r="P33" s="68">
        <v>42782</v>
      </c>
      <c r="Q33" s="67" t="s">
        <v>1302</v>
      </c>
      <c r="R33" s="77"/>
      <c r="S33" s="87" t="s">
        <v>0</v>
      </c>
      <c r="T33" s="68">
        <v>42782</v>
      </c>
      <c r="U33" s="67" t="s">
        <v>27</v>
      </c>
      <c r="V33" s="67"/>
      <c r="W33" s="77"/>
      <c r="X33" s="68"/>
      <c r="Y33" s="67"/>
      <c r="Z33" s="77"/>
      <c r="AA33" s="87"/>
      <c r="AB33" s="68"/>
      <c r="AC33" s="67"/>
      <c r="AD33" s="87"/>
      <c r="AE33" s="87"/>
      <c r="AF33" s="68"/>
      <c r="AG33" s="67"/>
      <c r="AH33" s="87"/>
      <c r="AI33" s="74"/>
      <c r="AJ33" s="140" t="str">
        <f t="shared" si="9"/>
        <v/>
      </c>
      <c r="AM33" s="136">
        <v>10</v>
      </c>
      <c r="AN33" s="137" t="str">
        <f t="shared" si="10"/>
        <v>N</v>
      </c>
    </row>
  </sheetData>
  <autoFilter ref="B14:AJ33"/>
  <mergeCells count="14">
    <mergeCell ref="G13:H13"/>
    <mergeCell ref="O12:R12"/>
    <mergeCell ref="S12:V12"/>
    <mergeCell ref="W12:Z12"/>
    <mergeCell ref="M13:N13"/>
    <mergeCell ref="AM11:AN11"/>
    <mergeCell ref="AI11:AJ11"/>
    <mergeCell ref="AE12:AH12"/>
    <mergeCell ref="AA12:AD12"/>
    <mergeCell ref="O11:R11"/>
    <mergeCell ref="S11:V11"/>
    <mergeCell ref="W11:Z11"/>
    <mergeCell ref="AA11:AD11"/>
    <mergeCell ref="AE11:AH11"/>
  </mergeCells>
  <phoneticPr fontId="169"/>
  <hyperlinks>
    <hyperlink ref="L3" location="PCL_Summary!A1" display="PCL_Summary!A1"/>
    <hyperlink ref="L2" location="Test_Report_Summary!A1" display="Test_Report_Summary"/>
  </hyperlinks>
  <pageMargins left="0.25" right="0.25" top="0.75" bottom="0.75" header="0.3" footer="0.3"/>
  <pageSetup paperSize="9" scale="37"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V47"/>
  <sheetViews>
    <sheetView zoomScale="85" zoomScaleNormal="85" workbookViewId="0">
      <selection activeCell="F15" sqref="F15"/>
    </sheetView>
  </sheetViews>
  <sheetFormatPr defaultColWidth="9.140625" defaultRowHeight="15" outlineLevelRow="1" outlineLevelCol="1"/>
  <cols>
    <col min="1" max="1" width="2.42578125" style="66" customWidth="1"/>
    <col min="2" max="2" width="14.5703125" style="66" bestFit="1" customWidth="1"/>
    <col min="3" max="3" width="30.85546875" style="66" customWidth="1"/>
    <col min="4" max="4" width="37.85546875" style="66" customWidth="1"/>
    <col min="5" max="5" width="17.28515625" style="66" customWidth="1"/>
    <col min="6" max="8" width="14.140625" style="66" customWidth="1"/>
    <col min="9" max="9" width="21" style="66" customWidth="1"/>
    <col min="10" max="10" width="10" style="66" bestFit="1" customWidth="1"/>
    <col min="11" max="11" width="13.85546875" style="66" customWidth="1"/>
    <col min="12" max="12" width="17.42578125" style="66" customWidth="1"/>
    <col min="13" max="14" width="9.140625" style="66" customWidth="1"/>
    <col min="15" max="15" width="16.5703125" style="66" customWidth="1"/>
    <col min="16" max="16" width="12" style="66" bestFit="1" customWidth="1"/>
    <col min="17" max="17" width="14.85546875" style="66" customWidth="1"/>
    <col min="18" max="18" width="24.85546875" style="66" customWidth="1"/>
    <col min="19" max="19" width="15.5703125" style="66" customWidth="1" outlineLevel="1"/>
    <col min="20" max="22" width="11" style="66" customWidth="1" outlineLevel="1"/>
    <col min="23" max="23" width="14.42578125" style="66" customWidth="1" outlineLevel="1"/>
    <col min="24" max="26" width="11" style="66" customWidth="1" outlineLevel="1"/>
    <col min="27" max="27" width="14.42578125" style="66" customWidth="1" outlineLevel="1"/>
    <col min="28" max="30" width="11" style="66" customWidth="1" outlineLevel="1"/>
    <col min="31" max="31" width="14.42578125" style="66" customWidth="1" outlineLevel="1"/>
    <col min="32" max="34" width="11" style="66" customWidth="1" outlineLevel="1"/>
    <col min="35" max="36" width="11" style="66" customWidth="1"/>
    <col min="37" max="37" width="12.5703125" style="66" bestFit="1" customWidth="1"/>
    <col min="38" max="38" width="3.7109375" style="66" customWidth="1"/>
    <col min="39" max="39" width="14.140625" style="139" customWidth="1"/>
    <col min="40" max="40" width="18.5703125" style="139" customWidth="1"/>
    <col min="41" max="41" width="11" style="139" bestFit="1" customWidth="1"/>
    <col min="42" max="42" width="12.140625" style="139" bestFit="1" customWidth="1"/>
    <col min="43" max="43" width="9.140625" style="139"/>
    <col min="44" max="44" width="10.5703125" style="139" bestFit="1" customWidth="1"/>
    <col min="45" max="16384" width="9.140625" style="66"/>
  </cols>
  <sheetData>
    <row r="1" spans="1:126" s="128" customFormat="1" ht="15.75" outlineLevel="1" thickBot="1">
      <c r="A1" s="133" t="s">
        <v>440</v>
      </c>
      <c r="B1" s="133"/>
      <c r="C1" s="127">
        <f>COUNTA($D$15:$D$1000)-COUNTIF($K$15:$K$1000,"-")</f>
        <v>29</v>
      </c>
      <c r="D1" s="149" t="s">
        <v>1222</v>
      </c>
      <c r="E1" s="150">
        <f>COUNTIF($L$15:$L$1000,D1)</f>
        <v>0</v>
      </c>
      <c r="F1" s="127"/>
      <c r="G1" s="127"/>
      <c r="H1" s="127"/>
      <c r="I1" s="127"/>
      <c r="J1" s="127"/>
      <c r="K1" s="129"/>
      <c r="L1" s="127"/>
      <c r="M1" s="127"/>
      <c r="N1" s="127"/>
      <c r="O1" s="151" t="s">
        <v>1215</v>
      </c>
      <c r="P1" s="151">
        <f>COUNTIFS(Q15:Q1000,"*RVC*")</f>
        <v>0</v>
      </c>
      <c r="Q1" s="151" t="s">
        <v>895</v>
      </c>
      <c r="R1" s="151">
        <f>COUNTIFS(Q15:Q1000,"*GCS*")</f>
        <v>29</v>
      </c>
      <c r="S1" s="151" t="s">
        <v>1215</v>
      </c>
      <c r="T1" s="151">
        <f>COUNTIFS(U15:U1000,"*RVC*")</f>
        <v>0</v>
      </c>
      <c r="U1" s="151" t="s">
        <v>895</v>
      </c>
      <c r="V1" s="151">
        <f>COUNTIFS(U15:U1000,"*GCS*")</f>
        <v>29</v>
      </c>
      <c r="W1" s="151" t="s">
        <v>1215</v>
      </c>
      <c r="X1" s="151">
        <f>COUNTIFS(Y15:Y1000,"*RVC*")</f>
        <v>0</v>
      </c>
      <c r="Y1" s="151" t="s">
        <v>895</v>
      </c>
      <c r="Z1" s="151">
        <f>COUNTIFS(Y15:Y1000,"*GCS*")</f>
        <v>0</v>
      </c>
      <c r="AA1" s="151" t="s">
        <v>1215</v>
      </c>
      <c r="AB1" s="151">
        <f>COUNTIFS(AC15:AC1000,"*RVC*")</f>
        <v>0</v>
      </c>
      <c r="AC1" s="151" t="s">
        <v>895</v>
      </c>
      <c r="AD1" s="151">
        <f>COUNTIFS(AC15:AC1000,"*GCS*")</f>
        <v>0</v>
      </c>
      <c r="AE1" s="151" t="s">
        <v>1215</v>
      </c>
      <c r="AF1" s="151">
        <f>COUNTIFS(AG15:AG1000,"*RVC*")</f>
        <v>0</v>
      </c>
      <c r="AG1" s="151" t="s">
        <v>895</v>
      </c>
      <c r="AH1" s="151">
        <f>COUNTIFS(AG15:AG1000,"*GCS*")</f>
        <v>0</v>
      </c>
      <c r="AI1" s="127"/>
      <c r="AJ1" s="152"/>
    </row>
    <row r="2" spans="1:126" s="146" customFormat="1" ht="16.5" customHeight="1" outlineLevel="1">
      <c r="A2" s="153"/>
      <c r="B2" s="153" t="s">
        <v>425</v>
      </c>
      <c r="C2" s="145">
        <f>SUM(COUNTIF($L$15:$L$1000,{"*Ju*","*RCP*"}))</f>
        <v>0</v>
      </c>
      <c r="D2" s="99" t="s">
        <v>1223</v>
      </c>
      <c r="E2" s="100">
        <f>COUNTIF($L$15:$L$1000,D2)</f>
        <v>0</v>
      </c>
      <c r="F2" s="145"/>
      <c r="G2" s="145"/>
      <c r="H2" s="145"/>
      <c r="I2" s="145"/>
      <c r="J2" s="145"/>
      <c r="L2" s="154"/>
      <c r="M2" s="145"/>
      <c r="N2" s="145"/>
      <c r="O2" s="155"/>
      <c r="P2" s="156" t="s">
        <v>439</v>
      </c>
      <c r="Q2" s="156" t="s">
        <v>425</v>
      </c>
      <c r="R2" s="157" t="s">
        <v>438</v>
      </c>
      <c r="S2" s="155"/>
      <c r="T2" s="156" t="s">
        <v>439</v>
      </c>
      <c r="U2" s="156" t="s">
        <v>425</v>
      </c>
      <c r="V2" s="157" t="s">
        <v>438</v>
      </c>
      <c r="W2" s="155"/>
      <c r="X2" s="156" t="s">
        <v>439</v>
      </c>
      <c r="Y2" s="156" t="s">
        <v>425</v>
      </c>
      <c r="Z2" s="157" t="s">
        <v>438</v>
      </c>
      <c r="AA2" s="155"/>
      <c r="AB2" s="156" t="s">
        <v>439</v>
      </c>
      <c r="AC2" s="156" t="s">
        <v>425</v>
      </c>
      <c r="AD2" s="157" t="s">
        <v>438</v>
      </c>
      <c r="AE2" s="155"/>
      <c r="AF2" s="156" t="s">
        <v>439</v>
      </c>
      <c r="AG2" s="156" t="s">
        <v>425</v>
      </c>
      <c r="AH2" s="157" t="s">
        <v>438</v>
      </c>
      <c r="AI2" s="118" t="s">
        <v>1240</v>
      </c>
      <c r="AJ2" s="119" t="s">
        <v>423</v>
      </c>
      <c r="AK2" s="118" t="s">
        <v>1241</v>
      </c>
      <c r="AM2" s="158" t="s">
        <v>1264</v>
      </c>
      <c r="AN2" s="159">
        <f>Summary!P2</f>
        <v>1</v>
      </c>
      <c r="AO2" s="118" t="s">
        <v>1265</v>
      </c>
      <c r="AP2" s="118" t="s">
        <v>1266</v>
      </c>
      <c r="AQ2" s="118" t="s">
        <v>1267</v>
      </c>
      <c r="AR2" s="118" t="s">
        <v>1258</v>
      </c>
    </row>
    <row r="3" spans="1:126" s="146" customFormat="1" ht="16.5" customHeight="1" outlineLevel="1">
      <c r="A3" s="153"/>
      <c r="B3" s="153" t="s">
        <v>438</v>
      </c>
      <c r="C3" s="145">
        <f>C1-C2</f>
        <v>29</v>
      </c>
      <c r="D3" s="160"/>
      <c r="E3" s="148"/>
      <c r="F3" s="161"/>
      <c r="G3" s="161"/>
      <c r="H3" s="142" t="s">
        <v>1258</v>
      </c>
      <c r="I3" s="143" t="s">
        <v>1259</v>
      </c>
      <c r="J3" s="144" t="s">
        <v>1240</v>
      </c>
      <c r="L3" s="162"/>
      <c r="M3" s="163" t="s">
        <v>1215</v>
      </c>
      <c r="N3" s="163">
        <f>COUNTIFS($N$15:$N$1000,"*RVC*")</f>
        <v>0</v>
      </c>
      <c r="O3" s="164" t="s">
        <v>437</v>
      </c>
      <c r="P3" s="165">
        <f>SUM(Q3:R3)</f>
        <v>29</v>
      </c>
      <c r="Q3" s="166">
        <f>SUM(Q4:Q5)</f>
        <v>0</v>
      </c>
      <c r="R3" s="167">
        <f>SUM(R4:R5)</f>
        <v>29</v>
      </c>
      <c r="S3" s="164" t="s">
        <v>437</v>
      </c>
      <c r="T3" s="165">
        <f>SUM(U3:V3)</f>
        <v>29</v>
      </c>
      <c r="U3" s="166">
        <f>SUM(U4:U5)</f>
        <v>0</v>
      </c>
      <c r="V3" s="167">
        <f>SUM(V4:V5)</f>
        <v>29</v>
      </c>
      <c r="W3" s="164" t="s">
        <v>437</v>
      </c>
      <c r="X3" s="165">
        <f>SUM(Y3:Z3)</f>
        <v>0</v>
      </c>
      <c r="Y3" s="166">
        <f>SUM(Y4:Y5)</f>
        <v>0</v>
      </c>
      <c r="Z3" s="167">
        <f>SUM(Z4:Z5)</f>
        <v>0</v>
      </c>
      <c r="AA3" s="164" t="s">
        <v>437</v>
      </c>
      <c r="AB3" s="165">
        <f>SUM(AC3:AD3)</f>
        <v>0</v>
      </c>
      <c r="AC3" s="166">
        <f>SUM(AC4:AC5)</f>
        <v>0</v>
      </c>
      <c r="AD3" s="167">
        <f>SUM(AD4:AD5)</f>
        <v>0</v>
      </c>
      <c r="AE3" s="164" t="s">
        <v>437</v>
      </c>
      <c r="AF3" s="165">
        <f>SUM(AG3:AH3)</f>
        <v>0</v>
      </c>
      <c r="AG3" s="166">
        <f>SUM(AG4:AG5)</f>
        <v>0</v>
      </c>
      <c r="AH3" s="168">
        <f>SUM(AH4:AH5)</f>
        <v>0</v>
      </c>
      <c r="AI3" s="120">
        <f ca="1">SUMIFS($AI$15:$AI$1500,$L$15:$L$1500,"*Manual*", INDIRECT(VLOOKUP($AN$2,$AM$3:$AN$7,2,FALSE)),"*"&amp;AJ3&amp;"*")</f>
        <v>0</v>
      </c>
      <c r="AJ3" s="120" t="s">
        <v>1242</v>
      </c>
      <c r="AK3" s="121">
        <f ca="1">COUNTIFS($L$15:$L$1500, "*Manual*", INDIRECT(VLOOKUP($AN$2,$AM$3:$AN$7,2,FALSE)),  "*"&amp;AJ3&amp;"*")</f>
        <v>0</v>
      </c>
      <c r="AM3" s="141">
        <v>1</v>
      </c>
      <c r="AN3" s="141" t="s">
        <v>1268</v>
      </c>
      <c r="AO3" s="141">
        <f ca="1">SUMIFS($AI$15:$AI$1500,$L$15:$L$1500,"*Manual*", INDIRECT(AN3),"&lt;&gt;"&amp;"")</f>
        <v>212</v>
      </c>
      <c r="AP3" s="141">
        <f ca="1">COUNTIFS($L$15:$L$1500,"*Manual*",INDIRECT(AN3),"&lt;&gt;"&amp;"")</f>
        <v>29</v>
      </c>
      <c r="AQ3" s="141">
        <f ca="1">IFERROR(AO3/AP3,0)</f>
        <v>7.3103448275862073</v>
      </c>
      <c r="AR3" s="141" t="str">
        <f ca="1">IF(AQ3&gt;0,IF(AQ3&gt;=14,"D",IF(AQ3&gt;=8,"N","E")),"NOT-YET")</f>
        <v>E</v>
      </c>
    </row>
    <row r="4" spans="1:126" s="146" customFormat="1" ht="16.5" customHeight="1" outlineLevel="1">
      <c r="C4" s="145"/>
      <c r="D4" s="160"/>
      <c r="E4" s="148"/>
      <c r="H4" s="145" t="s">
        <v>1260</v>
      </c>
      <c r="I4" s="146">
        <f ca="1">COUNTIFS($L$15:$L$1500,"*Manual*",INDIRECT(VLOOKUP($AN$2,$AM$3:$AN$7,2,FALSE)),  "&lt;&gt;"&amp;"", $AI$15:$AI$1500,"*"&amp;H4&amp;"*")</f>
        <v>0</v>
      </c>
      <c r="J4" s="147">
        <f ca="1">SUMIFS($AI$15:$AI$1500,$L$15:$L$1500,"*Manual*", INDIRECT(VLOOKUP($AN$2,$AM$3:$AN$7,2,FALSE)),"&lt;&gt;"&amp;"",$AJ$15:$AJ$1500,"*"&amp;H4&amp;"*")</f>
        <v>0</v>
      </c>
      <c r="M4" s="163" t="s">
        <v>895</v>
      </c>
      <c r="N4" s="163">
        <f>COUNTIFS($N$15:$N$1000,"*GCS*")</f>
        <v>29</v>
      </c>
      <c r="O4" s="169" t="s">
        <v>0</v>
      </c>
      <c r="P4" s="170">
        <f>COUNTIF(O$15:O$1000,O4)</f>
        <v>29</v>
      </c>
      <c r="Q4" s="166">
        <f>SUM(COUNTIFS(Q$15:Q$2500,{"*Ju*","*RCP*"},O$15:O$2500,O4))</f>
        <v>0</v>
      </c>
      <c r="R4" s="171">
        <f>P4-Q4</f>
        <v>29</v>
      </c>
      <c r="S4" s="169" t="s">
        <v>0</v>
      </c>
      <c r="T4" s="170">
        <f>COUNTIF(S$15:S$1000,S4)</f>
        <v>29</v>
      </c>
      <c r="U4" s="166">
        <f>SUM(COUNTIFS(U$15:U$2500,{"*Ju*","*RCP*"},S$15:S$2500,S4))</f>
        <v>0</v>
      </c>
      <c r="V4" s="171">
        <f>T4-U4</f>
        <v>29</v>
      </c>
      <c r="W4" s="169" t="s">
        <v>0</v>
      </c>
      <c r="X4" s="170">
        <f>COUNTIF(W$15:W$1000,W4)</f>
        <v>0</v>
      </c>
      <c r="Y4" s="166">
        <f>SUM(COUNTIFS(Y$15:Y$2500,{"*Ju*","*RCP*"},W$15:W$2500,W4))</f>
        <v>0</v>
      </c>
      <c r="Z4" s="171">
        <f>X4-Y4</f>
        <v>0</v>
      </c>
      <c r="AA4" s="169" t="s">
        <v>0</v>
      </c>
      <c r="AB4" s="170">
        <f>COUNTIF(AA$15:AA$1000,AA4)</f>
        <v>0</v>
      </c>
      <c r="AC4" s="166">
        <f>SUM(COUNTIFS(AC$15:AC$2500,{"*Ju*","*RCP*"},AA$15:AA$2500,AA4))</f>
        <v>0</v>
      </c>
      <c r="AD4" s="171">
        <f>AB4-AC4</f>
        <v>0</v>
      </c>
      <c r="AE4" s="169" t="s">
        <v>0</v>
      </c>
      <c r="AF4" s="170">
        <f>COUNTIF(AE$15:AE$1000,AE4)</f>
        <v>0</v>
      </c>
      <c r="AG4" s="166">
        <f>SUM(COUNTIFS(AG$15:AG$2500,{"*Ju*","*RCP*"},AE$15:AE$2500,AE4))</f>
        <v>0</v>
      </c>
      <c r="AH4" s="172">
        <f>AF4-AG4</f>
        <v>0</v>
      </c>
      <c r="AI4" s="120">
        <f t="shared" ref="AI4:AI8" ca="1" si="0">SUMIFS($AI$15:$AI$1500,$L$15:$L$1500,"*Manual*", INDIRECT(VLOOKUP($AN$2,$AM$3:$AN$7,2,FALSE)),"*"&amp;AJ4&amp;"*")</f>
        <v>212</v>
      </c>
      <c r="AJ4" s="120" t="s">
        <v>1243</v>
      </c>
      <c r="AK4" s="121">
        <f t="shared" ref="AK4:AK9" ca="1" si="1">COUNTIFS($L$15:$L$1500, "*Manual*", INDIRECT(VLOOKUP($AN$2,$AM$3:$AN$7,2,FALSE)),  "*"&amp;AJ4&amp;"*")</f>
        <v>29</v>
      </c>
      <c r="AM4" s="141">
        <v>2</v>
      </c>
      <c r="AN4" s="141" t="s">
        <v>1269</v>
      </c>
      <c r="AO4" s="141">
        <f t="shared" ref="AO4:AO7" ca="1" si="2">SUMIFS($AI$15:$AI$1500,$L$15:$L$1500,"*Manual*", INDIRECT(AN4),"&lt;&gt;"&amp;"")</f>
        <v>212</v>
      </c>
      <c r="AP4" s="141">
        <f t="shared" ref="AP4:AP7" ca="1" si="3">COUNTIFS($L$15:$L$1500,"*Manual*",INDIRECT(AN4),"&lt;&gt;"&amp;"")</f>
        <v>29</v>
      </c>
      <c r="AQ4" s="141">
        <f t="shared" ref="AQ4:AQ7" ca="1" si="4">IFERROR(AO4/AP4,0)</f>
        <v>7.3103448275862073</v>
      </c>
      <c r="AR4" s="141" t="str">
        <f t="shared" ref="AR4:AR7" ca="1" si="5">IF(AQ4&gt;0,IF(AQ4&gt;=14,"D",IF(AQ4&gt;=8,"N","E")),"NOT-YET")</f>
        <v>E</v>
      </c>
    </row>
    <row r="5" spans="1:126" s="146" customFormat="1" ht="16.5" customHeight="1" outlineLevel="1">
      <c r="C5" s="145"/>
      <c r="D5" s="160"/>
      <c r="E5" s="148"/>
      <c r="H5" s="145" t="s">
        <v>1261</v>
      </c>
      <c r="I5" s="146">
        <f t="shared" ref="I5:I6" ca="1" si="6">COUNTIFS($L$15:$L$1500,"*Manual*",INDIRECT(VLOOKUP($AN$2,$AM$3:$AN$7,2,FALSE)),  "&lt;&gt;"&amp;"", $AI$15:$AI$1500,"*"&amp;H5&amp;"*")</f>
        <v>0</v>
      </c>
      <c r="J5" s="147">
        <f t="shared" ref="J5:J6" ca="1" si="7">SUMIFS($AI$15:$AI$1500,$L$15:$L$1500,"*Manual*", INDIRECT(VLOOKUP($AN$2,$AM$3:$AN$7,2,FALSE)),"&lt;&gt;"&amp;"",$AJ$15:$AJ$1500,"*"&amp;H5&amp;"*")</f>
        <v>90</v>
      </c>
      <c r="K5" s="148"/>
      <c r="M5" s="101" t="s">
        <v>0</v>
      </c>
      <c r="N5" s="101">
        <f>COUNTIFS($M$15:$M$1000,"*Pass*")</f>
        <v>29</v>
      </c>
      <c r="O5" s="173" t="s">
        <v>436</v>
      </c>
      <c r="P5" s="174">
        <f>SUM(P6:P9)</f>
        <v>0</v>
      </c>
      <c r="Q5" s="166">
        <f>SUM(Q6:Q9)</f>
        <v>0</v>
      </c>
      <c r="R5" s="171">
        <f>SUM(R6:R9)</f>
        <v>0</v>
      </c>
      <c r="S5" s="173" t="s">
        <v>436</v>
      </c>
      <c r="T5" s="174">
        <f>SUM(T6:T9)</f>
        <v>0</v>
      </c>
      <c r="U5" s="166">
        <f>SUM(U6:U9)</f>
        <v>0</v>
      </c>
      <c r="V5" s="171">
        <f>SUM(V6:V9)</f>
        <v>0</v>
      </c>
      <c r="W5" s="173" t="s">
        <v>436</v>
      </c>
      <c r="X5" s="174">
        <f>SUM(X6:X9)</f>
        <v>0</v>
      </c>
      <c r="Y5" s="166">
        <f>SUM(Y6:Y9)</f>
        <v>0</v>
      </c>
      <c r="Z5" s="171">
        <f>SUM(Z6:Z9)</f>
        <v>0</v>
      </c>
      <c r="AA5" s="173" t="s">
        <v>436</v>
      </c>
      <c r="AB5" s="174">
        <f>SUM(AB6:AB9)</f>
        <v>0</v>
      </c>
      <c r="AC5" s="166">
        <f>SUM(AC6:AC9)</f>
        <v>0</v>
      </c>
      <c r="AD5" s="171">
        <f>SUM(AD6:AD9)</f>
        <v>0</v>
      </c>
      <c r="AE5" s="173" t="s">
        <v>436</v>
      </c>
      <c r="AF5" s="174">
        <f>SUM(AF6:AF9)</f>
        <v>0</v>
      </c>
      <c r="AG5" s="166">
        <f>SUM(AG6:AG9)</f>
        <v>0</v>
      </c>
      <c r="AH5" s="172">
        <f>SUM(AH6:AH9)</f>
        <v>0</v>
      </c>
      <c r="AI5" s="120">
        <f t="shared" ca="1" si="0"/>
        <v>0</v>
      </c>
      <c r="AJ5" s="120" t="s">
        <v>1244</v>
      </c>
      <c r="AK5" s="121">
        <f t="shared" ca="1" si="1"/>
        <v>0</v>
      </c>
      <c r="AM5" s="141">
        <v>3</v>
      </c>
      <c r="AN5" s="141" t="s">
        <v>1270</v>
      </c>
      <c r="AO5" s="141">
        <f t="shared" ca="1" si="2"/>
        <v>0</v>
      </c>
      <c r="AP5" s="141">
        <f t="shared" ca="1" si="3"/>
        <v>0</v>
      </c>
      <c r="AQ5" s="141">
        <f t="shared" ca="1" si="4"/>
        <v>0</v>
      </c>
      <c r="AR5" s="141" t="str">
        <f t="shared" ca="1" si="5"/>
        <v>NOT-YET</v>
      </c>
    </row>
    <row r="6" spans="1:126" s="146" customFormat="1" ht="16.5" customHeight="1" outlineLevel="1">
      <c r="A6" s="175" t="s">
        <v>1224</v>
      </c>
      <c r="C6" s="145">
        <f>COUNTIF($K$15:$K$1000,"5.3")</f>
        <v>0</v>
      </c>
      <c r="D6" s="145"/>
      <c r="E6" s="160"/>
      <c r="H6" s="145" t="s">
        <v>1262</v>
      </c>
      <c r="I6" s="146">
        <f t="shared" ca="1" si="6"/>
        <v>0</v>
      </c>
      <c r="J6" s="147">
        <f t="shared" ca="1" si="7"/>
        <v>122</v>
      </c>
      <c r="K6" s="148"/>
      <c r="M6" s="101" t="s">
        <v>436</v>
      </c>
      <c r="N6" s="101">
        <f>COUNTIFS($M$15:$M$1000,"*Fail*")</f>
        <v>0</v>
      </c>
      <c r="O6" s="173" t="s">
        <v>435</v>
      </c>
      <c r="P6" s="174">
        <f>COUNTIF(O$15:O$1000,"*"&amp;O6&amp;"*")</f>
        <v>0</v>
      </c>
      <c r="Q6" s="166">
        <f>SUM(COUNTIFS(Q$15:Q$2500,{"*Ju*","*RCP*"},O$15:O$2500,O6))</f>
        <v>0</v>
      </c>
      <c r="R6" s="171">
        <f>P6-Q6</f>
        <v>0</v>
      </c>
      <c r="S6" s="173" t="s">
        <v>435</v>
      </c>
      <c r="T6" s="174">
        <f>COUNTIF(S$15:S$1000,"*"&amp;S6&amp;"*")</f>
        <v>0</v>
      </c>
      <c r="U6" s="166">
        <f>SUM(COUNTIFS(U$15:U$2500,{"*Ju*","*RCP*"},S$15:S$2500,S6))</f>
        <v>0</v>
      </c>
      <c r="V6" s="171">
        <f>T6-U6</f>
        <v>0</v>
      </c>
      <c r="W6" s="173" t="s">
        <v>435</v>
      </c>
      <c r="X6" s="174">
        <f>COUNTIF(W$15:W$1000,"*"&amp;W6&amp;"*")</f>
        <v>0</v>
      </c>
      <c r="Y6" s="166">
        <f>SUM(COUNTIFS(Y$15:Y$2500,{"*Ju*","*RCP*"},W$15:W$2500,W6))</f>
        <v>0</v>
      </c>
      <c r="Z6" s="171">
        <f>X6-Y6</f>
        <v>0</v>
      </c>
      <c r="AA6" s="173" t="s">
        <v>435</v>
      </c>
      <c r="AB6" s="174">
        <f>COUNTIF(AA$15:AA$1000,"*"&amp;AA6&amp;"*")</f>
        <v>0</v>
      </c>
      <c r="AC6" s="166">
        <f>SUM(COUNTIFS(AC$15:AC$2500,{"*Ju*","*RCP*"},AA$15:AA$2500,AA6))</f>
        <v>0</v>
      </c>
      <c r="AD6" s="171">
        <f>AB6-AC6</f>
        <v>0</v>
      </c>
      <c r="AE6" s="173" t="s">
        <v>435</v>
      </c>
      <c r="AF6" s="174">
        <f>COUNTIF(AE$15:AE$1000,"*"&amp;AE6&amp;"*")</f>
        <v>0</v>
      </c>
      <c r="AG6" s="166">
        <f>SUM(COUNTIFS(AG$15:AG$2500,{"*Ju*","*RCP*"},AE$15:AE$2500,AE6))</f>
        <v>0</v>
      </c>
      <c r="AH6" s="172">
        <f>AF6-AG6</f>
        <v>0</v>
      </c>
      <c r="AI6" s="120">
        <f t="shared" ca="1" si="0"/>
        <v>0</v>
      </c>
      <c r="AJ6" s="120" t="s">
        <v>1245</v>
      </c>
      <c r="AK6" s="121">
        <f t="shared" ca="1" si="1"/>
        <v>0</v>
      </c>
      <c r="AM6" s="141">
        <v>4</v>
      </c>
      <c r="AN6" s="141" t="s">
        <v>1271</v>
      </c>
      <c r="AO6" s="141">
        <f t="shared" ca="1" si="2"/>
        <v>0</v>
      </c>
      <c r="AP6" s="141">
        <f t="shared" ca="1" si="3"/>
        <v>0</v>
      </c>
      <c r="AQ6" s="141">
        <f ca="1">IFERROR(AO6/AP6,0)</f>
        <v>0</v>
      </c>
      <c r="AR6" s="141" t="str">
        <f t="shared" ca="1" si="5"/>
        <v>NOT-YET</v>
      </c>
    </row>
    <row r="7" spans="1:126" s="146" customFormat="1" ht="16.5" customHeight="1" outlineLevel="1">
      <c r="C7" s="145"/>
      <c r="D7" s="145"/>
      <c r="E7" s="160"/>
      <c r="H7" s="145"/>
      <c r="I7" s="148"/>
      <c r="K7" s="148"/>
      <c r="M7" s="101" t="s">
        <v>1225</v>
      </c>
      <c r="N7" s="101">
        <f>COUNTIFS($M$15:$M$1000,"*Skip*")</f>
        <v>0</v>
      </c>
      <c r="O7" s="173" t="s">
        <v>283</v>
      </c>
      <c r="P7" s="174">
        <f>COUNTIF(O$15:O$1000,"*"&amp;O7&amp;"*")</f>
        <v>0</v>
      </c>
      <c r="Q7" s="166">
        <f>SUM(COUNTIFS(Q$15:Q$2500,{"*Ju*","*RCP*"},O$15:O$2500,O7))</f>
        <v>0</v>
      </c>
      <c r="R7" s="171">
        <f>P7-Q7</f>
        <v>0</v>
      </c>
      <c r="S7" s="173" t="s">
        <v>283</v>
      </c>
      <c r="T7" s="174">
        <f>COUNTIF(S$15:S$1000,"*"&amp;S7&amp;"*")</f>
        <v>0</v>
      </c>
      <c r="U7" s="166">
        <f>SUM(COUNTIFS(U$15:U$2500,{"*Ju*","*RCP*"},S$15:S$2500,S7))</f>
        <v>0</v>
      </c>
      <c r="V7" s="171">
        <f>T7-U7</f>
        <v>0</v>
      </c>
      <c r="W7" s="173" t="s">
        <v>283</v>
      </c>
      <c r="X7" s="174">
        <f>COUNTIF(W$15:W$1000,"*"&amp;W7&amp;"*")</f>
        <v>0</v>
      </c>
      <c r="Y7" s="166">
        <f>SUM(COUNTIFS(Y$15:Y$2500,{"*Ju*","*RCP*"},W$15:W$2500,W7))</f>
        <v>0</v>
      </c>
      <c r="Z7" s="171">
        <f>X7-Y7</f>
        <v>0</v>
      </c>
      <c r="AA7" s="173" t="s">
        <v>283</v>
      </c>
      <c r="AB7" s="174">
        <f>COUNTIF(AA$15:AA$1000,"*"&amp;AA7&amp;"*")</f>
        <v>0</v>
      </c>
      <c r="AC7" s="166">
        <f>SUM(COUNTIFS(AC$15:AC$2500,{"*Ju*","*RCP*"},AA$15:AA$2500,AA7))</f>
        <v>0</v>
      </c>
      <c r="AD7" s="171">
        <f>AB7-AC7</f>
        <v>0</v>
      </c>
      <c r="AE7" s="173" t="s">
        <v>283</v>
      </c>
      <c r="AF7" s="174">
        <f>COUNTIF(AE$15:AE$1000,"*"&amp;AE7&amp;"*")</f>
        <v>0</v>
      </c>
      <c r="AG7" s="166">
        <f>SUM(COUNTIFS(AG$15:AG$2500,{"*Ju*","*RCP*"},AE$15:AE$2500,AE7))</f>
        <v>0</v>
      </c>
      <c r="AH7" s="172">
        <f>AF7-AG7</f>
        <v>0</v>
      </c>
      <c r="AI7" s="120">
        <f t="shared" ca="1" si="0"/>
        <v>0</v>
      </c>
      <c r="AJ7" s="120" t="s">
        <v>1246</v>
      </c>
      <c r="AK7" s="121">
        <f t="shared" ca="1" si="1"/>
        <v>0</v>
      </c>
      <c r="AM7" s="141">
        <v>5</v>
      </c>
      <c r="AN7" s="141" t="s">
        <v>1272</v>
      </c>
      <c r="AO7" s="141">
        <f t="shared" ca="1" si="2"/>
        <v>0</v>
      </c>
      <c r="AP7" s="141">
        <f t="shared" ca="1" si="3"/>
        <v>0</v>
      </c>
      <c r="AQ7" s="141">
        <f t="shared" ca="1" si="4"/>
        <v>0</v>
      </c>
      <c r="AR7" s="141" t="str">
        <f t="shared" ca="1" si="5"/>
        <v>NOT-YET</v>
      </c>
    </row>
    <row r="8" spans="1:126" s="146" customFormat="1" ht="16.5" customHeight="1" outlineLevel="1">
      <c r="C8" s="145"/>
      <c r="D8" s="145"/>
      <c r="E8" s="160"/>
      <c r="H8" s="122" t="s">
        <v>1263</v>
      </c>
      <c r="I8" s="146">
        <f ca="1">COUNTIFS($L$15:$L$1500,"*Manual*",INDIRECT(VLOOKUP($AN$2,$AM$3:$AN$7,2,FALSE)),  "&lt;&gt;"&amp;"", $AI$15:$AI$1500,"&gt;=60")</f>
        <v>0</v>
      </c>
      <c r="J8" s="147">
        <f ca="1">SUMIFS($AI$15:$AI$1500,$L$15:$L$1500,"*Manual*", INDIRECT(VLOOKUP($AN$2,$AM$3:$AN$7,2,FALSE)),"&lt;&gt;"&amp;"",$AI$15:$AI$1500,"&gt;=60")</f>
        <v>0</v>
      </c>
      <c r="K8" s="148"/>
      <c r="O8" s="173" t="s">
        <v>434</v>
      </c>
      <c r="P8" s="174">
        <f>COUNTIF(O$15:O$1000,"*"&amp;O8&amp;"*")</f>
        <v>0</v>
      </c>
      <c r="Q8" s="166">
        <f>SUM(COUNTIFS(Q$15:Q$2500,{"*Ju*","*RCP*"},O$15:O$2500,O8))</f>
        <v>0</v>
      </c>
      <c r="R8" s="171">
        <f>P8-Q8</f>
        <v>0</v>
      </c>
      <c r="S8" s="173" t="s">
        <v>434</v>
      </c>
      <c r="T8" s="174">
        <f>COUNTIF(S$15:S$1000,"*"&amp;S8&amp;"*")</f>
        <v>0</v>
      </c>
      <c r="U8" s="166">
        <f>SUM(COUNTIFS(U$15:U$2500,{"*Ju*","*RCP*"},S$15:S$2500,S8))</f>
        <v>0</v>
      </c>
      <c r="V8" s="171">
        <f>T8-U8</f>
        <v>0</v>
      </c>
      <c r="W8" s="173" t="s">
        <v>434</v>
      </c>
      <c r="X8" s="174">
        <f>COUNTIF(W$15:W$1000,"*"&amp;W8&amp;"*")</f>
        <v>0</v>
      </c>
      <c r="Y8" s="166">
        <f>SUM(COUNTIFS(Y$15:Y$2500,{"*Ju*","*RCP*"},W$15:W$2500,W8))</f>
        <v>0</v>
      </c>
      <c r="Z8" s="171">
        <f>X8-Y8</f>
        <v>0</v>
      </c>
      <c r="AA8" s="173" t="s">
        <v>434</v>
      </c>
      <c r="AB8" s="174">
        <f>COUNTIF(AA$15:AA$1000,"*"&amp;AA8&amp;"*")</f>
        <v>0</v>
      </c>
      <c r="AC8" s="166">
        <f>SUM(COUNTIFS(AC$15:AC$2500,{"*Ju*","*RCP*"},AA$15:AA$2500,AA8))</f>
        <v>0</v>
      </c>
      <c r="AD8" s="171">
        <f>AB8-AC8</f>
        <v>0</v>
      </c>
      <c r="AE8" s="173" t="s">
        <v>434</v>
      </c>
      <c r="AF8" s="174">
        <f>COUNTIF(AE$15:AE$1000,"*"&amp;AE8&amp;"*")</f>
        <v>0</v>
      </c>
      <c r="AG8" s="166">
        <f>SUM(COUNTIFS(AG$15:AG$2500,{"*Ju*","*RCP*"},AE$15:AE$2500,AE8))</f>
        <v>0</v>
      </c>
      <c r="AH8" s="172">
        <f>AF8-AG8</f>
        <v>0</v>
      </c>
      <c r="AI8" s="120">
        <f t="shared" ca="1" si="0"/>
        <v>0</v>
      </c>
      <c r="AJ8" s="120" t="s">
        <v>1276</v>
      </c>
      <c r="AK8" s="121">
        <f t="shared" ca="1" si="1"/>
        <v>0</v>
      </c>
      <c r="AO8" s="176"/>
    </row>
    <row r="9" spans="1:126" s="146" customFormat="1" ht="16.5" customHeight="1" outlineLevel="1">
      <c r="C9" s="145"/>
      <c r="D9" s="145"/>
      <c r="E9" s="160"/>
      <c r="I9" s="161"/>
      <c r="J9" s="145"/>
      <c r="K9" s="148"/>
      <c r="O9" s="173" t="s">
        <v>18</v>
      </c>
      <c r="P9" s="174">
        <f>COUNTIF(O$15:O$1000,"*"&amp;O9&amp;"*")</f>
        <v>0</v>
      </c>
      <c r="Q9" s="166">
        <f>SUM(COUNTIFS(Q$15:Q$2500,{"*Ju*","*RCP*"},O$15:O$2500,O9))</f>
        <v>0</v>
      </c>
      <c r="R9" s="171">
        <f>P9-Q9</f>
        <v>0</v>
      </c>
      <c r="S9" s="173" t="s">
        <v>18</v>
      </c>
      <c r="T9" s="174">
        <f>COUNTIF(S$15:S$1000,"*"&amp;S9&amp;"*")</f>
        <v>0</v>
      </c>
      <c r="U9" s="166">
        <f>SUM(COUNTIFS(U$15:U$2500,{"*Ju*","*RCP*"},S$15:S$2500,S9))</f>
        <v>0</v>
      </c>
      <c r="V9" s="171">
        <f>T9-U9</f>
        <v>0</v>
      </c>
      <c r="W9" s="173" t="s">
        <v>18</v>
      </c>
      <c r="X9" s="174">
        <f>COUNTIF(W$15:W$1000,"*"&amp;W9&amp;"*")</f>
        <v>0</v>
      </c>
      <c r="Y9" s="166">
        <f>SUM(COUNTIFS(Y$15:Y$2500,{"*Ju*","*RCP*"},W$15:W$2500,W9))</f>
        <v>0</v>
      </c>
      <c r="Z9" s="171">
        <f>X9-Y9</f>
        <v>0</v>
      </c>
      <c r="AA9" s="173" t="s">
        <v>18</v>
      </c>
      <c r="AB9" s="174">
        <f>COUNTIF(AA$15:AA$1000,"*"&amp;AA9&amp;"*")</f>
        <v>0</v>
      </c>
      <c r="AC9" s="166">
        <f>SUM(COUNTIFS(AC$15:AC$2500,{"*Ju*","*RCP*"},AA$15:AA$2500,AA9))</f>
        <v>0</v>
      </c>
      <c r="AD9" s="171">
        <f>AB9-AC9</f>
        <v>0</v>
      </c>
      <c r="AE9" s="173" t="s">
        <v>18</v>
      </c>
      <c r="AF9" s="174">
        <f>COUNTIF(AE$15:AE$1000,"*"&amp;AE9&amp;"*")</f>
        <v>0</v>
      </c>
      <c r="AG9" s="166">
        <f>SUM(COUNTIFS(AG$15:AG$2500,{"*Ju*","*RCP*"},AE$15:AE$2500,AE9))</f>
        <v>0</v>
      </c>
      <c r="AH9" s="172">
        <f>AF9-AG9</f>
        <v>0</v>
      </c>
      <c r="AI9" s="120">
        <f ca="1">SUMIFS($AI$15:$AI$1500,$L$15:$L$1500,"*Manual*", INDIRECT(VLOOKUP($AN$2,$AM$3:$AN$7,2,FALSE)),"*"&amp;AJ9&amp;"*")</f>
        <v>0</v>
      </c>
      <c r="AJ9" s="120" t="s">
        <v>1277</v>
      </c>
      <c r="AK9" s="121">
        <f t="shared" ca="1" si="1"/>
        <v>0</v>
      </c>
      <c r="AM9" s="177"/>
      <c r="AN9" s="177"/>
    </row>
    <row r="10" spans="1:126" s="146" customFormat="1" ht="16.5" customHeight="1" outlineLevel="1" thickBot="1">
      <c r="C10" s="145"/>
      <c r="D10" s="145"/>
      <c r="E10" s="160"/>
      <c r="I10" s="161"/>
      <c r="J10" s="145"/>
      <c r="K10" s="148"/>
      <c r="O10" s="178" t="s">
        <v>1278</v>
      </c>
      <c r="P10" s="179">
        <f>COUNTIF(O$15:O$1000,"*"&amp;O10&amp;"*")</f>
        <v>0</v>
      </c>
      <c r="Q10" s="166">
        <f>SUM(COUNTIFS(Q$15:Q$2500,{"*Ju*","*RCP*"},O$15:O$2500,O10))</f>
        <v>0</v>
      </c>
      <c r="R10" s="180">
        <f>P10-Q10</f>
        <v>0</v>
      </c>
      <c r="S10" s="178" t="s">
        <v>1278</v>
      </c>
      <c r="T10" s="179">
        <f>COUNTIF(S$15:S$1000,"*"&amp;S10&amp;"*")</f>
        <v>0</v>
      </c>
      <c r="U10" s="166">
        <f>SUM(COUNTIFS(U$15:U$2500,{"*Ju*","*RCP*"},S$15:S$2500,S10))</f>
        <v>0</v>
      </c>
      <c r="V10" s="180">
        <f>T10-U10</f>
        <v>0</v>
      </c>
      <c r="W10" s="178" t="s">
        <v>1278</v>
      </c>
      <c r="X10" s="179">
        <f>COUNTIF(W$15:W$1000,"*"&amp;W10&amp;"*")</f>
        <v>0</v>
      </c>
      <c r="Y10" s="166">
        <f>SUM(COUNTIFS(Y$15:Y$2500,{"*Ju*","*RCP*"},W$15:W$2500,W10))</f>
        <v>0</v>
      </c>
      <c r="Z10" s="180">
        <f>X10-Y10</f>
        <v>0</v>
      </c>
      <c r="AA10" s="178" t="s">
        <v>1278</v>
      </c>
      <c r="AB10" s="179">
        <f>COUNTIF(AA$15:AA$1000,"*"&amp;AA10&amp;"*")</f>
        <v>0</v>
      </c>
      <c r="AC10" s="166">
        <f>SUM(COUNTIFS(AC$15:AC$2500,{"*Ju*","*RCP*"},AA$15:AA$2500,AA10))</f>
        <v>0</v>
      </c>
      <c r="AD10" s="180">
        <f>AB10-AC10</f>
        <v>0</v>
      </c>
      <c r="AE10" s="178" t="s">
        <v>1278</v>
      </c>
      <c r="AF10" s="179">
        <f>COUNTIF(AE$15:AE$1000,"*"&amp;AE10&amp;"*")</f>
        <v>0</v>
      </c>
      <c r="AG10" s="166">
        <f>SUM(COUNTIFS(AG$15:AG$2500,{"*Ju*","*RCP*"},AE$15:AE$2500,AE10))</f>
        <v>0</v>
      </c>
      <c r="AH10" s="181">
        <f>AF10-AG10</f>
        <v>0</v>
      </c>
      <c r="AI10" s="182">
        <f ca="1">SUM(AI3:AI9)</f>
        <v>212</v>
      </c>
      <c r="AJ10" s="191">
        <f ca="1" xml:space="preserve"> IFERROR($AG$10/$AI$10,0)</f>
        <v>0</v>
      </c>
      <c r="AK10" s="183">
        <f ca="1">SUM(AK3:AK9)</f>
        <v>29</v>
      </c>
      <c r="AM10" s="147"/>
      <c r="AN10" s="147"/>
    </row>
    <row r="11" spans="1:126" s="128" customFormat="1" outlineLevel="1">
      <c r="A11" s="133"/>
      <c r="B11" s="133"/>
      <c r="C11" s="127"/>
      <c r="D11" s="127"/>
      <c r="E11" s="184"/>
      <c r="F11" s="185"/>
      <c r="G11" s="185"/>
      <c r="H11" s="185"/>
      <c r="I11" s="185"/>
      <c r="J11" s="127"/>
      <c r="K11" s="129"/>
      <c r="L11" s="185"/>
      <c r="M11" s="185"/>
      <c r="N11" s="185"/>
      <c r="O11" s="226">
        <v>1</v>
      </c>
      <c r="P11" s="226"/>
      <c r="Q11" s="226"/>
      <c r="R11" s="226"/>
      <c r="S11" s="226">
        <v>2</v>
      </c>
      <c r="T11" s="226"/>
      <c r="U11" s="226"/>
      <c r="V11" s="226"/>
      <c r="W11" s="226">
        <v>3</v>
      </c>
      <c r="X11" s="226"/>
      <c r="Y11" s="226"/>
      <c r="Z11" s="226"/>
      <c r="AA11" s="226">
        <v>4</v>
      </c>
      <c r="AB11" s="226"/>
      <c r="AC11" s="226"/>
      <c r="AD11" s="226"/>
      <c r="AE11" s="226">
        <v>5</v>
      </c>
      <c r="AF11" s="226"/>
      <c r="AG11" s="226"/>
      <c r="AH11" s="226"/>
      <c r="AI11" s="227" t="s">
        <v>1275</v>
      </c>
      <c r="AJ11" s="228"/>
      <c r="AM11" s="223" t="s">
        <v>1273</v>
      </c>
      <c r="AN11" s="224"/>
    </row>
    <row r="12" spans="1:126" s="128" customFormat="1" outlineLevel="1">
      <c r="C12" s="127"/>
      <c r="D12" s="127"/>
      <c r="E12" s="127"/>
      <c r="I12" s="185"/>
      <c r="O12" s="225" t="str">
        <f>Summary!R4</f>
        <v>e2studio_v5.4.0.001-Part1</v>
      </c>
      <c r="P12" s="225"/>
      <c r="Q12" s="225"/>
      <c r="R12" s="225"/>
      <c r="S12" s="230" t="str">
        <f>Summary!AM4</f>
        <v>e2studio_v5.4.0.005</v>
      </c>
      <c r="T12" s="231"/>
      <c r="U12" s="231"/>
      <c r="V12" s="232"/>
      <c r="W12" s="225" t="str">
        <f>Summary!BH4</f>
        <v>TBD</v>
      </c>
      <c r="X12" s="225"/>
      <c r="Y12" s="225"/>
      <c r="Z12" s="225"/>
      <c r="AA12" s="225" t="str">
        <f>Summary!CC4</f>
        <v>TBD</v>
      </c>
      <c r="AB12" s="225"/>
      <c r="AC12" s="225"/>
      <c r="AD12" s="225"/>
      <c r="AE12" s="225" t="str">
        <f>Summary!CX4</f>
        <v>TBD</v>
      </c>
      <c r="AF12" s="225"/>
      <c r="AG12" s="225"/>
      <c r="AH12" s="225"/>
      <c r="AI12" s="130">
        <f>SUM(AI15:AI1500)</f>
        <v>212</v>
      </c>
      <c r="AJ12" s="130" t="str">
        <f ca="1">IF($AJ$10&gt;0,IF($AJ$10&gt;=14,"D",IF($AJ$10&gt;=8,"N","E")),"NOT-YET")</f>
        <v>NOT-YET</v>
      </c>
      <c r="AK12" s="12"/>
      <c r="AL12" s="12"/>
      <c r="AM12" s="130">
        <f>SUM($AM$15:$AM$1500)</f>
        <v>284</v>
      </c>
      <c r="AN12" s="130" t="str">
        <f>IF(AM12&gt;0,IF($AN$14&gt;=14,"D",IF($AN$14&gt;=8,"N","E")),"NOT-YET")</f>
        <v>N</v>
      </c>
    </row>
    <row r="13" spans="1:126" s="12" customFormat="1" ht="51" customHeight="1">
      <c r="A13" s="13"/>
      <c r="B13" s="17" t="s">
        <v>431</v>
      </c>
      <c r="C13" s="18" t="s">
        <v>430</v>
      </c>
      <c r="D13" s="17" t="s">
        <v>429</v>
      </c>
      <c r="E13" s="18" t="s">
        <v>428</v>
      </c>
      <c r="F13" s="188" t="s">
        <v>1209</v>
      </c>
      <c r="G13" s="219" t="s">
        <v>1283</v>
      </c>
      <c r="H13" s="220"/>
      <c r="I13" s="18" t="s">
        <v>426</v>
      </c>
      <c r="J13" s="19" t="s">
        <v>427</v>
      </c>
      <c r="K13" s="19" t="s">
        <v>1210</v>
      </c>
      <c r="L13" s="20" t="s">
        <v>425</v>
      </c>
      <c r="M13" s="221" t="s">
        <v>1281</v>
      </c>
      <c r="N13" s="221"/>
      <c r="O13" s="18" t="s">
        <v>424</v>
      </c>
      <c r="P13" s="21" t="s">
        <v>73</v>
      </c>
      <c r="Q13" s="18" t="s">
        <v>423</v>
      </c>
      <c r="R13" s="18" t="s">
        <v>422</v>
      </c>
      <c r="S13" s="18" t="s">
        <v>424</v>
      </c>
      <c r="T13" s="21" t="s">
        <v>73</v>
      </c>
      <c r="U13" s="18" t="s">
        <v>423</v>
      </c>
      <c r="V13" s="18" t="s">
        <v>422</v>
      </c>
      <c r="W13" s="18" t="s">
        <v>424</v>
      </c>
      <c r="X13" s="21" t="s">
        <v>73</v>
      </c>
      <c r="Y13" s="18" t="s">
        <v>423</v>
      </c>
      <c r="Z13" s="18" t="s">
        <v>422</v>
      </c>
      <c r="AA13" s="18" t="s">
        <v>424</v>
      </c>
      <c r="AB13" s="21" t="s">
        <v>73</v>
      </c>
      <c r="AC13" s="18" t="s">
        <v>423</v>
      </c>
      <c r="AD13" s="18" t="s">
        <v>422</v>
      </c>
      <c r="AE13" s="18" t="s">
        <v>424</v>
      </c>
      <c r="AF13" s="21" t="s">
        <v>73</v>
      </c>
      <c r="AG13" s="18" t="s">
        <v>423</v>
      </c>
      <c r="AH13" s="18" t="s">
        <v>422</v>
      </c>
      <c r="AI13" s="18" t="s">
        <v>1237</v>
      </c>
      <c r="AJ13" s="18" t="s">
        <v>432</v>
      </c>
      <c r="AM13" s="131" t="s">
        <v>1237</v>
      </c>
      <c r="AN13" s="132" t="s">
        <v>432</v>
      </c>
      <c r="AO13" s="133"/>
      <c r="AP13" s="133"/>
      <c r="AQ13" s="133"/>
      <c r="AR13" s="133"/>
    </row>
    <row r="14" spans="1:126" s="12" customFormat="1" ht="30">
      <c r="A14" s="13"/>
      <c r="B14" s="17"/>
      <c r="C14" s="18"/>
      <c r="D14" s="17"/>
      <c r="E14" s="18"/>
      <c r="F14" s="188"/>
      <c r="G14" s="124" t="s">
        <v>1284</v>
      </c>
      <c r="H14" s="125" t="s">
        <v>1282</v>
      </c>
      <c r="I14" s="18"/>
      <c r="J14" s="19"/>
      <c r="K14" s="19"/>
      <c r="L14" s="20"/>
      <c r="M14" s="188" t="s">
        <v>424</v>
      </c>
      <c r="N14" s="188" t="s">
        <v>1213</v>
      </c>
      <c r="O14" s="18"/>
      <c r="P14" s="21"/>
      <c r="Q14" s="18"/>
      <c r="R14" s="18"/>
      <c r="S14" s="18"/>
      <c r="T14" s="21"/>
      <c r="U14" s="18"/>
      <c r="V14" s="18"/>
      <c r="W14" s="18"/>
      <c r="X14" s="21"/>
      <c r="Y14" s="18"/>
      <c r="Z14" s="18"/>
      <c r="AA14" s="18"/>
      <c r="AB14" s="21"/>
      <c r="AC14" s="18"/>
      <c r="AD14" s="18"/>
      <c r="AE14" s="18"/>
      <c r="AF14" s="21"/>
      <c r="AG14" s="18"/>
      <c r="AH14" s="18"/>
      <c r="AI14" s="18"/>
      <c r="AJ14" s="18"/>
      <c r="AM14" s="134" t="s">
        <v>1274</v>
      </c>
      <c r="AN14" s="135">
        <f>IFERROR($AM$12/COUNTIF($AM$15:$AM$1500, "&gt;0"),0)</f>
        <v>9.7931034482758612</v>
      </c>
      <c r="AO14" s="133"/>
      <c r="AP14" s="133"/>
      <c r="AQ14" s="133"/>
      <c r="AR14" s="133"/>
    </row>
    <row r="15" spans="1:126" ht="180">
      <c r="A15" s="64"/>
      <c r="B15" s="67"/>
      <c r="C15" s="10" t="s">
        <v>1042</v>
      </c>
      <c r="D15" s="10"/>
      <c r="E15" s="10"/>
      <c r="F15" s="10"/>
      <c r="G15" s="10"/>
      <c r="H15" s="10"/>
      <c r="I15" s="10" t="s">
        <v>1041</v>
      </c>
      <c r="J15" s="10"/>
      <c r="K15" s="10"/>
      <c r="L15" s="87"/>
      <c r="M15" s="10"/>
      <c r="N15" s="10"/>
      <c r="O15" s="87"/>
      <c r="P15" s="67"/>
      <c r="Q15" s="67"/>
      <c r="R15" s="87"/>
      <c r="S15" s="87"/>
      <c r="T15" s="68"/>
      <c r="U15" s="67"/>
      <c r="V15" s="67"/>
      <c r="W15" s="87"/>
      <c r="X15" s="68"/>
      <c r="Y15" s="67"/>
      <c r="Z15" s="87"/>
      <c r="AA15" s="87"/>
      <c r="AB15" s="68"/>
      <c r="AC15" s="67"/>
      <c r="AD15" s="87"/>
      <c r="AE15" s="87"/>
      <c r="AF15" s="68"/>
      <c r="AG15" s="67"/>
      <c r="AH15" s="87"/>
      <c r="AI15" s="67"/>
      <c r="AJ15" s="140" t="str">
        <f t="shared" ref="AJ15:AJ47" si="8">IF(AI15&gt;0, IF(AI15&gt;=14,"D",IF(AI15&gt;=8,"N","E")),"")</f>
        <v/>
      </c>
      <c r="AM15" s="189"/>
      <c r="AN15" s="137" t="str">
        <f>IF(AM15&gt;0, IF(AM15&gt;=14,"D",IF(AM15&gt;=8,"N","E")),"")</f>
        <v/>
      </c>
      <c r="AO15" s="138"/>
      <c r="AP15" s="138"/>
      <c r="AQ15" s="138"/>
      <c r="AR15" s="138"/>
    </row>
    <row r="16" spans="1:126" s="75" customFormat="1">
      <c r="A16" s="64"/>
      <c r="B16" s="112"/>
      <c r="C16" s="112" t="s">
        <v>1040</v>
      </c>
      <c r="D16" s="112"/>
      <c r="E16" s="112"/>
      <c r="F16" s="112"/>
      <c r="G16" s="112"/>
      <c r="H16" s="112"/>
      <c r="I16" s="112"/>
      <c r="J16" s="112"/>
      <c r="K16" s="112"/>
      <c r="L16" s="113"/>
      <c r="M16" s="112"/>
      <c r="N16" s="112"/>
      <c r="O16" s="114"/>
      <c r="P16" s="112"/>
      <c r="Q16" s="112"/>
      <c r="R16" s="114"/>
      <c r="S16" s="112"/>
      <c r="T16" s="112"/>
      <c r="U16" s="112"/>
      <c r="V16" s="112"/>
      <c r="W16" s="114"/>
      <c r="X16" s="114"/>
      <c r="Y16" s="114"/>
      <c r="Z16" s="114"/>
      <c r="AA16" s="114"/>
      <c r="AB16" s="114"/>
      <c r="AC16" s="114"/>
      <c r="AD16" s="114"/>
      <c r="AE16" s="114"/>
      <c r="AF16" s="114"/>
      <c r="AG16" s="114"/>
      <c r="AH16" s="114"/>
      <c r="AI16" s="115"/>
      <c r="AJ16" s="140" t="str">
        <f t="shared" si="8"/>
        <v/>
      </c>
      <c r="AK16" s="66"/>
      <c r="AL16" s="66"/>
      <c r="AM16" s="189"/>
      <c r="AN16" s="137" t="str">
        <f>IF(AM16&gt;0, IF(AM16&gt;=14,"D",IF(AM16&gt;=8,"N","E")),"")</f>
        <v/>
      </c>
      <c r="AO16" s="138"/>
      <c r="AP16" s="138"/>
      <c r="AQ16" s="138"/>
      <c r="AR16" s="138"/>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c r="DV16" s="66"/>
    </row>
    <row r="17" spans="1:44" ht="312.75" customHeight="1">
      <c r="A17" s="64"/>
      <c r="B17" s="76" t="s">
        <v>1039</v>
      </c>
      <c r="C17" s="10" t="s">
        <v>1038</v>
      </c>
      <c r="D17" s="10" t="s">
        <v>1037</v>
      </c>
      <c r="E17" s="10"/>
      <c r="F17" s="10"/>
      <c r="G17" s="10" t="s">
        <v>1257</v>
      </c>
      <c r="H17" s="10" t="s">
        <v>1256</v>
      </c>
      <c r="I17" s="11"/>
      <c r="J17" s="10"/>
      <c r="K17" s="10" t="s">
        <v>103</v>
      </c>
      <c r="L17" s="72"/>
      <c r="M17" s="10"/>
      <c r="N17" s="10"/>
      <c r="O17" s="87"/>
      <c r="P17" s="67"/>
      <c r="Q17" s="67"/>
      <c r="R17" s="87"/>
      <c r="S17" s="87"/>
      <c r="T17" s="67"/>
      <c r="U17" s="67"/>
      <c r="V17" s="67"/>
      <c r="W17" s="87"/>
      <c r="X17" s="67"/>
      <c r="Y17" s="67"/>
      <c r="Z17" s="87"/>
      <c r="AA17" s="87"/>
      <c r="AB17" s="67"/>
      <c r="AC17" s="67"/>
      <c r="AD17" s="87"/>
      <c r="AE17" s="87"/>
      <c r="AF17" s="67"/>
      <c r="AG17" s="67"/>
      <c r="AH17" s="87"/>
      <c r="AI17" s="67"/>
      <c r="AJ17" s="140" t="str">
        <f t="shared" si="8"/>
        <v/>
      </c>
      <c r="AM17" s="189"/>
      <c r="AN17" s="137" t="str">
        <f t="shared" ref="AN17:AN47" si="9">IF(AM17&gt;0, IF(AM17&gt;=14,"D",IF(AM17&gt;=8,"N","E")),"")</f>
        <v/>
      </c>
      <c r="AO17" s="138"/>
      <c r="AP17" s="138"/>
      <c r="AQ17" s="138"/>
      <c r="AR17" s="138"/>
    </row>
    <row r="18" spans="1:44" ht="30">
      <c r="A18" s="64"/>
      <c r="B18" s="76" t="s">
        <v>1036</v>
      </c>
      <c r="C18" s="10" t="s">
        <v>1035</v>
      </c>
      <c r="D18" s="10" t="s">
        <v>1034</v>
      </c>
      <c r="E18" s="10" t="s">
        <v>950</v>
      </c>
      <c r="F18" s="10" t="s">
        <v>901</v>
      </c>
      <c r="G18" s="10" t="s">
        <v>1257</v>
      </c>
      <c r="H18" s="10" t="s">
        <v>1256</v>
      </c>
      <c r="I18" s="10"/>
      <c r="J18" s="10" t="s">
        <v>1211</v>
      </c>
      <c r="K18" s="10" t="s">
        <v>1212</v>
      </c>
      <c r="L18" s="72" t="s">
        <v>53</v>
      </c>
      <c r="M18" s="10" t="s">
        <v>0</v>
      </c>
      <c r="N18" s="10" t="s">
        <v>27</v>
      </c>
      <c r="O18" s="87" t="s">
        <v>0</v>
      </c>
      <c r="P18" s="68">
        <v>42772</v>
      </c>
      <c r="Q18" s="67" t="s">
        <v>1289</v>
      </c>
      <c r="R18" s="87" t="s">
        <v>1290</v>
      </c>
      <c r="S18" s="87" t="s">
        <v>0</v>
      </c>
      <c r="T18" s="68">
        <v>42794</v>
      </c>
      <c r="U18" s="67" t="s">
        <v>1289</v>
      </c>
      <c r="V18" s="67"/>
      <c r="W18" s="87"/>
      <c r="X18" s="68"/>
      <c r="Y18" s="67"/>
      <c r="Z18" s="87"/>
      <c r="AA18" s="87"/>
      <c r="AB18" s="68"/>
      <c r="AC18" s="67"/>
      <c r="AD18" s="87"/>
      <c r="AE18" s="87"/>
      <c r="AF18" s="68"/>
      <c r="AG18" s="67"/>
      <c r="AH18" s="87"/>
      <c r="AI18" s="93">
        <v>7</v>
      </c>
      <c r="AJ18" s="140" t="str">
        <f t="shared" si="8"/>
        <v>E</v>
      </c>
      <c r="AM18" s="190">
        <v>9</v>
      </c>
      <c r="AN18" s="137" t="str">
        <f t="shared" si="9"/>
        <v>N</v>
      </c>
      <c r="AO18" s="138"/>
      <c r="AP18" s="138"/>
      <c r="AQ18" s="138"/>
      <c r="AR18" s="138"/>
    </row>
    <row r="19" spans="1:44" ht="30">
      <c r="A19" s="64"/>
      <c r="B19" s="76" t="s">
        <v>1033</v>
      </c>
      <c r="C19" s="10" t="s">
        <v>1032</v>
      </c>
      <c r="D19" s="10" t="s">
        <v>1031</v>
      </c>
      <c r="E19" s="10" t="s">
        <v>950</v>
      </c>
      <c r="F19" s="10" t="s">
        <v>901</v>
      </c>
      <c r="G19" s="10" t="s">
        <v>1257</v>
      </c>
      <c r="H19" s="10" t="s">
        <v>1256</v>
      </c>
      <c r="I19" s="10"/>
      <c r="J19" s="10" t="s">
        <v>1211</v>
      </c>
      <c r="K19" s="10" t="s">
        <v>1212</v>
      </c>
      <c r="L19" s="72" t="s">
        <v>53</v>
      </c>
      <c r="M19" s="10" t="s">
        <v>0</v>
      </c>
      <c r="N19" s="10" t="s">
        <v>27</v>
      </c>
      <c r="O19" s="87" t="s">
        <v>0</v>
      </c>
      <c r="P19" s="68">
        <v>42772</v>
      </c>
      <c r="Q19" s="67" t="s">
        <v>1289</v>
      </c>
      <c r="R19" s="87" t="s">
        <v>1290</v>
      </c>
      <c r="S19" s="87" t="s">
        <v>0</v>
      </c>
      <c r="T19" s="68">
        <v>42794</v>
      </c>
      <c r="U19" s="67" t="s">
        <v>1289</v>
      </c>
      <c r="V19" s="67"/>
      <c r="W19" s="87"/>
      <c r="X19" s="68"/>
      <c r="Y19" s="67"/>
      <c r="Z19" s="87"/>
      <c r="AA19" s="87"/>
      <c r="AB19" s="68"/>
      <c r="AC19" s="67"/>
      <c r="AD19" s="87"/>
      <c r="AE19" s="87"/>
      <c r="AF19" s="68"/>
      <c r="AG19" s="67"/>
      <c r="AH19" s="87"/>
      <c r="AI19" s="93">
        <v>7</v>
      </c>
      <c r="AJ19" s="140" t="str">
        <f t="shared" si="8"/>
        <v>E</v>
      </c>
      <c r="AM19" s="190">
        <v>15</v>
      </c>
      <c r="AN19" s="137" t="str">
        <f t="shared" si="9"/>
        <v>D</v>
      </c>
      <c r="AO19" s="138"/>
      <c r="AP19" s="138"/>
      <c r="AQ19" s="138"/>
      <c r="AR19" s="138"/>
    </row>
    <row r="20" spans="1:44" ht="30">
      <c r="A20" s="64"/>
      <c r="B20" s="76" t="s">
        <v>1030</v>
      </c>
      <c r="C20" s="10" t="s">
        <v>1029</v>
      </c>
      <c r="D20" s="10" t="s">
        <v>1028</v>
      </c>
      <c r="E20" s="10" t="s">
        <v>950</v>
      </c>
      <c r="F20" s="10" t="s">
        <v>901</v>
      </c>
      <c r="G20" s="10" t="s">
        <v>1257</v>
      </c>
      <c r="H20" s="10" t="s">
        <v>1256</v>
      </c>
      <c r="I20" s="10"/>
      <c r="J20" s="10" t="s">
        <v>1211</v>
      </c>
      <c r="K20" s="10" t="s">
        <v>1212</v>
      </c>
      <c r="L20" s="72" t="s">
        <v>53</v>
      </c>
      <c r="M20" s="10" t="s">
        <v>0</v>
      </c>
      <c r="N20" s="10" t="s">
        <v>27</v>
      </c>
      <c r="O20" s="87" t="s">
        <v>0</v>
      </c>
      <c r="P20" s="68">
        <v>42772</v>
      </c>
      <c r="Q20" s="67" t="s">
        <v>1289</v>
      </c>
      <c r="R20" s="87" t="s">
        <v>1290</v>
      </c>
      <c r="S20" s="87" t="s">
        <v>0</v>
      </c>
      <c r="T20" s="68">
        <v>42794</v>
      </c>
      <c r="U20" s="67" t="s">
        <v>1289</v>
      </c>
      <c r="V20" s="67"/>
      <c r="W20" s="87"/>
      <c r="X20" s="68"/>
      <c r="Y20" s="67"/>
      <c r="Z20" s="87"/>
      <c r="AA20" s="87"/>
      <c r="AB20" s="68"/>
      <c r="AC20" s="67"/>
      <c r="AD20" s="87"/>
      <c r="AE20" s="87"/>
      <c r="AF20" s="68"/>
      <c r="AG20" s="67"/>
      <c r="AH20" s="87"/>
      <c r="AI20" s="93">
        <v>7</v>
      </c>
      <c r="AJ20" s="140" t="str">
        <f t="shared" si="8"/>
        <v>E</v>
      </c>
      <c r="AK20" s="99"/>
      <c r="AM20" s="190">
        <v>15</v>
      </c>
      <c r="AN20" s="137" t="str">
        <f t="shared" si="9"/>
        <v>D</v>
      </c>
      <c r="AO20" s="138"/>
      <c r="AP20" s="138"/>
      <c r="AQ20" s="138"/>
      <c r="AR20" s="138"/>
    </row>
    <row r="21" spans="1:44" ht="30">
      <c r="A21" s="64"/>
      <c r="B21" s="76" t="s">
        <v>1027</v>
      </c>
      <c r="C21" s="10" t="s">
        <v>1026</v>
      </c>
      <c r="D21" s="10" t="s">
        <v>1025</v>
      </c>
      <c r="E21" s="10" t="s">
        <v>950</v>
      </c>
      <c r="F21" s="10" t="s">
        <v>901</v>
      </c>
      <c r="G21" s="10" t="s">
        <v>1257</v>
      </c>
      <c r="H21" s="10" t="s">
        <v>1256</v>
      </c>
      <c r="I21" s="10"/>
      <c r="J21" s="10" t="s">
        <v>1211</v>
      </c>
      <c r="K21" s="10" t="s">
        <v>1212</v>
      </c>
      <c r="L21" s="72" t="s">
        <v>53</v>
      </c>
      <c r="M21" s="10" t="s">
        <v>0</v>
      </c>
      <c r="N21" s="10" t="s">
        <v>27</v>
      </c>
      <c r="O21" s="87" t="s">
        <v>0</v>
      </c>
      <c r="P21" s="68">
        <v>42772</v>
      </c>
      <c r="Q21" s="67" t="s">
        <v>1289</v>
      </c>
      <c r="R21" s="87" t="s">
        <v>1290</v>
      </c>
      <c r="S21" s="87" t="s">
        <v>0</v>
      </c>
      <c r="T21" s="68">
        <v>42794</v>
      </c>
      <c r="U21" s="67" t="s">
        <v>1289</v>
      </c>
      <c r="V21" s="67"/>
      <c r="W21" s="87"/>
      <c r="X21" s="68"/>
      <c r="Y21" s="67"/>
      <c r="Z21" s="87"/>
      <c r="AA21" s="87"/>
      <c r="AB21" s="68"/>
      <c r="AC21" s="67"/>
      <c r="AD21" s="87"/>
      <c r="AE21" s="87"/>
      <c r="AF21" s="68"/>
      <c r="AG21" s="67"/>
      <c r="AH21" s="87"/>
      <c r="AI21" s="93">
        <v>7</v>
      </c>
      <c r="AJ21" s="140" t="str">
        <f t="shared" si="8"/>
        <v>E</v>
      </c>
      <c r="AM21" s="190">
        <v>11</v>
      </c>
      <c r="AN21" s="137" t="str">
        <f t="shared" si="9"/>
        <v>N</v>
      </c>
      <c r="AO21" s="138"/>
      <c r="AP21" s="138"/>
      <c r="AQ21" s="138"/>
      <c r="AR21" s="138"/>
    </row>
    <row r="22" spans="1:44" ht="30">
      <c r="A22" s="64"/>
      <c r="B22" s="76" t="s">
        <v>1024</v>
      </c>
      <c r="C22" s="10" t="s">
        <v>1023</v>
      </c>
      <c r="D22" s="10" t="s">
        <v>1022</v>
      </c>
      <c r="E22" s="10" t="s">
        <v>950</v>
      </c>
      <c r="F22" s="10" t="s">
        <v>901</v>
      </c>
      <c r="G22" s="10" t="s">
        <v>1257</v>
      </c>
      <c r="H22" s="10" t="s">
        <v>1256</v>
      </c>
      <c r="I22" s="10"/>
      <c r="J22" s="10" t="s">
        <v>1211</v>
      </c>
      <c r="K22" s="10" t="s">
        <v>1212</v>
      </c>
      <c r="L22" s="72" t="s">
        <v>53</v>
      </c>
      <c r="M22" s="10" t="s">
        <v>0</v>
      </c>
      <c r="N22" s="10" t="s">
        <v>27</v>
      </c>
      <c r="O22" s="87" t="s">
        <v>0</v>
      </c>
      <c r="P22" s="68">
        <v>42772</v>
      </c>
      <c r="Q22" s="67" t="s">
        <v>1289</v>
      </c>
      <c r="R22" s="87" t="s">
        <v>1290</v>
      </c>
      <c r="S22" s="87" t="s">
        <v>0</v>
      </c>
      <c r="T22" s="68">
        <v>42794</v>
      </c>
      <c r="U22" s="67" t="s">
        <v>1289</v>
      </c>
      <c r="V22" s="67"/>
      <c r="W22" s="87"/>
      <c r="X22" s="68"/>
      <c r="Y22" s="67"/>
      <c r="Z22" s="87"/>
      <c r="AA22" s="87"/>
      <c r="AB22" s="68"/>
      <c r="AC22" s="67"/>
      <c r="AD22" s="87"/>
      <c r="AE22" s="87"/>
      <c r="AF22" s="68"/>
      <c r="AG22" s="67"/>
      <c r="AH22" s="87"/>
      <c r="AI22" s="93">
        <v>7</v>
      </c>
      <c r="AJ22" s="140" t="str">
        <f t="shared" si="8"/>
        <v>E</v>
      </c>
      <c r="AM22" s="190">
        <v>9</v>
      </c>
      <c r="AN22" s="137" t="str">
        <f t="shared" si="9"/>
        <v>N</v>
      </c>
      <c r="AO22" s="138"/>
      <c r="AP22" s="138"/>
      <c r="AQ22" s="138"/>
      <c r="AR22" s="138"/>
    </row>
    <row r="23" spans="1:44" ht="30">
      <c r="A23" s="64"/>
      <c r="B23" s="76" t="s">
        <v>1021</v>
      </c>
      <c r="C23" s="10" t="s">
        <v>1020</v>
      </c>
      <c r="D23" s="10" t="s">
        <v>1019</v>
      </c>
      <c r="E23" s="10" t="s">
        <v>950</v>
      </c>
      <c r="F23" s="10" t="s">
        <v>901</v>
      </c>
      <c r="G23" s="10" t="s">
        <v>1257</v>
      </c>
      <c r="H23" s="10" t="s">
        <v>1256</v>
      </c>
      <c r="I23" s="10"/>
      <c r="J23" s="10" t="s">
        <v>1211</v>
      </c>
      <c r="K23" s="10" t="s">
        <v>1212</v>
      </c>
      <c r="L23" s="72" t="s">
        <v>53</v>
      </c>
      <c r="M23" s="10" t="s">
        <v>0</v>
      </c>
      <c r="N23" s="10" t="s">
        <v>27</v>
      </c>
      <c r="O23" s="87" t="s">
        <v>0</v>
      </c>
      <c r="P23" s="68">
        <v>42772</v>
      </c>
      <c r="Q23" s="67" t="s">
        <v>1289</v>
      </c>
      <c r="R23" s="87" t="s">
        <v>1290</v>
      </c>
      <c r="S23" s="87" t="s">
        <v>0</v>
      </c>
      <c r="T23" s="68">
        <v>42794</v>
      </c>
      <c r="U23" s="67" t="s">
        <v>1289</v>
      </c>
      <c r="V23" s="67"/>
      <c r="W23" s="87"/>
      <c r="X23" s="68"/>
      <c r="Y23" s="67"/>
      <c r="Z23" s="87"/>
      <c r="AA23" s="87"/>
      <c r="AB23" s="68"/>
      <c r="AC23" s="67"/>
      <c r="AD23" s="87"/>
      <c r="AE23" s="87"/>
      <c r="AF23" s="68"/>
      <c r="AG23" s="67"/>
      <c r="AH23" s="87"/>
      <c r="AI23" s="93">
        <v>7</v>
      </c>
      <c r="AJ23" s="140" t="str">
        <f t="shared" si="8"/>
        <v>E</v>
      </c>
      <c r="AM23" s="190">
        <v>6</v>
      </c>
      <c r="AN23" s="137" t="str">
        <f t="shared" si="9"/>
        <v>E</v>
      </c>
      <c r="AO23" s="138"/>
      <c r="AP23" s="138"/>
      <c r="AQ23" s="138"/>
      <c r="AR23" s="138"/>
    </row>
    <row r="24" spans="1:44" ht="165">
      <c r="A24" s="64"/>
      <c r="B24" s="87" t="s">
        <v>1018</v>
      </c>
      <c r="C24" s="10" t="s">
        <v>1017</v>
      </c>
      <c r="D24" s="10" t="s">
        <v>1204</v>
      </c>
      <c r="E24" s="10" t="s">
        <v>950</v>
      </c>
      <c r="F24" s="10" t="s">
        <v>901</v>
      </c>
      <c r="G24" s="10" t="s">
        <v>1257</v>
      </c>
      <c r="H24" s="10" t="s">
        <v>1256</v>
      </c>
      <c r="I24" s="10"/>
      <c r="J24" s="10" t="s">
        <v>1211</v>
      </c>
      <c r="K24" s="10" t="s">
        <v>1212</v>
      </c>
      <c r="L24" s="72" t="s">
        <v>53</v>
      </c>
      <c r="M24" s="10" t="s">
        <v>0</v>
      </c>
      <c r="N24" s="10" t="s">
        <v>27</v>
      </c>
      <c r="O24" s="87" t="s">
        <v>0</v>
      </c>
      <c r="P24" s="68">
        <v>42772</v>
      </c>
      <c r="Q24" s="67" t="s">
        <v>1289</v>
      </c>
      <c r="R24" s="87" t="s">
        <v>1290</v>
      </c>
      <c r="S24" s="87" t="s">
        <v>0</v>
      </c>
      <c r="T24" s="68">
        <v>42794</v>
      </c>
      <c r="U24" s="67" t="s">
        <v>1289</v>
      </c>
      <c r="V24" s="67"/>
      <c r="W24" s="87"/>
      <c r="X24" s="68"/>
      <c r="Y24" s="67"/>
      <c r="Z24" s="87"/>
      <c r="AA24" s="87"/>
      <c r="AB24" s="68"/>
      <c r="AC24" s="67"/>
      <c r="AD24" s="87"/>
      <c r="AE24" s="87"/>
      <c r="AF24" s="68"/>
      <c r="AG24" s="67"/>
      <c r="AH24" s="87"/>
      <c r="AI24" s="93">
        <v>10</v>
      </c>
      <c r="AJ24" s="140" t="str">
        <f t="shared" si="8"/>
        <v>N</v>
      </c>
      <c r="AM24" s="190">
        <v>13</v>
      </c>
      <c r="AN24" s="137" t="str">
        <f t="shared" si="9"/>
        <v>N</v>
      </c>
      <c r="AO24" s="138"/>
      <c r="AP24" s="138"/>
      <c r="AQ24" s="138"/>
      <c r="AR24" s="138"/>
    </row>
    <row r="25" spans="1:44" ht="165">
      <c r="A25" s="64"/>
      <c r="B25" s="76" t="s">
        <v>1016</v>
      </c>
      <c r="C25" s="10" t="s">
        <v>1015</v>
      </c>
      <c r="D25" s="10" t="s">
        <v>1205</v>
      </c>
      <c r="E25" s="10" t="s">
        <v>950</v>
      </c>
      <c r="F25" s="10" t="s">
        <v>901</v>
      </c>
      <c r="G25" s="10" t="s">
        <v>1257</v>
      </c>
      <c r="H25" s="10" t="s">
        <v>1256</v>
      </c>
      <c r="I25" s="10"/>
      <c r="J25" s="10" t="s">
        <v>1211</v>
      </c>
      <c r="K25" s="10" t="s">
        <v>1212</v>
      </c>
      <c r="L25" s="72" t="s">
        <v>53</v>
      </c>
      <c r="M25" s="10" t="s">
        <v>0</v>
      </c>
      <c r="N25" s="10" t="s">
        <v>27</v>
      </c>
      <c r="O25" s="87" t="s">
        <v>0</v>
      </c>
      <c r="P25" s="68">
        <v>42772</v>
      </c>
      <c r="Q25" s="67" t="s">
        <v>1289</v>
      </c>
      <c r="R25" s="87" t="s">
        <v>1290</v>
      </c>
      <c r="S25" s="87" t="s">
        <v>0</v>
      </c>
      <c r="T25" s="68">
        <v>42794</v>
      </c>
      <c r="U25" s="67" t="s">
        <v>1289</v>
      </c>
      <c r="V25" s="67"/>
      <c r="W25" s="87"/>
      <c r="X25" s="68"/>
      <c r="Y25" s="67"/>
      <c r="Z25" s="87"/>
      <c r="AA25" s="87"/>
      <c r="AB25" s="68"/>
      <c r="AC25" s="67"/>
      <c r="AD25" s="87"/>
      <c r="AE25" s="87"/>
      <c r="AF25" s="68"/>
      <c r="AG25" s="67"/>
      <c r="AH25" s="87"/>
      <c r="AI25" s="93">
        <v>10</v>
      </c>
      <c r="AJ25" s="140" t="str">
        <f t="shared" si="8"/>
        <v>N</v>
      </c>
      <c r="AM25" s="190">
        <v>12</v>
      </c>
      <c r="AN25" s="137" t="str">
        <f t="shared" si="9"/>
        <v>N</v>
      </c>
      <c r="AO25" s="138"/>
      <c r="AP25" s="138"/>
      <c r="AQ25" s="138"/>
      <c r="AR25" s="138"/>
    </row>
    <row r="26" spans="1:44" ht="165">
      <c r="A26" s="64"/>
      <c r="B26" s="76" t="s">
        <v>1014</v>
      </c>
      <c r="C26" s="10" t="s">
        <v>1013</v>
      </c>
      <c r="D26" s="10" t="s">
        <v>1206</v>
      </c>
      <c r="E26" s="10" t="s">
        <v>950</v>
      </c>
      <c r="F26" s="10" t="s">
        <v>901</v>
      </c>
      <c r="G26" s="10" t="s">
        <v>1257</v>
      </c>
      <c r="H26" s="10" t="s">
        <v>1256</v>
      </c>
      <c r="I26" s="10"/>
      <c r="J26" s="10" t="s">
        <v>1211</v>
      </c>
      <c r="K26" s="10" t="s">
        <v>1212</v>
      </c>
      <c r="L26" s="72" t="s">
        <v>53</v>
      </c>
      <c r="M26" s="10" t="s">
        <v>0</v>
      </c>
      <c r="N26" s="10" t="s">
        <v>27</v>
      </c>
      <c r="O26" s="87" t="s">
        <v>0</v>
      </c>
      <c r="P26" s="68">
        <v>42772</v>
      </c>
      <c r="Q26" s="67" t="s">
        <v>1289</v>
      </c>
      <c r="R26" s="87" t="s">
        <v>1290</v>
      </c>
      <c r="S26" s="87" t="s">
        <v>0</v>
      </c>
      <c r="T26" s="68">
        <v>42794</v>
      </c>
      <c r="U26" s="67" t="s">
        <v>1289</v>
      </c>
      <c r="V26" s="67"/>
      <c r="W26" s="87"/>
      <c r="X26" s="68"/>
      <c r="Y26" s="67"/>
      <c r="Z26" s="87"/>
      <c r="AA26" s="87"/>
      <c r="AB26" s="68"/>
      <c r="AC26" s="67"/>
      <c r="AD26" s="87"/>
      <c r="AE26" s="87"/>
      <c r="AF26" s="68"/>
      <c r="AG26" s="67"/>
      <c r="AH26" s="87"/>
      <c r="AI26" s="93">
        <v>10</v>
      </c>
      <c r="AJ26" s="140" t="str">
        <f t="shared" si="8"/>
        <v>N</v>
      </c>
      <c r="AM26" s="190">
        <v>30</v>
      </c>
      <c r="AN26" s="137" t="str">
        <f t="shared" si="9"/>
        <v>D</v>
      </c>
      <c r="AO26" s="138"/>
      <c r="AP26" s="138"/>
      <c r="AQ26" s="138"/>
      <c r="AR26" s="138"/>
    </row>
    <row r="27" spans="1:44" ht="30">
      <c r="A27" s="64"/>
      <c r="B27" s="76" t="s">
        <v>1012</v>
      </c>
      <c r="C27" s="10" t="s">
        <v>1011</v>
      </c>
      <c r="D27" s="10" t="s">
        <v>1010</v>
      </c>
      <c r="E27" s="10" t="s">
        <v>950</v>
      </c>
      <c r="F27" s="10" t="s">
        <v>901</v>
      </c>
      <c r="G27" s="10" t="s">
        <v>1257</v>
      </c>
      <c r="H27" s="10" t="s">
        <v>1256</v>
      </c>
      <c r="I27" s="10"/>
      <c r="J27" s="10" t="s">
        <v>1211</v>
      </c>
      <c r="K27" s="10" t="s">
        <v>1212</v>
      </c>
      <c r="L27" s="72" t="s">
        <v>53</v>
      </c>
      <c r="M27" s="10" t="s">
        <v>0</v>
      </c>
      <c r="N27" s="10" t="s">
        <v>27</v>
      </c>
      <c r="O27" s="87" t="s">
        <v>0</v>
      </c>
      <c r="P27" s="68">
        <v>42772</v>
      </c>
      <c r="Q27" s="67" t="s">
        <v>1289</v>
      </c>
      <c r="R27" s="87" t="s">
        <v>1290</v>
      </c>
      <c r="S27" s="87" t="s">
        <v>0</v>
      </c>
      <c r="T27" s="68">
        <v>42794</v>
      </c>
      <c r="U27" s="67" t="s">
        <v>1289</v>
      </c>
      <c r="V27" s="67"/>
      <c r="W27" s="87"/>
      <c r="X27" s="68"/>
      <c r="Y27" s="67"/>
      <c r="Z27" s="87"/>
      <c r="AA27" s="87"/>
      <c r="AB27" s="68"/>
      <c r="AC27" s="67"/>
      <c r="AD27" s="87"/>
      <c r="AE27" s="87"/>
      <c r="AF27" s="68"/>
      <c r="AG27" s="67"/>
      <c r="AH27" s="87"/>
      <c r="AI27" s="93">
        <v>7</v>
      </c>
      <c r="AJ27" s="140" t="str">
        <f t="shared" si="8"/>
        <v>E</v>
      </c>
      <c r="AM27" s="190">
        <v>10</v>
      </c>
      <c r="AN27" s="137" t="str">
        <f t="shared" si="9"/>
        <v>N</v>
      </c>
      <c r="AO27" s="138"/>
      <c r="AP27" s="138"/>
      <c r="AQ27" s="138"/>
      <c r="AR27" s="138"/>
    </row>
    <row r="28" spans="1:44" ht="30">
      <c r="A28" s="64"/>
      <c r="B28" s="76" t="s">
        <v>1009</v>
      </c>
      <c r="C28" s="10" t="s">
        <v>1008</v>
      </c>
      <c r="D28" s="10" t="s">
        <v>1007</v>
      </c>
      <c r="E28" s="10" t="s">
        <v>950</v>
      </c>
      <c r="F28" s="10" t="s">
        <v>901</v>
      </c>
      <c r="G28" s="10" t="s">
        <v>1257</v>
      </c>
      <c r="H28" s="10" t="s">
        <v>1256</v>
      </c>
      <c r="I28" s="10"/>
      <c r="J28" s="10" t="s">
        <v>1211</v>
      </c>
      <c r="K28" s="10" t="s">
        <v>1212</v>
      </c>
      <c r="L28" s="72" t="s">
        <v>53</v>
      </c>
      <c r="M28" s="10" t="s">
        <v>0</v>
      </c>
      <c r="N28" s="10" t="s">
        <v>27</v>
      </c>
      <c r="O28" s="87" t="s">
        <v>0</v>
      </c>
      <c r="P28" s="68">
        <v>42772</v>
      </c>
      <c r="Q28" s="67" t="s">
        <v>1289</v>
      </c>
      <c r="R28" s="87" t="s">
        <v>1290</v>
      </c>
      <c r="S28" s="87" t="s">
        <v>0</v>
      </c>
      <c r="T28" s="68">
        <v>42794</v>
      </c>
      <c r="U28" s="67" t="s">
        <v>1289</v>
      </c>
      <c r="V28" s="67"/>
      <c r="W28" s="87"/>
      <c r="X28" s="68"/>
      <c r="Y28" s="67"/>
      <c r="Z28" s="87"/>
      <c r="AA28" s="87"/>
      <c r="AB28" s="68"/>
      <c r="AC28" s="67"/>
      <c r="AD28" s="87"/>
      <c r="AE28" s="87"/>
      <c r="AF28" s="68"/>
      <c r="AG28" s="67"/>
      <c r="AH28" s="87"/>
      <c r="AI28" s="93">
        <v>7</v>
      </c>
      <c r="AJ28" s="140" t="str">
        <f t="shared" si="8"/>
        <v>E</v>
      </c>
      <c r="AM28" s="190">
        <v>10</v>
      </c>
      <c r="AN28" s="137" t="str">
        <f t="shared" si="9"/>
        <v>N</v>
      </c>
      <c r="AO28" s="138"/>
      <c r="AP28" s="138"/>
      <c r="AQ28" s="138"/>
      <c r="AR28" s="138"/>
    </row>
    <row r="29" spans="1:44" ht="30">
      <c r="A29" s="64"/>
      <c r="B29" s="76" t="s">
        <v>1006</v>
      </c>
      <c r="C29" s="10" t="s">
        <v>1005</v>
      </c>
      <c r="D29" s="10" t="s">
        <v>1004</v>
      </c>
      <c r="E29" s="10" t="s">
        <v>950</v>
      </c>
      <c r="F29" s="10" t="s">
        <v>901</v>
      </c>
      <c r="G29" s="10" t="s">
        <v>1257</v>
      </c>
      <c r="H29" s="10" t="s">
        <v>1256</v>
      </c>
      <c r="I29" s="10"/>
      <c r="J29" s="10" t="s">
        <v>1211</v>
      </c>
      <c r="K29" s="10" t="s">
        <v>1212</v>
      </c>
      <c r="L29" s="72" t="s">
        <v>53</v>
      </c>
      <c r="M29" s="10" t="s">
        <v>0</v>
      </c>
      <c r="N29" s="10" t="s">
        <v>27</v>
      </c>
      <c r="O29" s="87" t="s">
        <v>0</v>
      </c>
      <c r="P29" s="68">
        <v>42772</v>
      </c>
      <c r="Q29" s="67" t="s">
        <v>1289</v>
      </c>
      <c r="R29" s="87" t="s">
        <v>1290</v>
      </c>
      <c r="S29" s="87" t="s">
        <v>0</v>
      </c>
      <c r="T29" s="68">
        <v>42794</v>
      </c>
      <c r="U29" s="67" t="s">
        <v>1289</v>
      </c>
      <c r="V29" s="67"/>
      <c r="W29" s="87"/>
      <c r="X29" s="68"/>
      <c r="Y29" s="67"/>
      <c r="Z29" s="87"/>
      <c r="AA29" s="87"/>
      <c r="AB29" s="68"/>
      <c r="AC29" s="67"/>
      <c r="AD29" s="87"/>
      <c r="AE29" s="87"/>
      <c r="AF29" s="68"/>
      <c r="AG29" s="67"/>
      <c r="AH29" s="87"/>
      <c r="AI29" s="93">
        <v>7</v>
      </c>
      <c r="AJ29" s="140" t="str">
        <f t="shared" si="8"/>
        <v>E</v>
      </c>
      <c r="AM29" s="190">
        <v>9</v>
      </c>
      <c r="AN29" s="137" t="str">
        <f t="shared" si="9"/>
        <v>N</v>
      </c>
    </row>
    <row r="30" spans="1:44" ht="30">
      <c r="A30" s="64"/>
      <c r="B30" s="76" t="s">
        <v>1003</v>
      </c>
      <c r="C30" s="10" t="s">
        <v>1002</v>
      </c>
      <c r="D30" s="10" t="s">
        <v>1001</v>
      </c>
      <c r="E30" s="10" t="s">
        <v>950</v>
      </c>
      <c r="F30" s="10" t="s">
        <v>901</v>
      </c>
      <c r="G30" s="10" t="s">
        <v>1257</v>
      </c>
      <c r="H30" s="10" t="s">
        <v>1256</v>
      </c>
      <c r="I30" s="10"/>
      <c r="J30" s="10" t="s">
        <v>1211</v>
      </c>
      <c r="K30" s="10" t="s">
        <v>1212</v>
      </c>
      <c r="L30" s="72" t="s">
        <v>53</v>
      </c>
      <c r="M30" s="10" t="s">
        <v>0</v>
      </c>
      <c r="N30" s="10" t="s">
        <v>27</v>
      </c>
      <c r="O30" s="87" t="s">
        <v>0</v>
      </c>
      <c r="P30" s="68">
        <v>42772</v>
      </c>
      <c r="Q30" s="67" t="s">
        <v>1289</v>
      </c>
      <c r="R30" s="87" t="s">
        <v>1290</v>
      </c>
      <c r="S30" s="87" t="s">
        <v>0</v>
      </c>
      <c r="T30" s="68">
        <v>42794</v>
      </c>
      <c r="U30" s="67" t="s">
        <v>1289</v>
      </c>
      <c r="V30" s="67"/>
      <c r="W30" s="87"/>
      <c r="X30" s="68"/>
      <c r="Y30" s="67"/>
      <c r="Z30" s="87"/>
      <c r="AA30" s="87"/>
      <c r="AB30" s="68"/>
      <c r="AC30" s="67"/>
      <c r="AD30" s="87"/>
      <c r="AE30" s="87"/>
      <c r="AF30" s="68"/>
      <c r="AG30" s="67"/>
      <c r="AH30" s="87"/>
      <c r="AI30" s="93">
        <v>7</v>
      </c>
      <c r="AJ30" s="140" t="str">
        <f t="shared" si="8"/>
        <v>E</v>
      </c>
      <c r="AM30" s="190">
        <v>12</v>
      </c>
      <c r="AN30" s="137" t="str">
        <f t="shared" si="9"/>
        <v>N</v>
      </c>
    </row>
    <row r="31" spans="1:44" ht="30">
      <c r="A31" s="64"/>
      <c r="B31" s="76" t="s">
        <v>1000</v>
      </c>
      <c r="C31" s="10" t="s">
        <v>999</v>
      </c>
      <c r="D31" s="10" t="s">
        <v>998</v>
      </c>
      <c r="E31" s="10" t="s">
        <v>950</v>
      </c>
      <c r="F31" s="10" t="s">
        <v>901</v>
      </c>
      <c r="G31" s="10" t="s">
        <v>1257</v>
      </c>
      <c r="H31" s="10" t="s">
        <v>1256</v>
      </c>
      <c r="I31" s="10"/>
      <c r="J31" s="10" t="s">
        <v>1211</v>
      </c>
      <c r="K31" s="10" t="s">
        <v>1212</v>
      </c>
      <c r="L31" s="72" t="s">
        <v>53</v>
      </c>
      <c r="M31" s="10" t="s">
        <v>0</v>
      </c>
      <c r="N31" s="10" t="s">
        <v>27</v>
      </c>
      <c r="O31" s="87" t="s">
        <v>0</v>
      </c>
      <c r="P31" s="68">
        <v>42772</v>
      </c>
      <c r="Q31" s="67" t="s">
        <v>1289</v>
      </c>
      <c r="R31" s="87" t="s">
        <v>1290</v>
      </c>
      <c r="S31" s="87" t="s">
        <v>0</v>
      </c>
      <c r="T31" s="68">
        <v>42794</v>
      </c>
      <c r="U31" s="67" t="s">
        <v>1289</v>
      </c>
      <c r="V31" s="67"/>
      <c r="W31" s="87"/>
      <c r="X31" s="68"/>
      <c r="Y31" s="67"/>
      <c r="Z31" s="87"/>
      <c r="AA31" s="87"/>
      <c r="AB31" s="68"/>
      <c r="AC31" s="67"/>
      <c r="AD31" s="87"/>
      <c r="AE31" s="87"/>
      <c r="AF31" s="68"/>
      <c r="AG31" s="67"/>
      <c r="AH31" s="87"/>
      <c r="AI31" s="93">
        <v>7</v>
      </c>
      <c r="AJ31" s="140" t="str">
        <f t="shared" si="8"/>
        <v>E</v>
      </c>
      <c r="AM31" s="190">
        <v>8</v>
      </c>
      <c r="AN31" s="137" t="str">
        <f t="shared" si="9"/>
        <v>N</v>
      </c>
    </row>
    <row r="32" spans="1:44" ht="120">
      <c r="A32" s="64"/>
      <c r="B32" s="76" t="s">
        <v>997</v>
      </c>
      <c r="C32" s="10" t="s">
        <v>996</v>
      </c>
      <c r="D32" s="10" t="s">
        <v>1207</v>
      </c>
      <c r="E32" s="10" t="s">
        <v>950</v>
      </c>
      <c r="F32" s="10" t="s">
        <v>901</v>
      </c>
      <c r="G32" s="10" t="s">
        <v>1257</v>
      </c>
      <c r="H32" s="10" t="s">
        <v>1256</v>
      </c>
      <c r="I32" s="10"/>
      <c r="J32" s="10" t="s">
        <v>1211</v>
      </c>
      <c r="K32" s="10" t="s">
        <v>1212</v>
      </c>
      <c r="L32" s="72" t="s">
        <v>53</v>
      </c>
      <c r="M32" s="10" t="s">
        <v>0</v>
      </c>
      <c r="N32" s="10" t="s">
        <v>27</v>
      </c>
      <c r="O32" s="87" t="s">
        <v>0</v>
      </c>
      <c r="P32" s="68">
        <v>42772</v>
      </c>
      <c r="Q32" s="67" t="s">
        <v>1289</v>
      </c>
      <c r="R32" s="87" t="s">
        <v>1290</v>
      </c>
      <c r="S32" s="87" t="s">
        <v>0</v>
      </c>
      <c r="T32" s="68">
        <v>42794</v>
      </c>
      <c r="U32" s="67" t="s">
        <v>1289</v>
      </c>
      <c r="V32" s="67"/>
      <c r="W32" s="87"/>
      <c r="X32" s="68"/>
      <c r="Y32" s="67"/>
      <c r="Z32" s="87"/>
      <c r="AA32" s="87"/>
      <c r="AB32" s="68"/>
      <c r="AC32" s="67"/>
      <c r="AD32" s="87"/>
      <c r="AE32" s="87"/>
      <c r="AF32" s="68"/>
      <c r="AG32" s="67"/>
      <c r="AH32" s="87"/>
      <c r="AI32" s="93">
        <v>10</v>
      </c>
      <c r="AJ32" s="140" t="str">
        <f t="shared" si="8"/>
        <v>N</v>
      </c>
      <c r="AM32" s="190">
        <v>15</v>
      </c>
      <c r="AN32" s="137" t="str">
        <f t="shared" si="9"/>
        <v>D</v>
      </c>
    </row>
    <row r="33" spans="1:126" ht="30">
      <c r="A33" s="64"/>
      <c r="B33" s="76" t="s">
        <v>995</v>
      </c>
      <c r="C33" s="10" t="s">
        <v>994</v>
      </c>
      <c r="D33" s="10" t="s">
        <v>993</v>
      </c>
      <c r="E33" s="10" t="s">
        <v>950</v>
      </c>
      <c r="F33" s="10" t="s">
        <v>901</v>
      </c>
      <c r="G33" s="10" t="s">
        <v>1257</v>
      </c>
      <c r="H33" s="10" t="s">
        <v>1256</v>
      </c>
      <c r="I33" s="10"/>
      <c r="J33" s="10" t="s">
        <v>1211</v>
      </c>
      <c r="K33" s="10" t="s">
        <v>1212</v>
      </c>
      <c r="L33" s="72" t="s">
        <v>53</v>
      </c>
      <c r="M33" s="10" t="s">
        <v>0</v>
      </c>
      <c r="N33" s="10" t="s">
        <v>27</v>
      </c>
      <c r="O33" s="87" t="s">
        <v>0</v>
      </c>
      <c r="P33" s="68">
        <v>42772</v>
      </c>
      <c r="Q33" s="67" t="s">
        <v>1289</v>
      </c>
      <c r="R33" s="87" t="s">
        <v>1290</v>
      </c>
      <c r="S33" s="87" t="s">
        <v>0</v>
      </c>
      <c r="T33" s="68">
        <v>42794</v>
      </c>
      <c r="U33" s="67" t="s">
        <v>1289</v>
      </c>
      <c r="V33" s="67"/>
      <c r="W33" s="87"/>
      <c r="X33" s="68"/>
      <c r="Y33" s="67"/>
      <c r="Z33" s="87"/>
      <c r="AA33" s="87"/>
      <c r="AB33" s="68"/>
      <c r="AC33" s="67"/>
      <c r="AD33" s="87"/>
      <c r="AE33" s="87"/>
      <c r="AF33" s="68"/>
      <c r="AG33" s="67"/>
      <c r="AH33" s="87"/>
      <c r="AI33" s="93">
        <v>10</v>
      </c>
      <c r="AJ33" s="140" t="str">
        <f t="shared" si="8"/>
        <v>N</v>
      </c>
      <c r="AM33" s="190">
        <v>10</v>
      </c>
      <c r="AN33" s="137" t="str">
        <f t="shared" si="9"/>
        <v>N</v>
      </c>
    </row>
    <row r="34" spans="1:126" ht="30">
      <c r="A34" s="64"/>
      <c r="B34" s="76" t="s">
        <v>992</v>
      </c>
      <c r="C34" s="10" t="s">
        <v>991</v>
      </c>
      <c r="D34" s="10" t="s">
        <v>990</v>
      </c>
      <c r="E34" s="10" t="s">
        <v>950</v>
      </c>
      <c r="F34" s="10" t="s">
        <v>901</v>
      </c>
      <c r="G34" s="10" t="s">
        <v>1257</v>
      </c>
      <c r="H34" s="10" t="s">
        <v>1256</v>
      </c>
      <c r="I34" s="10"/>
      <c r="J34" s="10" t="s">
        <v>1211</v>
      </c>
      <c r="K34" s="10" t="s">
        <v>1212</v>
      </c>
      <c r="L34" s="72" t="s">
        <v>53</v>
      </c>
      <c r="M34" s="10" t="s">
        <v>0</v>
      </c>
      <c r="N34" s="10" t="s">
        <v>27</v>
      </c>
      <c r="O34" s="87" t="s">
        <v>0</v>
      </c>
      <c r="P34" s="68">
        <v>42772</v>
      </c>
      <c r="Q34" s="67" t="s">
        <v>1289</v>
      </c>
      <c r="R34" s="87" t="s">
        <v>1290</v>
      </c>
      <c r="S34" s="87" t="s">
        <v>0</v>
      </c>
      <c r="T34" s="68">
        <v>42794</v>
      </c>
      <c r="U34" s="67" t="s">
        <v>1289</v>
      </c>
      <c r="V34" s="67"/>
      <c r="W34" s="87"/>
      <c r="X34" s="68"/>
      <c r="Y34" s="67"/>
      <c r="Z34" s="87"/>
      <c r="AA34" s="87"/>
      <c r="AB34" s="68"/>
      <c r="AC34" s="67"/>
      <c r="AD34" s="87"/>
      <c r="AE34" s="87"/>
      <c r="AF34" s="68"/>
      <c r="AG34" s="67"/>
      <c r="AH34" s="87"/>
      <c r="AI34" s="93">
        <v>10</v>
      </c>
      <c r="AJ34" s="140" t="str">
        <f t="shared" si="8"/>
        <v>N</v>
      </c>
      <c r="AM34" s="190">
        <v>10</v>
      </c>
      <c r="AN34" s="137" t="str">
        <f t="shared" si="9"/>
        <v>N</v>
      </c>
    </row>
    <row r="35" spans="1:126" ht="30">
      <c r="A35" s="64"/>
      <c r="B35" s="76" t="s">
        <v>989</v>
      </c>
      <c r="C35" s="10" t="s">
        <v>988</v>
      </c>
      <c r="D35" s="10" t="s">
        <v>987</v>
      </c>
      <c r="E35" s="10" t="s">
        <v>950</v>
      </c>
      <c r="F35" s="10" t="s">
        <v>901</v>
      </c>
      <c r="G35" s="10" t="s">
        <v>1257</v>
      </c>
      <c r="H35" s="10" t="s">
        <v>1256</v>
      </c>
      <c r="I35" s="10"/>
      <c r="J35" s="10" t="s">
        <v>1211</v>
      </c>
      <c r="K35" s="10" t="s">
        <v>1212</v>
      </c>
      <c r="L35" s="72" t="s">
        <v>53</v>
      </c>
      <c r="M35" s="10" t="s">
        <v>0</v>
      </c>
      <c r="N35" s="10" t="s">
        <v>27</v>
      </c>
      <c r="O35" s="87" t="s">
        <v>0</v>
      </c>
      <c r="P35" s="68">
        <v>42772</v>
      </c>
      <c r="Q35" s="67" t="s">
        <v>1289</v>
      </c>
      <c r="R35" s="87" t="s">
        <v>1290</v>
      </c>
      <c r="S35" s="87" t="s">
        <v>0</v>
      </c>
      <c r="T35" s="68">
        <v>42794</v>
      </c>
      <c r="U35" s="67" t="s">
        <v>1289</v>
      </c>
      <c r="V35" s="67"/>
      <c r="W35" s="87"/>
      <c r="X35" s="68"/>
      <c r="Y35" s="67"/>
      <c r="Z35" s="87"/>
      <c r="AA35" s="87"/>
      <c r="AB35" s="68"/>
      <c r="AC35" s="67"/>
      <c r="AD35" s="87"/>
      <c r="AE35" s="87"/>
      <c r="AF35" s="68"/>
      <c r="AG35" s="67"/>
      <c r="AH35" s="87"/>
      <c r="AI35" s="93">
        <v>10</v>
      </c>
      <c r="AJ35" s="140" t="str">
        <f t="shared" si="8"/>
        <v>N</v>
      </c>
      <c r="AM35" s="190">
        <v>10</v>
      </c>
      <c r="AN35" s="137" t="str">
        <f t="shared" si="9"/>
        <v>N</v>
      </c>
    </row>
    <row r="36" spans="1:126" ht="30">
      <c r="A36" s="64"/>
      <c r="B36" s="76" t="s">
        <v>986</v>
      </c>
      <c r="C36" s="10" t="s">
        <v>985</v>
      </c>
      <c r="D36" s="10" t="s">
        <v>984</v>
      </c>
      <c r="E36" s="10" t="s">
        <v>950</v>
      </c>
      <c r="F36" s="10" t="s">
        <v>901</v>
      </c>
      <c r="G36" s="10" t="s">
        <v>1257</v>
      </c>
      <c r="H36" s="10" t="s">
        <v>1256</v>
      </c>
      <c r="I36" s="10"/>
      <c r="J36" s="10" t="s">
        <v>1211</v>
      </c>
      <c r="K36" s="10" t="s">
        <v>1212</v>
      </c>
      <c r="L36" s="72" t="s">
        <v>53</v>
      </c>
      <c r="M36" s="10" t="s">
        <v>0</v>
      </c>
      <c r="N36" s="10" t="s">
        <v>27</v>
      </c>
      <c r="O36" s="87" t="s">
        <v>0</v>
      </c>
      <c r="P36" s="68">
        <v>42772</v>
      </c>
      <c r="Q36" s="67" t="s">
        <v>1289</v>
      </c>
      <c r="R36" s="87" t="s">
        <v>1290</v>
      </c>
      <c r="S36" s="87" t="s">
        <v>0</v>
      </c>
      <c r="T36" s="68">
        <v>42794</v>
      </c>
      <c r="U36" s="67" t="s">
        <v>1289</v>
      </c>
      <c r="V36" s="67"/>
      <c r="W36" s="87"/>
      <c r="X36" s="68"/>
      <c r="Y36" s="67"/>
      <c r="Z36" s="87"/>
      <c r="AA36" s="87"/>
      <c r="AB36" s="68"/>
      <c r="AC36" s="67"/>
      <c r="AD36" s="87"/>
      <c r="AE36" s="87"/>
      <c r="AF36" s="68"/>
      <c r="AG36" s="67"/>
      <c r="AH36" s="87"/>
      <c r="AI36" s="93">
        <v>10</v>
      </c>
      <c r="AJ36" s="140" t="str">
        <f t="shared" si="8"/>
        <v>N</v>
      </c>
      <c r="AM36" s="190">
        <v>10</v>
      </c>
      <c r="AN36" s="137" t="str">
        <f t="shared" si="9"/>
        <v>N</v>
      </c>
    </row>
    <row r="37" spans="1:126" ht="409.5">
      <c r="A37" s="64"/>
      <c r="B37" s="76" t="s">
        <v>983</v>
      </c>
      <c r="C37" s="10" t="s">
        <v>982</v>
      </c>
      <c r="D37" s="10" t="s">
        <v>1208</v>
      </c>
      <c r="E37" s="10" t="s">
        <v>981</v>
      </c>
      <c r="F37" s="10" t="s">
        <v>901</v>
      </c>
      <c r="G37" s="10" t="s">
        <v>1257</v>
      </c>
      <c r="H37" s="10" t="s">
        <v>1256</v>
      </c>
      <c r="I37" s="10" t="s">
        <v>980</v>
      </c>
      <c r="J37" s="10" t="s">
        <v>1211</v>
      </c>
      <c r="K37" s="10" t="s">
        <v>1212</v>
      </c>
      <c r="L37" s="72" t="s">
        <v>53</v>
      </c>
      <c r="M37" s="10" t="s">
        <v>0</v>
      </c>
      <c r="N37" s="10" t="s">
        <v>27</v>
      </c>
      <c r="O37" s="87" t="s">
        <v>0</v>
      </c>
      <c r="P37" s="68">
        <v>42772</v>
      </c>
      <c r="Q37" s="67" t="s">
        <v>1289</v>
      </c>
      <c r="R37" s="87" t="s">
        <v>1290</v>
      </c>
      <c r="S37" s="87" t="s">
        <v>0</v>
      </c>
      <c r="T37" s="68">
        <v>42794</v>
      </c>
      <c r="U37" s="67" t="s">
        <v>1289</v>
      </c>
      <c r="V37" s="67"/>
      <c r="W37" s="87"/>
      <c r="X37" s="68"/>
      <c r="Y37" s="67"/>
      <c r="Z37" s="87"/>
      <c r="AA37" s="87"/>
      <c r="AB37" s="68"/>
      <c r="AC37" s="67"/>
      <c r="AD37" s="87"/>
      <c r="AE37" s="87"/>
      <c r="AF37" s="68"/>
      <c r="AG37" s="67"/>
      <c r="AH37" s="87"/>
      <c r="AI37" s="93">
        <v>10</v>
      </c>
      <c r="AJ37" s="140" t="str">
        <f t="shared" si="8"/>
        <v>N</v>
      </c>
      <c r="AM37" s="190">
        <v>8</v>
      </c>
      <c r="AN37" s="137" t="str">
        <f t="shared" si="9"/>
        <v>N</v>
      </c>
    </row>
    <row r="38" spans="1:126" s="75" customFormat="1">
      <c r="A38" s="64"/>
      <c r="B38" s="112"/>
      <c r="C38" s="112" t="s">
        <v>979</v>
      </c>
      <c r="D38" s="112"/>
      <c r="E38" s="112"/>
      <c r="F38" s="112"/>
      <c r="G38" s="112"/>
      <c r="H38" s="112"/>
      <c r="I38" s="112"/>
      <c r="J38" s="112"/>
      <c r="K38" s="112"/>
      <c r="L38" s="113"/>
      <c r="M38" s="112"/>
      <c r="N38" s="112"/>
      <c r="O38" s="114"/>
      <c r="P38" s="112"/>
      <c r="Q38" s="112"/>
      <c r="R38" s="114"/>
      <c r="S38" s="112"/>
      <c r="T38" s="112"/>
      <c r="U38" s="112"/>
      <c r="V38" s="112"/>
      <c r="W38" s="114"/>
      <c r="X38" s="114"/>
      <c r="Y38" s="114"/>
      <c r="Z38" s="114"/>
      <c r="AA38" s="114"/>
      <c r="AB38" s="114"/>
      <c r="AC38" s="114"/>
      <c r="AD38" s="114"/>
      <c r="AE38" s="114"/>
      <c r="AF38" s="114"/>
      <c r="AG38" s="114"/>
      <c r="AH38" s="114"/>
      <c r="AI38" s="115"/>
      <c r="AJ38" s="140" t="str">
        <f t="shared" si="8"/>
        <v/>
      </c>
      <c r="AK38" s="66"/>
      <c r="AL38" s="66"/>
      <c r="AM38" s="189"/>
      <c r="AN38" s="137" t="str">
        <f t="shared" si="9"/>
        <v/>
      </c>
      <c r="AO38" s="139"/>
      <c r="AP38" s="139"/>
      <c r="AQ38" s="139"/>
      <c r="AR38" s="139"/>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row>
    <row r="39" spans="1:126" ht="135">
      <c r="A39" s="64"/>
      <c r="B39" s="76" t="s">
        <v>978</v>
      </c>
      <c r="C39" s="10" t="s">
        <v>977</v>
      </c>
      <c r="D39" s="10" t="s">
        <v>976</v>
      </c>
      <c r="E39" s="10" t="s">
        <v>975</v>
      </c>
      <c r="F39" s="10" t="s">
        <v>901</v>
      </c>
      <c r="G39" s="10" t="s">
        <v>1257</v>
      </c>
      <c r="H39" s="10" t="s">
        <v>1256</v>
      </c>
      <c r="I39" s="10"/>
      <c r="J39" s="10" t="s">
        <v>1211</v>
      </c>
      <c r="K39" s="10" t="s">
        <v>1212</v>
      </c>
      <c r="L39" s="10" t="s">
        <v>53</v>
      </c>
      <c r="M39" s="10" t="s">
        <v>0</v>
      </c>
      <c r="N39" s="10" t="s">
        <v>27</v>
      </c>
      <c r="O39" s="87" t="s">
        <v>0</v>
      </c>
      <c r="P39" s="68">
        <v>42772</v>
      </c>
      <c r="Q39" s="67" t="s">
        <v>1289</v>
      </c>
      <c r="R39" s="87" t="s">
        <v>1290</v>
      </c>
      <c r="S39" s="87" t="s">
        <v>0</v>
      </c>
      <c r="T39" s="68">
        <v>42794</v>
      </c>
      <c r="U39" s="67" t="s">
        <v>1289</v>
      </c>
      <c r="V39" s="67"/>
      <c r="W39" s="87"/>
      <c r="X39" s="68"/>
      <c r="Y39" s="67"/>
      <c r="Z39" s="87"/>
      <c r="AA39" s="87"/>
      <c r="AB39" s="68"/>
      <c r="AC39" s="67"/>
      <c r="AD39" s="87"/>
      <c r="AE39" s="87"/>
      <c r="AF39" s="68"/>
      <c r="AG39" s="67"/>
      <c r="AH39" s="87"/>
      <c r="AI39" s="93">
        <v>5</v>
      </c>
      <c r="AJ39" s="140" t="str">
        <f t="shared" si="8"/>
        <v>E</v>
      </c>
      <c r="AM39" s="190">
        <v>7</v>
      </c>
      <c r="AN39" s="137" t="str">
        <f t="shared" si="9"/>
        <v>E</v>
      </c>
    </row>
    <row r="40" spans="1:126" ht="60">
      <c r="A40" s="64"/>
      <c r="B40" s="76" t="s">
        <v>974</v>
      </c>
      <c r="C40" s="10" t="s">
        <v>973</v>
      </c>
      <c r="D40" s="10" t="s">
        <v>972</v>
      </c>
      <c r="E40" s="10" t="s">
        <v>971</v>
      </c>
      <c r="F40" s="10" t="s">
        <v>901</v>
      </c>
      <c r="G40" s="10" t="s">
        <v>1257</v>
      </c>
      <c r="H40" s="10" t="s">
        <v>1256</v>
      </c>
      <c r="I40" s="10"/>
      <c r="J40" s="10" t="s">
        <v>1211</v>
      </c>
      <c r="K40" s="10" t="s">
        <v>1212</v>
      </c>
      <c r="L40" s="10" t="s">
        <v>53</v>
      </c>
      <c r="M40" s="10" t="s">
        <v>0</v>
      </c>
      <c r="N40" s="10" t="s">
        <v>27</v>
      </c>
      <c r="O40" s="87" t="s">
        <v>0</v>
      </c>
      <c r="P40" s="68">
        <v>42772</v>
      </c>
      <c r="Q40" s="67" t="s">
        <v>1289</v>
      </c>
      <c r="R40" s="87" t="s">
        <v>1290</v>
      </c>
      <c r="S40" s="87" t="s">
        <v>0</v>
      </c>
      <c r="T40" s="68">
        <v>42794</v>
      </c>
      <c r="U40" s="67" t="s">
        <v>1289</v>
      </c>
      <c r="V40" s="67"/>
      <c r="W40" s="87"/>
      <c r="X40" s="68"/>
      <c r="Y40" s="67"/>
      <c r="Z40" s="87"/>
      <c r="AA40" s="87"/>
      <c r="AB40" s="68"/>
      <c r="AC40" s="67"/>
      <c r="AD40" s="87"/>
      <c r="AE40" s="87"/>
      <c r="AF40" s="68"/>
      <c r="AG40" s="67"/>
      <c r="AH40" s="87"/>
      <c r="AI40" s="93">
        <v>5</v>
      </c>
      <c r="AJ40" s="140" t="str">
        <f t="shared" si="8"/>
        <v>E</v>
      </c>
      <c r="AM40" s="190">
        <v>5</v>
      </c>
      <c r="AN40" s="137" t="str">
        <f t="shared" si="9"/>
        <v>E</v>
      </c>
    </row>
    <row r="41" spans="1:126" ht="135">
      <c r="A41" s="64"/>
      <c r="B41" s="76" t="s">
        <v>970</v>
      </c>
      <c r="C41" s="10" t="s">
        <v>969</v>
      </c>
      <c r="D41" s="10" t="s">
        <v>968</v>
      </c>
      <c r="E41" s="10" t="s">
        <v>950</v>
      </c>
      <c r="F41" s="10" t="s">
        <v>901</v>
      </c>
      <c r="G41" s="10" t="s">
        <v>1257</v>
      </c>
      <c r="H41" s="10" t="s">
        <v>1256</v>
      </c>
      <c r="I41" s="10"/>
      <c r="J41" s="10" t="s">
        <v>1211</v>
      </c>
      <c r="K41" s="10" t="s">
        <v>1212</v>
      </c>
      <c r="L41" s="10" t="s">
        <v>53</v>
      </c>
      <c r="M41" s="10" t="s">
        <v>0</v>
      </c>
      <c r="N41" s="10" t="s">
        <v>27</v>
      </c>
      <c r="O41" s="87" t="s">
        <v>0</v>
      </c>
      <c r="P41" s="68">
        <v>42772</v>
      </c>
      <c r="Q41" s="67" t="s">
        <v>1289</v>
      </c>
      <c r="R41" s="87" t="s">
        <v>1290</v>
      </c>
      <c r="S41" s="87" t="s">
        <v>0</v>
      </c>
      <c r="T41" s="68">
        <v>42794</v>
      </c>
      <c r="U41" s="67" t="s">
        <v>1289</v>
      </c>
      <c r="V41" s="67"/>
      <c r="W41" s="87"/>
      <c r="X41" s="68"/>
      <c r="Y41" s="67"/>
      <c r="Z41" s="87"/>
      <c r="AA41" s="87"/>
      <c r="AB41" s="68"/>
      <c r="AC41" s="67"/>
      <c r="AD41" s="87"/>
      <c r="AE41" s="87"/>
      <c r="AF41" s="68"/>
      <c r="AG41" s="67"/>
      <c r="AH41" s="87"/>
      <c r="AI41" s="93">
        <v>5</v>
      </c>
      <c r="AJ41" s="140" t="str">
        <f t="shared" si="8"/>
        <v>E</v>
      </c>
      <c r="AM41" s="190">
        <v>5</v>
      </c>
      <c r="AN41" s="137" t="str">
        <f t="shared" si="9"/>
        <v>E</v>
      </c>
    </row>
    <row r="42" spans="1:126" ht="60">
      <c r="A42" s="64"/>
      <c r="B42" s="76" t="s">
        <v>967</v>
      </c>
      <c r="C42" s="10" t="s">
        <v>966</v>
      </c>
      <c r="D42" s="10" t="s">
        <v>965</v>
      </c>
      <c r="E42" s="10" t="s">
        <v>950</v>
      </c>
      <c r="F42" s="10" t="s">
        <v>901</v>
      </c>
      <c r="G42" s="10" t="s">
        <v>1257</v>
      </c>
      <c r="H42" s="10" t="s">
        <v>1256</v>
      </c>
      <c r="I42" s="10"/>
      <c r="J42" s="10" t="s">
        <v>1211</v>
      </c>
      <c r="K42" s="10" t="s">
        <v>1212</v>
      </c>
      <c r="L42" s="10" t="s">
        <v>53</v>
      </c>
      <c r="M42" s="10" t="s">
        <v>0</v>
      </c>
      <c r="N42" s="10" t="s">
        <v>27</v>
      </c>
      <c r="O42" s="87" t="s">
        <v>0</v>
      </c>
      <c r="P42" s="68">
        <v>42772</v>
      </c>
      <c r="Q42" s="67" t="s">
        <v>1289</v>
      </c>
      <c r="R42" s="87" t="s">
        <v>1290</v>
      </c>
      <c r="S42" s="87" t="s">
        <v>0</v>
      </c>
      <c r="T42" s="68">
        <v>42794</v>
      </c>
      <c r="U42" s="67" t="s">
        <v>1289</v>
      </c>
      <c r="V42" s="67"/>
      <c r="W42" s="87"/>
      <c r="X42" s="68"/>
      <c r="Y42" s="67"/>
      <c r="Z42" s="87"/>
      <c r="AA42" s="87"/>
      <c r="AB42" s="68"/>
      <c r="AC42" s="67"/>
      <c r="AD42" s="87"/>
      <c r="AE42" s="87"/>
      <c r="AF42" s="68"/>
      <c r="AG42" s="67"/>
      <c r="AH42" s="87"/>
      <c r="AI42" s="93">
        <v>5</v>
      </c>
      <c r="AJ42" s="140" t="str">
        <f t="shared" si="8"/>
        <v>E</v>
      </c>
      <c r="AM42" s="190">
        <v>5</v>
      </c>
      <c r="AN42" s="137" t="str">
        <f t="shared" si="9"/>
        <v>E</v>
      </c>
    </row>
    <row r="43" spans="1:126" ht="105">
      <c r="A43" s="64"/>
      <c r="B43" s="76" t="s">
        <v>964</v>
      </c>
      <c r="C43" s="10" t="s">
        <v>963</v>
      </c>
      <c r="D43" s="10" t="s">
        <v>962</v>
      </c>
      <c r="E43" s="10" t="s">
        <v>961</v>
      </c>
      <c r="F43" s="10" t="s">
        <v>901</v>
      </c>
      <c r="G43" s="10" t="s">
        <v>1257</v>
      </c>
      <c r="H43" s="10" t="s">
        <v>1256</v>
      </c>
      <c r="I43" s="10"/>
      <c r="J43" s="10" t="s">
        <v>1211</v>
      </c>
      <c r="K43" s="10" t="s">
        <v>1212</v>
      </c>
      <c r="L43" s="10" t="s">
        <v>53</v>
      </c>
      <c r="M43" s="10" t="s">
        <v>0</v>
      </c>
      <c r="N43" s="10" t="s">
        <v>27</v>
      </c>
      <c r="O43" s="87" t="s">
        <v>0</v>
      </c>
      <c r="P43" s="68">
        <v>42772</v>
      </c>
      <c r="Q43" s="67" t="s">
        <v>1289</v>
      </c>
      <c r="R43" s="87" t="s">
        <v>1290</v>
      </c>
      <c r="S43" s="87" t="s">
        <v>0</v>
      </c>
      <c r="T43" s="68">
        <v>42794</v>
      </c>
      <c r="U43" s="67" t="s">
        <v>1289</v>
      </c>
      <c r="V43" s="67"/>
      <c r="W43" s="87"/>
      <c r="X43" s="68"/>
      <c r="Y43" s="67"/>
      <c r="Z43" s="87"/>
      <c r="AA43" s="87"/>
      <c r="AB43" s="68"/>
      <c r="AC43" s="67"/>
      <c r="AD43" s="87"/>
      <c r="AE43" s="87"/>
      <c r="AF43" s="68"/>
      <c r="AG43" s="67"/>
      <c r="AH43" s="87"/>
      <c r="AI43" s="93">
        <v>5</v>
      </c>
      <c r="AJ43" s="140" t="str">
        <f t="shared" si="8"/>
        <v>E</v>
      </c>
      <c r="AM43" s="190">
        <v>5</v>
      </c>
      <c r="AN43" s="137" t="str">
        <f t="shared" si="9"/>
        <v>E</v>
      </c>
    </row>
    <row r="44" spans="1:126" ht="90">
      <c r="A44" s="64"/>
      <c r="B44" s="76" t="s">
        <v>960</v>
      </c>
      <c r="C44" s="10" t="s">
        <v>959</v>
      </c>
      <c r="D44" s="10" t="s">
        <v>958</v>
      </c>
      <c r="E44" s="10" t="s">
        <v>950</v>
      </c>
      <c r="F44" s="10" t="s">
        <v>901</v>
      </c>
      <c r="G44" s="10" t="s">
        <v>1257</v>
      </c>
      <c r="H44" s="10" t="s">
        <v>1256</v>
      </c>
      <c r="I44" s="10"/>
      <c r="J44" s="10" t="s">
        <v>1211</v>
      </c>
      <c r="K44" s="10" t="s">
        <v>1212</v>
      </c>
      <c r="L44" s="10" t="s">
        <v>53</v>
      </c>
      <c r="M44" s="10" t="s">
        <v>0</v>
      </c>
      <c r="N44" s="10" t="s">
        <v>27</v>
      </c>
      <c r="O44" s="87" t="s">
        <v>0</v>
      </c>
      <c r="P44" s="68">
        <v>42772</v>
      </c>
      <c r="Q44" s="67" t="s">
        <v>1289</v>
      </c>
      <c r="R44" s="87" t="s">
        <v>1290</v>
      </c>
      <c r="S44" s="87" t="s">
        <v>0</v>
      </c>
      <c r="T44" s="68">
        <v>42794</v>
      </c>
      <c r="U44" s="67" t="s">
        <v>1289</v>
      </c>
      <c r="V44" s="67"/>
      <c r="W44" s="87"/>
      <c r="X44" s="68"/>
      <c r="Y44" s="67"/>
      <c r="Z44" s="87"/>
      <c r="AA44" s="87"/>
      <c r="AB44" s="68"/>
      <c r="AC44" s="67"/>
      <c r="AD44" s="87"/>
      <c r="AE44" s="87"/>
      <c r="AF44" s="68"/>
      <c r="AG44" s="67"/>
      <c r="AH44" s="87"/>
      <c r="AI44" s="93">
        <v>5</v>
      </c>
      <c r="AJ44" s="140" t="str">
        <f t="shared" si="8"/>
        <v>E</v>
      </c>
      <c r="AM44" s="190">
        <v>5</v>
      </c>
      <c r="AN44" s="137" t="str">
        <f t="shared" si="9"/>
        <v>E</v>
      </c>
    </row>
    <row r="45" spans="1:126" ht="225">
      <c r="A45" s="64"/>
      <c r="B45" s="76" t="s">
        <v>957</v>
      </c>
      <c r="C45" s="10" t="s">
        <v>956</v>
      </c>
      <c r="D45" s="10" t="s">
        <v>955</v>
      </c>
      <c r="E45" s="10" t="s">
        <v>954</v>
      </c>
      <c r="F45" s="10" t="s">
        <v>901</v>
      </c>
      <c r="G45" s="10" t="s">
        <v>1257</v>
      </c>
      <c r="H45" s="10" t="s">
        <v>1256</v>
      </c>
      <c r="I45" s="10"/>
      <c r="J45" s="10" t="s">
        <v>1211</v>
      </c>
      <c r="K45" s="10" t="s">
        <v>1212</v>
      </c>
      <c r="L45" s="10" t="s">
        <v>53</v>
      </c>
      <c r="M45" s="10" t="s">
        <v>0</v>
      </c>
      <c r="N45" s="10" t="s">
        <v>27</v>
      </c>
      <c r="O45" s="87" t="s">
        <v>0</v>
      </c>
      <c r="P45" s="68">
        <v>42772</v>
      </c>
      <c r="Q45" s="67" t="s">
        <v>1289</v>
      </c>
      <c r="R45" s="87" t="s">
        <v>1290</v>
      </c>
      <c r="S45" s="87" t="s">
        <v>0</v>
      </c>
      <c r="T45" s="68">
        <v>42794</v>
      </c>
      <c r="U45" s="67" t="s">
        <v>1289</v>
      </c>
      <c r="V45" s="67"/>
      <c r="W45" s="87"/>
      <c r="X45" s="68"/>
      <c r="Y45" s="67"/>
      <c r="Z45" s="87"/>
      <c r="AA45" s="87"/>
      <c r="AB45" s="68"/>
      <c r="AC45" s="67"/>
      <c r="AD45" s="87"/>
      <c r="AE45" s="87"/>
      <c r="AF45" s="68"/>
      <c r="AG45" s="67"/>
      <c r="AH45" s="87"/>
      <c r="AI45" s="93">
        <v>5</v>
      </c>
      <c r="AJ45" s="140" t="str">
        <f t="shared" si="8"/>
        <v>E</v>
      </c>
      <c r="AM45" s="190">
        <v>5</v>
      </c>
      <c r="AN45" s="137" t="str">
        <f t="shared" si="9"/>
        <v>E</v>
      </c>
    </row>
    <row r="46" spans="1:126" ht="45">
      <c r="A46" s="64"/>
      <c r="B46" s="76" t="s">
        <v>953</v>
      </c>
      <c r="C46" s="10" t="s">
        <v>952</v>
      </c>
      <c r="D46" s="10" t="s">
        <v>951</v>
      </c>
      <c r="E46" s="10" t="s">
        <v>950</v>
      </c>
      <c r="F46" s="10" t="s">
        <v>901</v>
      </c>
      <c r="G46" s="10" t="s">
        <v>1257</v>
      </c>
      <c r="H46" s="10" t="s">
        <v>1256</v>
      </c>
      <c r="I46" s="10"/>
      <c r="J46" s="10" t="s">
        <v>1211</v>
      </c>
      <c r="K46" s="10" t="s">
        <v>1212</v>
      </c>
      <c r="L46" s="10" t="s">
        <v>53</v>
      </c>
      <c r="M46" s="10" t="s">
        <v>0</v>
      </c>
      <c r="N46" s="10" t="s">
        <v>27</v>
      </c>
      <c r="O46" s="87" t="s">
        <v>0</v>
      </c>
      <c r="P46" s="68">
        <v>42772</v>
      </c>
      <c r="Q46" s="67" t="s">
        <v>1289</v>
      </c>
      <c r="R46" s="87" t="s">
        <v>1290</v>
      </c>
      <c r="S46" s="87" t="s">
        <v>0</v>
      </c>
      <c r="T46" s="68">
        <v>42794</v>
      </c>
      <c r="U46" s="67" t="s">
        <v>1289</v>
      </c>
      <c r="V46" s="67"/>
      <c r="W46" s="87"/>
      <c r="X46" s="68"/>
      <c r="Y46" s="67"/>
      <c r="Z46" s="87"/>
      <c r="AA46" s="87"/>
      <c r="AB46" s="68"/>
      <c r="AC46" s="67"/>
      <c r="AD46" s="87"/>
      <c r="AE46" s="87"/>
      <c r="AF46" s="68"/>
      <c r="AG46" s="67"/>
      <c r="AH46" s="87"/>
      <c r="AI46" s="93">
        <v>5</v>
      </c>
      <c r="AJ46" s="140" t="str">
        <f t="shared" si="8"/>
        <v>E</v>
      </c>
      <c r="AM46" s="190">
        <v>5</v>
      </c>
      <c r="AN46" s="137" t="str">
        <f t="shared" si="9"/>
        <v>E</v>
      </c>
    </row>
    <row r="47" spans="1:126" ht="75">
      <c r="A47" s="64"/>
      <c r="B47" s="76" t="s">
        <v>949</v>
      </c>
      <c r="C47" s="10" t="s">
        <v>948</v>
      </c>
      <c r="D47" s="10" t="s">
        <v>947</v>
      </c>
      <c r="E47" s="10" t="s">
        <v>946</v>
      </c>
      <c r="F47" s="10" t="s">
        <v>901</v>
      </c>
      <c r="G47" s="10" t="s">
        <v>1257</v>
      </c>
      <c r="H47" s="10" t="s">
        <v>1256</v>
      </c>
      <c r="I47" s="10"/>
      <c r="J47" s="10" t="s">
        <v>1211</v>
      </c>
      <c r="K47" s="10" t="s">
        <v>1212</v>
      </c>
      <c r="L47" s="72" t="s">
        <v>53</v>
      </c>
      <c r="M47" s="10" t="s">
        <v>0</v>
      </c>
      <c r="N47" s="10" t="s">
        <v>27</v>
      </c>
      <c r="O47" s="87" t="s">
        <v>0</v>
      </c>
      <c r="P47" s="68">
        <v>42772</v>
      </c>
      <c r="Q47" s="67" t="s">
        <v>1289</v>
      </c>
      <c r="R47" s="87" t="s">
        <v>1290</v>
      </c>
      <c r="S47" s="87" t="s">
        <v>0</v>
      </c>
      <c r="T47" s="68">
        <v>42794</v>
      </c>
      <c r="U47" s="67" t="s">
        <v>1289</v>
      </c>
      <c r="V47" s="67"/>
      <c r="W47" s="87"/>
      <c r="X47" s="68"/>
      <c r="Y47" s="67"/>
      <c r="Z47" s="87"/>
      <c r="AA47" s="87"/>
      <c r="AB47" s="68"/>
      <c r="AC47" s="67"/>
      <c r="AD47" s="87"/>
      <c r="AE47" s="87"/>
      <c r="AF47" s="68"/>
      <c r="AG47" s="67"/>
      <c r="AH47" s="87"/>
      <c r="AI47" s="93">
        <v>5</v>
      </c>
      <c r="AJ47" s="140" t="str">
        <f t="shared" si="8"/>
        <v>E</v>
      </c>
      <c r="AM47" s="190">
        <v>10</v>
      </c>
      <c r="AN47" s="137" t="str">
        <f t="shared" si="9"/>
        <v>N</v>
      </c>
    </row>
  </sheetData>
  <sheetProtection selectLockedCells="1" selectUnlockedCells="1"/>
  <autoFilter ref="B14:AJ47"/>
  <mergeCells count="14">
    <mergeCell ref="AM11:AN11"/>
    <mergeCell ref="AI11:AJ11"/>
    <mergeCell ref="G13:H13"/>
    <mergeCell ref="AE11:AH11"/>
    <mergeCell ref="O12:R12"/>
    <mergeCell ref="S12:V12"/>
    <mergeCell ref="W12:Z12"/>
    <mergeCell ref="AA12:AD12"/>
    <mergeCell ref="AE12:AH12"/>
    <mergeCell ref="M13:N13"/>
    <mergeCell ref="O11:R11"/>
    <mergeCell ref="S11:V11"/>
    <mergeCell ref="W11:Z11"/>
    <mergeCell ref="AA11:AD11"/>
  </mergeCells>
  <phoneticPr fontId="169"/>
  <hyperlinks>
    <hyperlink ref="L3" location="PCL_Summary!A1" display="PCL_Summary!A1"/>
    <hyperlink ref="L2" location="Test_Report_Summary!A1" display="Test_Report_Summary"/>
  </hyperlinks>
  <pageMargins left="0" right="0" top="0" bottom="0" header="0" footer="0"/>
  <pageSetup firstPageNumber="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Revision_History</vt:lpstr>
      <vt:lpstr>Summary</vt:lpstr>
      <vt:lpstr>Builder_Common</vt:lpstr>
      <vt:lpstr>Builder_Enhancement_3.1</vt:lpstr>
      <vt:lpstr>Builder_SimultaneousBuild</vt:lpstr>
      <vt:lpstr>Builder_Rename&amp;ImportProject</vt:lpstr>
      <vt:lpstr>CustomPhases</vt:lpstr>
      <vt:lpstr>Toolchain_Management_Regression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Ngoc Thi. Tran</dc:creator>
  <cp:lastModifiedBy>Thuy Ngoc Thi. Tran</cp:lastModifiedBy>
  <cp:lastPrinted>2016-11-24T07:04:38Z</cp:lastPrinted>
  <dcterms:created xsi:type="dcterms:W3CDTF">2016-08-30T06:20:02Z</dcterms:created>
  <dcterms:modified xsi:type="dcterms:W3CDTF">2017-04-10T03:16:23Z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ddbcae84-1d98-4db2-b283-c1085449c5db</vt:lpwstr>
  </property>
</Properties>
</file>